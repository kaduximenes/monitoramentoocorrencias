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22980" windowHeight="9024"/>
  </bookViews>
  <sheets>
    <sheet name="JUN" sheetId="1" r:id="rId1"/>
  </sheets>
  <calcPr calcId="145621"/>
</workbook>
</file>

<file path=xl/calcChain.xml><?xml version="1.0" encoding="utf-8"?>
<calcChain xmlns="http://schemas.openxmlformats.org/spreadsheetml/2006/main">
  <c r="C260" i="1" l="1"/>
  <c r="C261" i="1" s="1"/>
  <c r="C262" i="1" s="1"/>
  <c r="C263" i="1" s="1"/>
  <c r="C264" i="1" s="1"/>
  <c r="C265" i="1" s="1"/>
  <c r="C256" i="1"/>
  <c r="C257" i="1" s="1"/>
  <c r="C258" i="1" s="1"/>
  <c r="C255" i="1"/>
  <c r="C249" i="1"/>
  <c r="C250" i="1" s="1"/>
  <c r="C251" i="1" s="1"/>
  <c r="C252" i="1" s="1"/>
  <c r="C253" i="1" s="1"/>
  <c r="C246" i="1"/>
  <c r="C247" i="1" s="1"/>
  <c r="C245" i="1"/>
  <c r="C225" i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10" i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08" i="1"/>
  <c r="C180" i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179" i="1"/>
  <c r="C177" i="1"/>
  <c r="C175" i="1"/>
  <c r="C173" i="1"/>
  <c r="C171" i="1"/>
  <c r="C141" i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05" i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04" i="1"/>
  <c r="C102" i="1"/>
  <c r="C101" i="1"/>
  <c r="C94" i="1"/>
  <c r="C95" i="1" s="1"/>
  <c r="C96" i="1" s="1"/>
  <c r="C97" i="1" s="1"/>
  <c r="C98" i="1" s="1"/>
  <c r="C99" i="1" s="1"/>
  <c r="C93" i="1"/>
  <c r="C73" i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72" i="1"/>
  <c r="C71" i="1"/>
  <c r="C51" i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48" i="1"/>
  <c r="C49" i="1" s="1"/>
  <c r="C47" i="1"/>
  <c r="C34" i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32" i="1"/>
  <c r="C33" i="1" s="1"/>
  <c r="C29" i="1"/>
  <c r="C25" i="1"/>
  <c r="C26" i="1" s="1"/>
  <c r="C27" i="1" s="1"/>
  <c r="C28" i="1" s="1"/>
  <c r="C24" i="1"/>
  <c r="C14" i="1"/>
  <c r="C15" i="1" s="1"/>
  <c r="C16" i="1" s="1"/>
  <c r="C17" i="1" s="1"/>
  <c r="C18" i="1" s="1"/>
  <c r="C19" i="1" s="1"/>
  <c r="C20" i="1" s="1"/>
  <c r="C21" i="1" s="1"/>
  <c r="C22" i="1" s="1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C10" i="1"/>
  <c r="C11" i="1" s="1"/>
  <c r="C12" i="1" s="1"/>
  <c r="C13" i="1" s="1"/>
  <c r="B10" i="1"/>
</calcChain>
</file>

<file path=xl/sharedStrings.xml><?xml version="1.0" encoding="utf-8"?>
<sst xmlns="http://schemas.openxmlformats.org/spreadsheetml/2006/main" count="1293" uniqueCount="459">
  <si>
    <t>MONITORAMENTO DE OCORRÊNCIAS APURADAS PELA COORDENAÇÃO COR</t>
  </si>
  <si>
    <t>QTE</t>
  </si>
  <si>
    <t>Data</t>
  </si>
  <si>
    <t>Alarmes utilizados</t>
  </si>
  <si>
    <t>Ocorrência</t>
  </si>
  <si>
    <t>Equipe</t>
  </si>
  <si>
    <t>Endereço</t>
  </si>
  <si>
    <t>Agência Validadora</t>
  </si>
  <si>
    <t>Google Maps</t>
  </si>
  <si>
    <t>Enguiço VP</t>
  </si>
  <si>
    <t>Daniel / Leonardo / Jackson</t>
  </si>
  <si>
    <t>RUA TEIXEIRA SOARES - ALT. Nº139 - SENT. CENTRO - MARACANÃ</t>
  </si>
  <si>
    <t>CET-RIO</t>
  </si>
  <si>
    <t>Google Maps - Tixxi</t>
  </si>
  <si>
    <t xml:space="preserve">AC 2 VP </t>
  </si>
  <si>
    <t>AVENIDA RODRIGUES ALVES - ALT. RODOVIÁRIA - SENT. CENTRO - SAÚDE</t>
  </si>
  <si>
    <t>AC VP x MT</t>
  </si>
  <si>
    <t>LINHA AMARELA - ALT. SAÍDA 05 - SENT.  BARRA - DEL CASTILHO</t>
  </si>
  <si>
    <t>LAMSA</t>
  </si>
  <si>
    <t>Google Maps - Alarme HXG</t>
  </si>
  <si>
    <t>AVENIDA BRASIL - ALT. VIADUTO BATAN - SENT. CENTRO - REALENGO</t>
  </si>
  <si>
    <t>Poste com risco de queda</t>
  </si>
  <si>
    <t>RUA SÃO LUIZ GONZAGA - ALT. R. CAPITÃO FÉLIX - SENT. MARIA DA GRAÇA - BENFICA</t>
  </si>
  <si>
    <t>RIO ONIBUS</t>
  </si>
  <si>
    <t>AVENIDA BRASIL - ALT. PASSARELA 5 - SENT. CENTRO - BENFICA</t>
  </si>
  <si>
    <t>CBMERJ</t>
  </si>
  <si>
    <t>Drone</t>
  </si>
  <si>
    <t>Enguiço CM</t>
  </si>
  <si>
    <t>RUA SÃO LUIZ GONZAGA - ALT. R. ANA NERI - SENT. MARIA DA GRAÇA - BENFICA</t>
  </si>
  <si>
    <t>DRONE</t>
  </si>
  <si>
    <t>AUTOESTRADA FERNANDO MAC DOWELL - ALT. ESTR. DAS CANOAS - SENT.  LAGOA - SÃO CONRADO</t>
  </si>
  <si>
    <t>TIXXI</t>
  </si>
  <si>
    <t>Atropelamento MT</t>
  </si>
  <si>
    <t>AVENIDA BORGES DE MEDEIROS - ALT. RUA JOSÉ JOAQUIM SEABRA - SENT. TÚNEL REBOUÇAS - LAGOA</t>
  </si>
  <si>
    <t>Google Maps / HxGN / Jarvis / Tixxi - Cam - 3212</t>
  </si>
  <si>
    <t xml:space="preserve">Operação Policial </t>
  </si>
  <si>
    <t xml:space="preserve">Ricardo / Matheus / Felipe </t>
  </si>
  <si>
    <t>AVENIDA AYRTON SENNA - ALT. PONTE SANTOS DUMONT - SENT. LINHA AMARELA - BARRA DA TIJUCA</t>
  </si>
  <si>
    <t>Google Maps / HxGN / Jarvis / Tixxi - Cam - 783</t>
  </si>
  <si>
    <t xml:space="preserve">Enguiço VP </t>
  </si>
  <si>
    <t>RUA GENERAL LUÍS MENDES DE MORAIS - ALT. PRAÇA DINAH SILVEIRA DE QUEIRÓS - SENT. SÃO CRISTÓVÃO - SANTO CRISTO</t>
  </si>
  <si>
    <t>Tixxi - Cam - 302</t>
  </si>
  <si>
    <t xml:space="preserve">Bolsão de água na via </t>
  </si>
  <si>
    <t>RUA MUNIZ BARRETO - ALT. R. MARQUÊS DE OLINDA - BOTAFOGO</t>
  </si>
  <si>
    <t>Google Maps / HxGN / Jarvis / Tixxi - Cam - 482</t>
  </si>
  <si>
    <t>Enguiço ON</t>
  </si>
  <si>
    <t>AVENIDA BRASIL - ALT. DA PASSARELA 6- SENT. CENTRO. - MARÉ</t>
  </si>
  <si>
    <t>Google Maps / Tixxi - Cam 4285</t>
  </si>
  <si>
    <t xml:space="preserve">Enguiço ON </t>
  </si>
  <si>
    <t xml:space="preserve">R. MARQUÊS DE SÃO VICENTE - ALT. R. PROF. MANUEL FERREIRA - SENT. JARDIM BOTÂNICO - GÁVEA </t>
  </si>
  <si>
    <t xml:space="preserve">TIXXI </t>
  </si>
  <si>
    <t>Google Maps - Tixxi - Cam 899</t>
  </si>
  <si>
    <t>Queda MT</t>
  </si>
  <si>
    <t>Ricardo / Matheus / Felipe</t>
  </si>
  <si>
    <t xml:space="preserve">AV. SALVADOR ALLENDE - ALT. EST. BRT ILHA PURA - SENT. ORLA - BARRA DA TIJUCA </t>
  </si>
  <si>
    <t xml:space="preserve">Google Maps / HxGN / Jarvis </t>
  </si>
  <si>
    <t>Enguiço TX</t>
  </si>
  <si>
    <t>LINHA VERMELHA - ALT. KM 10 - SENT. CENTRO - GALEÃO</t>
  </si>
  <si>
    <t>AC 2 VP</t>
  </si>
  <si>
    <t>TÚNEL ACÚSTICO RAFAEL MASCARENHAS - SENT. LAGOA - GÁVEA</t>
  </si>
  <si>
    <t>Google Maps / HxGN / Jarvis / Tixxi - Cam - 1696</t>
  </si>
  <si>
    <t>Vinícius / Diego / Felipe</t>
  </si>
  <si>
    <t xml:space="preserve"> AVENIDA REI PELÉ - ALT. PORTÃO 3 - SENT. MÉIER - MARACANÃ</t>
  </si>
  <si>
    <t>Google Maps / Tixxi - Cam - 3212</t>
  </si>
  <si>
    <t>Operação PMERJ</t>
  </si>
  <si>
    <t>Av. Ayrton Senna - Alt. Ponte Santos Dumount</t>
  </si>
  <si>
    <t>Google Maps / HxGN / Jarvis / Tixxi - Cam - 1031</t>
  </si>
  <si>
    <t>RUA VINTE E QUATRO DE MAIO - ALT. R. CÔNEGO TOBIAS - SAMPAIO</t>
  </si>
  <si>
    <t>Google Maps / Tixxi - Cam - 1031</t>
  </si>
  <si>
    <t>AC VP x Poste</t>
  </si>
  <si>
    <t>Rua Cândido Benício - Alt. BRT Ipase - Sent. Madureira</t>
  </si>
  <si>
    <t>Google Maps / Tixxi - Cam - 6904</t>
  </si>
  <si>
    <t>AC ON x VP</t>
  </si>
  <si>
    <t>Vinícius / Diego / Ricardo</t>
  </si>
  <si>
    <t>RUA JOÃO PAULO I - CRUZAMENTO COM AV. PAULO DE FRONTIN - RIO COMPRIDO</t>
  </si>
  <si>
    <t>Google Maps - Tixxi - Alarme HXG</t>
  </si>
  <si>
    <t>AC VP X MT</t>
  </si>
  <si>
    <t>Alex / Vitor / Leonardo</t>
  </si>
  <si>
    <t>AVENIDA JOÃO RIBEIRO - ALT. AV. PASTOR MARTIN LUTHER KING JR - SENT. INHAÚMA - TOMÁS COELHO</t>
  </si>
  <si>
    <t>AC envolv. VP</t>
  </si>
  <si>
    <t>AVENIDA MINISTRO EDGARD ROMERO - ALT. AV. VICENTE DE CARVALHO - SENT. IRAJÁ - VAZ LOBO</t>
  </si>
  <si>
    <t>AVENIDA VINTE DE JANEIRO - ALT. TERMINAL 2 - SENT. AEROPORTO GALEÃO - GALEÃO</t>
  </si>
  <si>
    <t>AC CM X ON</t>
  </si>
  <si>
    <t>RUA PADRE TELÊMACO - ALT. N° 172 - SENT. MÉIER - CASCADURA</t>
  </si>
  <si>
    <t>Enguiço UT</t>
  </si>
  <si>
    <t>PONTE RIO - NITERÓI - ALT. AV. BRASIL - SENT. NITERÓI - CAJU</t>
  </si>
  <si>
    <t>LINHA VERMELHA - ALT. KM 11 - SENT. BAIXADA - GALEÃO</t>
  </si>
  <si>
    <t>LINHA VERMELHA - ALT. KM 10 - SENT. BAIXADA - GALEÃO</t>
  </si>
  <si>
    <t>LINHA VERMELHA - ALT. KM 12 - SENT. BAIXADA - GALEÃO</t>
  </si>
  <si>
    <t>AVENIDA PRESIDENTE VARGAS - ALT. N° 2560 - SENT. PRAÇA DA BANDEIRA - CIDADE NOVA</t>
  </si>
  <si>
    <t>AC ON X MT</t>
  </si>
  <si>
    <t>ESTRADA DOS BANDEIRANTES - ALT. EST. BRT SANTA EFIGENIA - SENT. BARRA DA TIJUCA - TAQUARA</t>
  </si>
  <si>
    <t>Evento - Espaço Hall</t>
  </si>
  <si>
    <t>AVENIDA AYRTON SENNA - ALT. ESPAÇO HALL - SENT. L. AMARELA - GARDÊNIA AZUL</t>
  </si>
  <si>
    <t>AVENIDA PRESIDENTE CASTELO BRANCO - ALT. R. GENERAL CANABARRO - SENT. CENTRO - MARACANÃ</t>
  </si>
  <si>
    <t>Operação Policial</t>
  </si>
  <si>
    <t>LINHA AMARELA - ALT. TÚNEL DA COVANCA - SENT. FUNDÃO - FREGUESIA JACAREPAGUÁ</t>
  </si>
  <si>
    <t>Google Maps - Tixxi - Cam 4445</t>
  </si>
  <si>
    <t xml:space="preserve">AC VP x MT </t>
  </si>
  <si>
    <t xml:space="preserve">Matheus / Jackson / Ricardo </t>
  </si>
  <si>
    <t>Túnel Santa Bárbara - Alt. Sáida do túnel - Sent. Centro - Santa Teresa</t>
  </si>
  <si>
    <t>Google Maps - Tixxi - Cam 357</t>
  </si>
  <si>
    <t xml:space="preserve">Boulevard 28 Setembro - Alt. R. Gonzaga Bastos - Vila Isabel </t>
  </si>
  <si>
    <t xml:space="preserve">Google Maps </t>
  </si>
  <si>
    <t xml:space="preserve">Matheus / Jackson / Márcio </t>
  </si>
  <si>
    <t xml:space="preserve">Linha Amarela - Alt. Saída 9D - Sent. Barra da Tijuca - Bonsucesso </t>
  </si>
  <si>
    <t xml:space="preserve">LAMSA </t>
  </si>
  <si>
    <t>Google Maps - Tixxi - Cam 375</t>
  </si>
  <si>
    <t xml:space="preserve">AC 2 MT </t>
  </si>
  <si>
    <t xml:space="preserve">Av. Dom Hélder Câmara - Alt. R. Domingos de Barros - Sent. Benfica - Del Castilho </t>
  </si>
  <si>
    <t>AC 2 VP seguido de Capotamento</t>
  </si>
  <si>
    <t xml:space="preserve">A. Pastor Martin Luther King Júnior - Alt. Est. Metrô Inhaúma - Sent. Vicente de Carvalho - Inhaúma </t>
  </si>
  <si>
    <t xml:space="preserve">Subtran </t>
  </si>
  <si>
    <t>Google maps - Tixxi - Cam 4166</t>
  </si>
  <si>
    <t>AC 2 MT</t>
  </si>
  <si>
    <t>Matheus/Jackson/Márcio</t>
  </si>
  <si>
    <t>AVENIDA MAESTRO PAULO E SILVA - ALT. COND. SOLAR DA ILHA - SENT. AEROPORTO - JARDIM CARIOCA</t>
  </si>
  <si>
    <t>Google maps - Tixxi - Cam 573</t>
  </si>
  <si>
    <t xml:space="preserve">Estr. Rio do A - Alt. R. Alfredo de Morais - Sent. Av. Brasil - Campo Grande </t>
  </si>
  <si>
    <t>Google maps - Tixxi - Cam 556</t>
  </si>
  <si>
    <t xml:space="preserve">AC VP x Poste </t>
  </si>
  <si>
    <t xml:space="preserve">Estr. Intendente Magalhães - Alt. Estr. Japoré - Sent. Jardim Sulacap - Marechal Hermes </t>
  </si>
  <si>
    <t>Maggessi / Hugo / Leonardo</t>
  </si>
  <si>
    <t>VIADUTO LOURENÇO DE ABREU JORGE - ALT. LOBO JUNIOR - SENT. PENHA - PENHA CIRCULAR</t>
  </si>
  <si>
    <t>AVENIDA AYRTON SENNA - ALT. UPTOWN - SENT. LINHA AMARELA - JACAREPAGUÁ</t>
  </si>
  <si>
    <t>Tixxi</t>
  </si>
  <si>
    <t>Incêndio CM</t>
  </si>
  <si>
    <t>AVENIDA BRASIL - ALT. PASSARELA 21 - SENT. Z. OESTE - VIGÁRIO GERAL</t>
  </si>
  <si>
    <t>AC CM x UT</t>
  </si>
  <si>
    <t>TRANSOLÍMPICA - ALT. EST. BRT COLÔNIA - SENT. RECREIO - TAQUARA</t>
  </si>
  <si>
    <t>VIARIO</t>
  </si>
  <si>
    <t>AVENIDA AYRTON SENNA - ALT. VIA PARQUE - SENT. ORLA - BARRA DA TIJUCA</t>
  </si>
  <si>
    <t>RUA CONSELHEIRO GALVÃO - ALT. AV. MINISTRO EDGARD ROMERO - SENT. CASCADURA - MADUREIRA</t>
  </si>
  <si>
    <t>AVENIDA BRASIL - ALT. PASSARELA 14 - SENT. Z. OESTE - OLARIA</t>
  </si>
  <si>
    <t>ESTRADA DO TINDIBA - ALT. R. CAVIANA - SENT. PECHINCHA - TAQUARA</t>
  </si>
  <si>
    <t>ELEVADO DO GASÔMETRO - ALT. INTO - SENT. CENTRO - CAJU</t>
  </si>
  <si>
    <t>AVENIDA SALVADOR ALLENDE - ALT. EST. BRT ASA BRANCA - SENT. RECREIO - JACAREPAGUÁ</t>
  </si>
  <si>
    <t>AUTOESTRADA FERNANDO MAC DOWELL - ALT. TÚNEL DE SÃO CONRADO - SENT. BARRA - SÃO CONRADO</t>
  </si>
  <si>
    <t>RUA CÂNDIDO BENÍCIO - ALT. R. ANA TELES - SENT. PRAÇA SECA - CAMPINHO</t>
  </si>
  <si>
    <t>AVENIDA VISCONDE DE ALBUQUERQUE - ALT. AV. ATAULFO ALVES - SENT. GÁVEA - LEBLON</t>
  </si>
  <si>
    <t>AVENIDA AYRTON SENNA - ALT. GIRO DO CEBOLÃO - SENT. ORLA - BARRA DA TIJUCA</t>
  </si>
  <si>
    <t>LINHA AMARELA - ALT. SAÍDA 05 - SENT. FUNDÃO - DEL CASTILHO</t>
  </si>
  <si>
    <t>LINHA VERMELHA - ALT. KM 3 - SENT. CENTRO - MARÉ</t>
  </si>
  <si>
    <t xml:space="preserve">Google Maps / Jarvis / Tixxi </t>
  </si>
  <si>
    <t xml:space="preserve">Alex / Hugo / Leonardo / Felipe </t>
  </si>
  <si>
    <t>AVENIDA MARECHAL RONDON - ALT. R. MAL. BITTENCOURT - ROCHA</t>
  </si>
  <si>
    <t xml:space="preserve">Google Maps / HXG / Tixxi </t>
  </si>
  <si>
    <t>AC UT x 3 VP x 2 MT</t>
  </si>
  <si>
    <t>AVENIDA BRASIL - ALT. PASSARELA 13 - SENT. CENTRO - MARÉ</t>
  </si>
  <si>
    <t>AC CM x MT</t>
  </si>
  <si>
    <t>RUA UBATUBA - ALT. EST. GUILHERME DA SILVEIRA - PADRE MIGUEL</t>
  </si>
  <si>
    <t>LINHA VERMELHA - ALT. KM 12 - BAIXADA - CORDOVIL</t>
  </si>
  <si>
    <t>AVENIDA BRASIL - ALT. DA PASSARELA 32- SENT. Z.OESTE. - GUADALUPE</t>
  </si>
  <si>
    <t>Google Maps / Tixxi</t>
  </si>
  <si>
    <t>AVENIDA BRASIL - ALT. RESTAURANTE DOS MINEIROS - SENT. CENTRO - SANTÍSSIMO</t>
  </si>
  <si>
    <t>Google Maps / HXG / Tixxi  - Cam 81</t>
  </si>
  <si>
    <t>RUA VINTE E QUATRO DE MAIO - ALT. BURACO DO PADRE - ENGENHO NOVO</t>
  </si>
  <si>
    <t>LINHA AMARELA - ALT. TÚNEL DA COVANCA - SENT. BARRA DA TIJUCA - ÁGUA SANTA</t>
  </si>
  <si>
    <t>OPVIA</t>
  </si>
  <si>
    <t>Google Maps / HXG / Tixxi  - Cam 7740</t>
  </si>
  <si>
    <t>AVENIDA AYRTON SENNA - ALT. ESPAÇO HALL - SENT. ORLA - JACAREPAGUÁ</t>
  </si>
  <si>
    <t xml:space="preserve">Google Maps / HXG / Tixxi  </t>
  </si>
  <si>
    <t>Manutenção na via (LIGHT)</t>
  </si>
  <si>
    <t>RUA CÂNDIDO BENÍCIO - ALT. R. BARÃO - SENT. TANQUE - PRAÇA SECA</t>
  </si>
  <si>
    <t>TRANSOLÍMPICA - ALT. EST. MAGALHÃES BASTOS - SENT. DEODORO - MAGALHÃES BASTOS</t>
  </si>
  <si>
    <t>ELEVADO ENGENHEIRO FREYSSINET - SENT. LAGOA - RIO COMPRIDO</t>
  </si>
  <si>
    <t>AC UT X 2 VP</t>
  </si>
  <si>
    <t>AVENIDA PRESIDENTE CASTELO BRANCO - ALT. EST. SÃO CRISTÓVÃO - SENT. CENTRO - MARACANÃ</t>
  </si>
  <si>
    <t>AVENIDA BRASIL - ALT. PASSARELA 32 - SENT. CENTRO - GUADALUPE</t>
  </si>
  <si>
    <t>Evento Cultural</t>
  </si>
  <si>
    <t>AVENIDA BORGES DE MEDEIROS - ALT. PARQUE DOS PATINS - LAGOA</t>
  </si>
  <si>
    <t>AVENIDA SALVADOR DE SÁ - ALT. R. CORREIA VASQUES - ESTÁCIO</t>
  </si>
  <si>
    <t>Obra na via (Águas do Rio)</t>
  </si>
  <si>
    <t>AVENIDA AMARO CAVALCANTI - ALT. LINHA AMARELA - SENT. PIEDADE - ENGENHO DE DENTRO</t>
  </si>
  <si>
    <t>PONTE RIO - NITERÓI - ALT. VÃO CENTRAL - SENT. NITERÓI - CAJU</t>
  </si>
  <si>
    <t>ECOPONTE</t>
  </si>
  <si>
    <t>LINHA AMARELA - ALT. ACESSO 8 - SENT. FUNDÃO - BONSUCESSO</t>
  </si>
  <si>
    <t>AC CM X VP</t>
  </si>
  <si>
    <t>AVENIDA BRASIL - ALT. DA PASSARELA 5 - SENT. Z.OESTE. - BENFICA</t>
  </si>
  <si>
    <t>TIXXI Cam - 5606 / 5609</t>
  </si>
  <si>
    <t>Vinícius/Diego/Ricardo</t>
  </si>
  <si>
    <t>Rua 24 de Maio - Alt. Rua São Paulo</t>
  </si>
  <si>
    <t>TIXXI - OP. CICC</t>
  </si>
  <si>
    <t>TIXXI Cam - 4425</t>
  </si>
  <si>
    <t>Av Brasil - Alt. Estação BRT Guadalupe - Sent. Centro - P. Central</t>
  </si>
  <si>
    <t>TIXXI - Operação Av. Brasil</t>
  </si>
  <si>
    <t>Google Maps - Tixxi - Cam 1665</t>
  </si>
  <si>
    <t xml:space="preserve">Manutenção na via (SECONSERVA) </t>
  </si>
  <si>
    <t xml:space="preserve">Viaduto Cristóvão Colombo - Alt. R. José dos Reis - Em ambos os sentidos - Pilares </t>
  </si>
  <si>
    <t>Google Maps - Tixxi - Cam 3212</t>
  </si>
  <si>
    <t xml:space="preserve">Av. Ayrton Senna - Alt. Nº 3419 - Sent. Orla - Barra da Tijuca </t>
  </si>
  <si>
    <t>Google Maps - Tixxi - Cam 837</t>
  </si>
  <si>
    <t xml:space="preserve">Av. Princesa Isabel - Alt. R. felipe de Oliveira - Sent. Orla - Copacabana </t>
  </si>
  <si>
    <t>Google Maps - Tixxi - Cam 3645</t>
  </si>
  <si>
    <t xml:space="preserve">Av. Pastor Martin Luther King Jr - Alt. Estr. Adhemar Bebiano - Sent. Irajá - Engenho da Rainha </t>
  </si>
  <si>
    <t>Google Maps - Tixxi - Cam 112</t>
  </si>
  <si>
    <t xml:space="preserve">Av. Epitácio Pessoa - Al. Av. Borges de Medeiros - Sent. Centro - Lagoa </t>
  </si>
  <si>
    <t>Google Maps - Tixxi - Cam 4689</t>
  </si>
  <si>
    <t xml:space="preserve">Av. Salvador Allende - Alt. R. Abrahão Jabour - Sent. Recreio dos Bandeirantes - Barra da Tijuca </t>
  </si>
  <si>
    <t>Google Maps - Tixxi - Cam 4431</t>
  </si>
  <si>
    <t xml:space="preserve">Enguiço CM </t>
  </si>
  <si>
    <t xml:space="preserve">Av. Brasil - Alt. Est. BRT Vigário Geral - Sent. Centro - Vigário Geral </t>
  </si>
  <si>
    <t>Google Maps - Tixxi - Cam 731</t>
  </si>
  <si>
    <t>AC CM x ON x UT</t>
  </si>
  <si>
    <t>Matheus / Jackson / Márcio</t>
  </si>
  <si>
    <t xml:space="preserve">Av. Brasil - Alt. Trevo das Missões - Cordovil - Sent. Z. Oeste </t>
  </si>
  <si>
    <t>Google Maps - Tixxi - Cam 482</t>
  </si>
  <si>
    <t xml:space="preserve">Av. Ministro Ivan Lins - Alt. Ponte da Joatinga - Sent. Recreio - Barra da Tijuca </t>
  </si>
  <si>
    <t>AC ON x MT</t>
  </si>
  <si>
    <t>ESTRADA DO TINDIBA - ALT. N° 845 - SENT. FREGUESIA - TAQUARA</t>
  </si>
  <si>
    <t>AVENIDA PROFESSOR MANOEL DE ABREU - ALT. R. MAXWELL - SENT. CENTRO - VILA ISABEL</t>
  </si>
  <si>
    <t>AVENIDA FRANCISCO BICALHO - ALT. LEOPOLDINA - SENT. CENTRO - PRAÇA DA BANDEIRA</t>
  </si>
  <si>
    <t>LINHA VERMELHA - ALT. KM 14,5 - SENT. CENTRO - CORDOVIL</t>
  </si>
  <si>
    <t>AVENIDA PADRE LEONEL FRANCA - ALT. PRAÇA SIBELIUS - SENT. LAGOA - GÁVEA</t>
  </si>
  <si>
    <t>AVENIDA BRASIL - VTO. BATAN - SENT. CENTRO - REALENGO</t>
  </si>
  <si>
    <t>LINHA VERMELHA - ALT. KM 8 - SENT. CENTRO - GALEÃO</t>
  </si>
  <si>
    <t>Alarme HXG</t>
  </si>
  <si>
    <t>RUA VINTE E QUATRO DE MAIO - ALT. N° 411 - RIACHUELO</t>
  </si>
  <si>
    <t>ESTRADA ADHEMAR BEBIANO - ALT. N° 275 - SENT. BENFICA - DEL CASTILHO</t>
  </si>
  <si>
    <t>ESTRADA DA GÁVEA - ALT. N° 479 - SENT. SÃO CONRADO - ROCINHA</t>
  </si>
  <si>
    <t>Atropelamento VP</t>
  </si>
  <si>
    <t>LARGO DO MACHADO - ALT. N° 30 - CATETE</t>
  </si>
  <si>
    <t>LINHA AMARELA - ALT. SAÍDA 8, SENT. BARRA. - BONSUCESSO</t>
  </si>
  <si>
    <t>AC UT x VP</t>
  </si>
  <si>
    <t>AVENIDA SALVADOR ALLENDE - ALT. N° 1001 - SENT. RECREIO - JACAREPAGUÁ</t>
  </si>
  <si>
    <t>ESTRADA RIO SÃO PAULO - ALT. N° 590 - SENT. ESTR. RIO DO A - CAMPO GRANDE</t>
  </si>
  <si>
    <t>AVENIDA PRESIDENTE VARGAS - ALT. ESTÁCIO DE SÁ - SENT. PÇA DA BANDEIRA - CENTRO</t>
  </si>
  <si>
    <t>AC ON x VTR x VP</t>
  </si>
  <si>
    <t>PRAÇA TIRADENTES - ALT. R. DA CARIOCA - CENTRO</t>
  </si>
  <si>
    <t>AC ON X POSTE</t>
  </si>
  <si>
    <t>RUA BRASILINA - ALT. N° 08 - CASCADURA</t>
  </si>
  <si>
    <t>AC ON x UT</t>
  </si>
  <si>
    <t>AVENIDA DAS AMÉRICAS - ALT. BOSQUE DA BARRA - SENT. RECREIO - BARRA DA TIJUCA</t>
  </si>
  <si>
    <t>AC 2 VP x MT</t>
  </si>
  <si>
    <t>AVENIDA BORGES DE MEDEIROS - ALT. RUA MARIA ANGÉLICA - SENT. GÁVEA - LAGOA</t>
  </si>
  <si>
    <t>AVENIDA MARECHAL FONTENELE - ALT. N° 5366 - SENT. SULACAP - REALENGO</t>
  </si>
  <si>
    <t>AVENIDA DAS AMÉRICAS - ALT. BARRA SHOPPING - SENT. SÃO CONRADO - BARRA DA TIJUCA</t>
  </si>
  <si>
    <t>RUA DO CATETE - ALT. LARGO DO MACHADO - CATETE</t>
  </si>
  <si>
    <t>RUA CAROLINA MACHADO - ALT. VIADUTO BENTO RIBEIRO - SENT. MARECHAL HERMES - BENTO RIBEIRO</t>
  </si>
  <si>
    <t>ESTRADA DA BARRA DA TIJUCA - ALT. PONTE VELHA - SENT. ITANHANGÁ - BARRA DA TIJUCA</t>
  </si>
  <si>
    <t>AVENIDA MARACANÃ &amp; RUA SÃO FRANCISCO XAVIER - MARACANÃ</t>
  </si>
  <si>
    <t>AVENIDA BRÁZ DE PINA - ALT. N° 1921 - SENT. PENHA - IRAJÁ</t>
  </si>
  <si>
    <t>AVENIDA DOM HELDER CÂMARA - ALT. N° 8197 - SENT. BENFICA - PIEDADE</t>
  </si>
  <si>
    <t>RUA ESTÁCIO DE SÁ - ALT. R. HÉLIO BELTRÃO - SENT. TIJUCA - ESTÁCIO</t>
  </si>
  <si>
    <t>Tixxi - Alarme HXG</t>
  </si>
  <si>
    <t>ESTRADA DOS BANDEIRANTES - ALT. EST. BRT MERCK - SENT. TAQUARA - CURICICA</t>
  </si>
  <si>
    <t>RUA VOLUNTÁRIOS DA PÁTRIA - ALT. N° 190 - BOTAFOGO</t>
  </si>
  <si>
    <t>AC VP x Mureta</t>
  </si>
  <si>
    <t>AVENIDA TRINTA E UM DE MARÇO - ALT. R. FREI CANECA - SENT. CENTRO - CATUMBI</t>
  </si>
  <si>
    <t>RUA MARIA ANGÉLICA - ALT. R. JARDIM BOTÂNICO - SENT. LAGOA - JARDIM BOTÂNICO</t>
  </si>
  <si>
    <t>AVENIDA MARECHAL FONTENELE - ALT. PARQUE SHOPPING - SENT. VALQUEIRE - JARDIM SULACAP</t>
  </si>
  <si>
    <t>AVENIDA PASTOR MARTIN LUTHER KING JÚNIOR - ALT. N° 11856 - SENT. BAIXADA - PAVUNA</t>
  </si>
  <si>
    <t>TRANSOLÍMPICA - ALT. EST. BRT BOIUNA - SENT. RECREIO - TAQUARA</t>
  </si>
  <si>
    <t>Alex / Hugo / Leonardo / Felipe</t>
  </si>
  <si>
    <t>AVENIDA BRASIL - ALT. PASSARELA 6 - SENT. CENTRO - MANGUINHOS</t>
  </si>
  <si>
    <t>AVENIDA BRASIL - ALT. PASSARELA 20 - SENT. CENTRO - PARADA DE LUCAS</t>
  </si>
  <si>
    <t>RUA PARAÍBA &amp; RUA PARÁ &amp; RUA TEIXEIRA SOARES - PRAÇA DA BANDEIRA</t>
  </si>
  <si>
    <t>Alarme HXG - Tixxi</t>
  </si>
  <si>
    <t>ESTRADA DA BARRA DA TIJUCA - ALT. PRAÇA SENADOR MELO VIANA - SENT. BARRA - ITANHANGÁ</t>
  </si>
  <si>
    <t>TRANSOLÍMPICA - ALT. EST. BRT TRANSOLÍMPICA - SENT. RECREIO - TAQUARA</t>
  </si>
  <si>
    <t>AVENIDA AYRTON SENNA - ALT. UPTOWN - SENT. ORLA - BARRA DA TIJUCA</t>
  </si>
  <si>
    <t>AC ON X UT</t>
  </si>
  <si>
    <t>AVENIDA AYRTON SENNA - ALT. ESPAÇO HALL - SENT. ORLA - GARDÊNIA AZUL</t>
  </si>
  <si>
    <t>ESTRADA DO GABINAL - ALT. N° 1935 - SENT. FREGUESIA - GARDÊNIA AZUL</t>
  </si>
  <si>
    <t>Google Maps - Alarme HXG - Tixxi</t>
  </si>
  <si>
    <t xml:space="preserve">AC 3 VP </t>
  </si>
  <si>
    <t>TÚNEL SANTA BÁRBARA - SENT. CENTRO - SANTA TERESA</t>
  </si>
  <si>
    <t>AC CM X MT</t>
  </si>
  <si>
    <t>AUTOESTRADA FERNANDO MAC DOWELL - ALT. ROCINHA - SENT. BARRA - SÃO CONRADO</t>
  </si>
  <si>
    <t>AVENIDA BRASIL - ALT. VIADUTO DE LUCAS SENT. ZONA OESTE - PARADA DE LUCAS</t>
  </si>
  <si>
    <t>AVENIDA BRASIL - ALT. PASSARELA 06 - SENT. CENTRO - MANGUINHOS</t>
  </si>
  <si>
    <t>AVENIDA BRASIL - ALT. EST. BRT VASCO DA GAMA - SENT. CENTRO - SÃO CRISTÓVÃO</t>
  </si>
  <si>
    <t>ESTRADA DA ÁGUA GRANDE - ALT. N° 118 - SENT. VISTA ALEGRE - IRAJÁ</t>
  </si>
  <si>
    <t>TÚNEL ANDRÉ REBOUÇAS - 2ª GALERIA - SENT. CENTRO - COSME VELHO</t>
  </si>
  <si>
    <t>Capotamento VP</t>
  </si>
  <si>
    <t>AUTOESTRADA GRAJAÚ-JACAREPAGUÁ - ALT. KM 4,5 - SENT. JPA - JACAREPAGUÁ</t>
  </si>
  <si>
    <t>AVENIDA AYRTON SENNA - PONTE SANTOS DUMONT - SENT. ORLA - BARRA DA TIJUCA</t>
  </si>
  <si>
    <t>AVENIDA DAS AMÉRICAS - ALT. NOVO LEBLON - SENT. SÃO CONRADO - BARRA DA TIJUCA</t>
  </si>
  <si>
    <t>LINHA AMARELA - ALT. SAÍDA 9D - SENT. BARRA. - BONSUCESSO</t>
  </si>
  <si>
    <t>AVENIDA BRASIL - ALT. PASSARELA 28 - SENT. Z. OESTE - COELHO NETO</t>
  </si>
  <si>
    <t>AVENIDA PASTOR MARTIN LUTHER KING JÚNIOR - ALT. ESTR. ADHEMAR BEBIANO - SENT. PAVUNA - ENGENHO DA RAINHA</t>
  </si>
  <si>
    <t>AVENIDA ARMANDO LOMBARDI - ALT. JARDIM OCEÂNICO - SENT. SÃO CONRADO - BARRA DA TIJUCA</t>
  </si>
  <si>
    <t>AVENIDA EMBAIXADOR ABELARDO BUENO - ALT. ESTAÇÃO BRT REDE SARAH - SENT. TRANSOLÍMPICA - BARRA DA TIJUCA</t>
  </si>
  <si>
    <t>AVENIDA BRASIL - ALT. PASSARELA 7 - SENT. CENTRO - BONSUCESSO</t>
  </si>
  <si>
    <t>TUNEL ANTÔNIO REBOUÇAS - 1° GALERIA - SENT. CENTRO - RIO COMPRIDO</t>
  </si>
  <si>
    <t>AVENIDA SALVADOR ALLENDE - ALT. R. ABRAHÃO JABOUR - SENT. RECREIO - JACAREPAGUÁ</t>
  </si>
  <si>
    <t>AVENIDA BARTOLOMEU DE GUSMÃO - ALT. N° 875 - SENT. CENTRO - SÃO CRISTÓVÃO</t>
  </si>
  <si>
    <t>Google Maps - Tixxi - Cam 4099</t>
  </si>
  <si>
    <t>Av. Ayrton Senna - Alt. Espaço Hall - Sent. Orla - Barra da Tijuca</t>
  </si>
  <si>
    <t>Google Maps - Tixxi - Cam 4254</t>
  </si>
  <si>
    <t xml:space="preserve">Av. Amaro Cavalcanti - Alt. R. Adriano - Sent. Piedade - Méier </t>
  </si>
  <si>
    <t>Google maps e Tixxi - 78</t>
  </si>
  <si>
    <t>Ricardo/Matheus/Jackson</t>
  </si>
  <si>
    <t>AVENIDA REI PELÉ - ALT. Nº223 - SENT. MÉIER - MARACANÃ</t>
  </si>
  <si>
    <t>Google Maps - Tixxi - Cam 4246</t>
  </si>
  <si>
    <t xml:space="preserve">Matheus / Jackson / Júlio </t>
  </si>
  <si>
    <t xml:space="preserve">Av. Amaro Cavalcanti - Alt. R. Adriano - Sent. PIedade - Méier </t>
  </si>
  <si>
    <t>Google Maps - Tixxi - Cam 135</t>
  </si>
  <si>
    <t xml:space="preserve">Av. Ayrton Senna - Alt. Giro do Cebolinha - Sent. Orla - Gardênia Azul </t>
  </si>
  <si>
    <t>Google Maps - Tixxi - Cam 5609</t>
  </si>
  <si>
    <t xml:space="preserve">R. Vinte e Quatro de Maio - Alt. R. Alzira Valdetaro - Sampaio </t>
  </si>
  <si>
    <t xml:space="preserve">Av. Brasil - Alt. Passarela 32 - Sent. Centro - Guadalupe </t>
  </si>
  <si>
    <t>Google Maps - Tixxi - Cam 4425</t>
  </si>
  <si>
    <t>Matheus / Jackson / Felipe / Vinícius</t>
  </si>
  <si>
    <t xml:space="preserve">Av. Brasil - Alt. Est. BRT Guadalupe - Sent. Z. Oeste - Guadalupe </t>
  </si>
  <si>
    <t xml:space="preserve">Google Maps - Tixxi </t>
  </si>
  <si>
    <t>AVENIDA PADRE LEONEL FRANCA - ALT. PRAÇA SIBÉLIUS - AMBOS OS SENTIDOS - GÁVEA</t>
  </si>
  <si>
    <t>Enguiço CR</t>
  </si>
  <si>
    <t>RUA JOSÉ DO PATROCÍNIO - ALT. R. CARUARU - GRAJAÚ</t>
  </si>
  <si>
    <t>Alex / Hugo / Leonardo</t>
  </si>
  <si>
    <t>AVENIDA BRASIL - PASSARELA 9 - SENT. CENTRO - BONSUCESSO</t>
  </si>
  <si>
    <t>ESTRADA INTENDENTE MAGALHÃES - ALT. RUA ANDRADE ARAUJO - SENT. SULACAP - CAMPINHO</t>
  </si>
  <si>
    <t>AVENIDA BRASIL - ALT. PASSARELA 15 - SENT. Z. OESTE - PENHA</t>
  </si>
  <si>
    <t>TUNEL ANTÔNIO REBOUÇAS - 2° GALERIA - SENT. LAGOA - RIO COMPRIDO</t>
  </si>
  <si>
    <t>AVENIDA REI PELÉ - ALT. AV. PROF. MANOEL DE ABREU - SENT. CENTRO - MARACANÃ</t>
  </si>
  <si>
    <t>AVENIDA FRANCISCO BICALHO - ALT. DETRAN, SENT. CENTRO - SANTO CRISTO</t>
  </si>
  <si>
    <t>TÚNEL DA JOATINGA - SENT. SÃO CONRADO - JOÁ</t>
  </si>
  <si>
    <t>Manutenção na via (AEGEA)</t>
  </si>
  <si>
    <t>AVENIDA EPITÁCIO PESSOA - ALT. N° 4956 - SENT. T. REBOUÇAS - LAGOA</t>
  </si>
  <si>
    <t>LINHA VERMELHA - ALT. KM 5 - SENT. CENTRO - MARÉ</t>
  </si>
  <si>
    <t>AVENIDA PASTOR MARTIN LUTHER KING JR - ALT. EST. METRÔ VICENTE DE CARVALHO - SENT. IRAJÁ - TOMÁS COELHO</t>
  </si>
  <si>
    <t>AC TX x MT</t>
  </si>
  <si>
    <t>BOULEVARD VINTE E OITO DE SETEMBRO - ALT. R. SOUSA FRANCO - VILA ISABEL</t>
  </si>
  <si>
    <t>AVENIDA ENGENHEIRO CARLOS CARVALHO - ALT. ESTR. CEL. PEDRO CORREIA - SENT. AV. SALVADOR ALLENDE - BARRA DA TIJUCA</t>
  </si>
  <si>
    <t>AVENIDA TRINTA E UM DE MARÇO - ALT. SAMBÓDROMO - SENT. SANTO CRISTO - CATUMBI</t>
  </si>
  <si>
    <t>AVENIDA ALFREDO BALTHAZAR DA SILVEIRA - ALT. TERMINAL RECREIO - SENT. BARRA - BARRA DA TIJUCA</t>
  </si>
  <si>
    <t>AVENIDA BRASIL - ALT. AV. LOBO JR. - SENT. CENTRO - PENHA</t>
  </si>
  <si>
    <t>AVENIDA BRASIL - ALT. PASSARELA 10 - SENT. Z. OESTE - BONSUCESSO</t>
  </si>
  <si>
    <t>AC CR x VP</t>
  </si>
  <si>
    <t>AVENIDA SALVADOR ALLENDE - ALT. EST. BRT ASA BRANCA - SENT. TRANSOLIMPICA - JACAREPAGUÁ</t>
  </si>
  <si>
    <t>AVENIDA ERNANI CARDOSO - ALT. R. BAURU - CASCADURA</t>
  </si>
  <si>
    <t>RUA EDGARD WERNECK - ALT. AV. GEREMÁRIO DANTAS - SENT. CIDADE DE DEUS - PECHINCHA</t>
  </si>
  <si>
    <t>Google Maps - Tixxi CAM 92</t>
  </si>
  <si>
    <t>Queda de carga na via</t>
  </si>
  <si>
    <t>Vinicius / Diego / Felipe</t>
  </si>
  <si>
    <t>AVENIDA BRASIL - ALT. PASSARELA 5 - SENT. Z.OESTE - BENFICA</t>
  </si>
  <si>
    <t>Google Maps - Tixxi CAM 482</t>
  </si>
  <si>
    <t>Lei Seca</t>
  </si>
  <si>
    <t>AVENIDA MINISTRO IVAN LINS - ALT.  AV. ÉRICO VERÍSSIMO - SENT. - BARRA DA TIJUCA</t>
  </si>
  <si>
    <t>Google Maps - Tixxi CAM 54</t>
  </si>
  <si>
    <t>AC 2 VP X MT</t>
  </si>
  <si>
    <t>AVENIDA EMBAIXADOR ABELARDO BUENO - ALT. EST. CEL. PEDRO CORREIA - SENT. TRANSOLÍMPICA</t>
  </si>
  <si>
    <t>Google Maps - Tixxi CAM 85</t>
  </si>
  <si>
    <t>ENGUIÇO ON</t>
  </si>
  <si>
    <t>RUA DIAS DA CRUZ - ALT. R. ANA BARBOSA - MÉIER</t>
  </si>
  <si>
    <t>AC VP x 2 MT</t>
  </si>
  <si>
    <t>Ricardo / Diego / Matheus</t>
  </si>
  <si>
    <t xml:space="preserve">Transolímpica - Taquara - Alt. BRT Colônia - Sent. Deodoro </t>
  </si>
  <si>
    <t xml:space="preserve">Transolímpica </t>
  </si>
  <si>
    <t>Google Maps - Tixxi - Cam 4397</t>
  </si>
  <si>
    <t xml:space="preserve">Matheus / Jackson / Márcio / Vínícius </t>
  </si>
  <si>
    <t xml:space="preserve">Av. Brasil - Alt. Est. BRT Marinha Mercante - Sent. Z. Oeste - Penha </t>
  </si>
  <si>
    <t xml:space="preserve">CET-RIO </t>
  </si>
  <si>
    <t>Google Maps - Tixxi - Cam 6564</t>
  </si>
  <si>
    <t xml:space="preserve">R. General Herculano Gomes - Alt. R. Alm. Baltazar - Sent. Maracanã - São Cristóvão </t>
  </si>
  <si>
    <t>Google Maps - Tixxi - Cam 493</t>
  </si>
  <si>
    <t xml:space="preserve">Matheus / Jackson / Vinícius / Márcio </t>
  </si>
  <si>
    <t xml:space="preserve">R. Tirol - Alt. Estr. Jacarepaguá - Sent. Grajaú - Freguesia Jacarepaguá </t>
  </si>
  <si>
    <t>Google Maps - Tixxi - Cam 422</t>
  </si>
  <si>
    <t xml:space="preserve">Av. Brasil - Alt. Linha Amarela - Sent. Centro - Maré </t>
  </si>
  <si>
    <t>Google Maps - Tixxi - Cam 704</t>
  </si>
  <si>
    <t xml:space="preserve">Transolímpica - Alt. Est. BRT Padre João Cribbin - Sent. Barra da Tijuca - Magalhães Bastos </t>
  </si>
  <si>
    <t>Google Maps - Tixxi - Cam 6842</t>
  </si>
  <si>
    <t xml:space="preserve">Av. Presidente Vargas - Alt. R. Carmo Neto - Sent. Candelária - Centro </t>
  </si>
  <si>
    <t>AC 3 VP</t>
  </si>
  <si>
    <t xml:space="preserve">Av. das Américas - Alt. Est. BRT Salvador Allende - Sent. Barra da Tijuca - Recreio dos Bandeirantes </t>
  </si>
  <si>
    <t>LINHA VERMELHA - ALT. KM 13 - SENT. CENTRO - GALEÃO</t>
  </si>
  <si>
    <t>ELEVADO DO GASÔMETRO - ALT. INTO – SENT. CENTRO - CAJU</t>
  </si>
  <si>
    <t>AVENIDA ARMANDO LOMBARDI - ALT. PONTE ESTAIADA - BARRA DA TIJUCA</t>
  </si>
  <si>
    <t>Semáforos apagados</t>
  </si>
  <si>
    <t>AVENIDA MARECHAL RONDON - R. VITOR MEIRELES E R. MAL. BITTENCOURT - SAMPAIO</t>
  </si>
  <si>
    <t>AVENIDA REI PELÉ &amp; AVENIDA PROFESSOR MANOEL DE ABREU - MARACANÃ</t>
  </si>
  <si>
    <t>TÚNEL VICE PRES. JOSÉ DE ALENCAR - SENT. SANTA CRUZ - BARRA DE GUARATIBA</t>
  </si>
  <si>
    <t>AVENIDA TRINTA E UM DE MARÇO - ALT. SAÍDA DO T. SANTA BARBARA - SENT. CENTRO - CATUMBI</t>
  </si>
  <si>
    <t>AVENIDA FRANCISCO BICALHO - ALT. N° 300 - SENT. CENTRO - SÃO CRISTÓVÃO</t>
  </si>
  <si>
    <t>PRAÇA BRIGADEIRO CLÓVIS TRAVASSOS - ALT. ASSAÍ - SENT. AV. DOM HELDER CÂMARA - PILARES</t>
  </si>
  <si>
    <t>Semáforo Apagado</t>
  </si>
  <si>
    <t>Maggessi / Leonardo / Hugo</t>
  </si>
  <si>
    <t>AVENIDA MARACANÃ - ALT. R. SÃO FRANCISCO XAVIER - MARACANÃ</t>
  </si>
  <si>
    <t>AVENIDA BRASIL - ALT. VIADUTO DE BARROS FILHO - SENT. Z. OESTE - BARROS FILHO</t>
  </si>
  <si>
    <t>CICC</t>
  </si>
  <si>
    <t>AVENIDA BRASIL - ALT. PASSSARELA 21 - SENT. CENTRO - VIGÁRIO GERAL</t>
  </si>
  <si>
    <t>Manutenção na via (COMLURB)</t>
  </si>
  <si>
    <t>LINHA VERMELHA - ALT. KM  12 - SENT. BAIXADA - GALEÃO</t>
  </si>
  <si>
    <t>ESTRADA DO GALEÃO - ALT. R. MACARI - SENT. RIBEIRA - JARDIM GUANABARA</t>
  </si>
  <si>
    <t>RUA AFONSO CAVALCANTI &amp; RUA LAURA DE ARAÚJO - CIDADE NOVA</t>
  </si>
  <si>
    <t>AC 2 ON</t>
  </si>
  <si>
    <t>AVENIDA AYRTON SENNA - ALT. AEROTOWN - SENT. ORLA - BARRA DA TIJUCA</t>
  </si>
  <si>
    <t>TRANSOLÍMPICA - ALT. EST. BRT ASA BRANCA - SENT. RECREIO - CURICICA</t>
  </si>
  <si>
    <t>PONTE RIO - NITERÓI - ALT. RETA DO CAIS - SENT. NITERÓI - CAJU</t>
  </si>
  <si>
    <t>AVENIDA BRASIL - ALT. PASSARELA 05 - SENT. CENTRO - BENFICA</t>
  </si>
  <si>
    <t>LINHA VERMELHA - ALT. KM 11 - SENT. CENTRO - GALEÃO</t>
  </si>
  <si>
    <t>Manutenção na via (SECONSERVA)</t>
  </si>
  <si>
    <t>TÚNEL ACÚSTICO RAFAEL MASCARENHAS - SENT. SÃO CONRADO - GÁVEA</t>
  </si>
  <si>
    <t>AVENIDA BRASIL - ALT. PASSARELA 22 - SENT. Z. OESTE - VIGÁRIO GERAL</t>
  </si>
  <si>
    <t>AVENIDA BRASIL - ALT. PASSARELA 21 - SENT. CENTRO - PARADA DE LUCAS</t>
  </si>
  <si>
    <t>Obra na via</t>
  </si>
  <si>
    <t>RUA GENERAL CANABARRO &amp; RUA IBITURUNA - MARACANÃ</t>
  </si>
  <si>
    <t>Tixxi Cam 432</t>
  </si>
  <si>
    <t>Ricardo / Diego / Felipe</t>
  </si>
  <si>
    <t>Linha Vermelha, KM07 - Sent. Centro</t>
  </si>
  <si>
    <t>Tixxi Cam 373</t>
  </si>
  <si>
    <t>AC CM x ON</t>
  </si>
  <si>
    <t>Av. Dom Helder Câmara  Alt. Rua Ferreira Leite</t>
  </si>
  <si>
    <t>Google Maps - Tixxi - Cam 45</t>
  </si>
  <si>
    <t>Manutenção na via (CONCESSIONÁRIA)</t>
  </si>
  <si>
    <t xml:space="preserve">Av. Padre Leonel Franca - Alt. R. Artur Araripe - Sent. São Conrado - Gávea </t>
  </si>
  <si>
    <t xml:space="preserve">Matheus / Jackson / Vinicius / Márcio </t>
  </si>
  <si>
    <t xml:space="preserve">Transolímpica - Alt. Est. BRT Marechal Fontenelle - Sent. Av. Brasil - Vila Militar </t>
  </si>
  <si>
    <t xml:space="preserve">CCO TRANSOLÍMPICA </t>
  </si>
  <si>
    <t xml:space="preserve">AC VP x Mureta </t>
  </si>
  <si>
    <t xml:space="preserve">Matheus / Jackson / Márcio / Vinícius </t>
  </si>
  <si>
    <t xml:space="preserve">Av. Brasil - Alt. Linha Amarela - Sent. Centro - Bonsucesso </t>
  </si>
  <si>
    <t>Google Maps - Tixxi - Cam 3170</t>
  </si>
  <si>
    <t xml:space="preserve">Av. Ayrton Senna - Alt. Terminal Alvorada - Sent. Orla - Barra da Tijuca </t>
  </si>
  <si>
    <t>Google Maps - Tixxi - Cam 4591</t>
  </si>
  <si>
    <t xml:space="preserve">AC Envolv. VP </t>
  </si>
  <si>
    <t xml:space="preserve">R. Francisco Eugênio - Alt. Av. Francisco Bicalho - São Cristóvão </t>
  </si>
  <si>
    <t>TIXXI - Cam 153</t>
  </si>
  <si>
    <t>AVENIDA BRASIL - ALT. ESTR. JOÃO PAULO</t>
  </si>
  <si>
    <t>Google Maps - Tixxi - Cam 4413</t>
  </si>
  <si>
    <t xml:space="preserve">Queda MT </t>
  </si>
  <si>
    <t xml:space="preserve">Av. Brasil - Alt. Est. BRT Rubens Vaz - Sent. Z. Oeste - Maré </t>
  </si>
  <si>
    <t>Google Maps - Tixxi - Cam 3692</t>
  </si>
  <si>
    <t xml:space="preserve">Av. Martin Luther King Jr - Alt. Est. Metrô Acari - Sent. Pavuna - Acari </t>
  </si>
  <si>
    <t>Google Maps - Tixxi - Cam 510</t>
  </si>
  <si>
    <t xml:space="preserve">Transolímpica - Alt. Estr. dos Bandeirantes - Sent. Recreio dos Bandeirantes - Curicica </t>
  </si>
  <si>
    <t>Google Maps - Tixxi - Cam 4479</t>
  </si>
  <si>
    <t xml:space="preserve">Viaduto Eng. Noronha - Alt. Túnel Santa Bárbara - Sent. Centro - Laranjeiras </t>
  </si>
  <si>
    <t>Google Maps - Tixxi - Cam 3285</t>
  </si>
  <si>
    <t xml:space="preserve">Estr. do Galeão - Alt. Nº 4115 - Sent. Jardim Carioca - Galeão </t>
  </si>
  <si>
    <t xml:space="preserve">AC VP x Poste seguido de capotamento </t>
  </si>
  <si>
    <t xml:space="preserve">Av. de Santa Cruz - Alt. R. Malhôa - Sent. Campo Grande - Senador Vasconcelos </t>
  </si>
  <si>
    <t>Google Maps - Tixxi - Cam 756</t>
  </si>
  <si>
    <t xml:space="preserve">Linha Amarela - Alt. Saída 7 - Sent. Ilha do Fundão - Bonsucesso </t>
  </si>
  <si>
    <t>Google Maps - Tixxi - Cam 150</t>
  </si>
  <si>
    <t xml:space="preserve">Av. Presidente Vargas - Alt. Est. Metrô Cidade Nova - Sent. Candelária - Centro </t>
  </si>
  <si>
    <t>Google Maps - Tixxi - Cam 724</t>
  </si>
  <si>
    <t xml:space="preserve">Enguiço UT </t>
  </si>
  <si>
    <t xml:space="preserve">Av. Brasil - Alt. R. Luís Coutinho Cavalcanti - Sent. Centro - Guadalupe </t>
  </si>
  <si>
    <t>Google Maps - Tixxi - Cam 3174</t>
  </si>
  <si>
    <t xml:space="preserve">Av. Salvador Allende - Alt. Est. BRT Minha Praia - Sent. Recreio dos Bandeirantes - Barra da Tijuca </t>
  </si>
  <si>
    <t>Google Maps - Tixxi - Cam 5681</t>
  </si>
  <si>
    <t xml:space="preserve">Matheus / Jackson / Vinícius </t>
  </si>
  <si>
    <t xml:space="preserve">Av. Marechal Rondon - Alt. R. Sousa Dantas - São Francisco Xavier </t>
  </si>
  <si>
    <t xml:space="preserve">Linha Amarela - Alt. Saída 7 - Sent. Centro - Bonsucesso </t>
  </si>
  <si>
    <t xml:space="preserve">AC VP x 2 MT </t>
  </si>
  <si>
    <t xml:space="preserve">Av. Brasil - Alt. Passarela 9 - Sent. Centro - Bonsucesso </t>
  </si>
  <si>
    <t xml:space="preserve">Vinícius / Diego / Felipe </t>
  </si>
  <si>
    <t>AVENIDA BRASIL - ALT. TRANSOLIMPICA - SENT. CENTRO - DEODORO</t>
  </si>
  <si>
    <t xml:space="preserve">AC CM x MT </t>
  </si>
  <si>
    <t>Google Maps - Tixxi - Cam 480</t>
  </si>
  <si>
    <t>ESTRADA DA BARRA DA TIJUCA - ALT. PONTE ESTAIADA DA BARRA - SENT. AV. ARMANDO LOMBARDI - ITANHANGÁ</t>
  </si>
  <si>
    <t xml:space="preserve">CBMERJ </t>
  </si>
  <si>
    <t>Google Maps - Tixxi - Cam 78</t>
  </si>
  <si>
    <t>AVENIDA PRESIDENTE CASTELO BRANCO - ALT. R. SÃO FRANCISCO XAVIER - SENT. MÉIER - MARACANÃ</t>
  </si>
  <si>
    <t>Google Maps - Tixxi - Cam 136</t>
  </si>
  <si>
    <t xml:space="preserve">AC UT x Animal </t>
  </si>
  <si>
    <t>AVENIDA AYRTON SENNA - ALT. UPTOWN BARRA - SENT. LINHA AMARELA - GARDÊNIA AZUL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</si>
</sst>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\-mmm"/>
  </numFmts>
  <fonts count="9">
    <font>
      <sz val="11"/>
      <color theme="1"/>
      <name val="Calibri"/>
      <scheme val="minor"/>
    </font>
    <font>
      <b/>
      <sz val="14"/>
      <color theme="0"/>
      <name val="Aptos Narrow"/>
    </font>
    <font>
      <sz val="11"/>
      <name val="Aptos Narrow"/>
    </font>
    <font>
      <sz val="8"/>
      <color theme="0"/>
      <name val="Aptos Narrow"/>
    </font>
    <font>
      <sz val="8"/>
      <color theme="1"/>
      <name val="Aptos Narrow"/>
    </font>
    <font>
      <sz val="8"/>
      <color theme="1"/>
      <name val="Arial"/>
    </font>
    <font>
      <sz val="8"/>
      <color theme="1"/>
      <name val="Calibri"/>
      <scheme val="minor"/>
    </font>
    <font>
      <sz val="9"/>
      <color theme="1"/>
      <name val="Arial"/>
    </font>
    <font>
      <sz val="8"/>
      <color rgb="FF444746"/>
      <name val="Arial"/>
    </font>
  </fonts>
  <fills count="4">
    <fill>
      <patternFill patternType="none"/>
    </fill>
    <fill>
      <patternFill patternType="gray125"/>
    </fill>
    <fill>
      <patternFill patternType="solid">
        <fgColor rgb="FF074F6A"/>
        <bgColor rgb="FF074F6A"/>
      </patternFill>
    </fill>
    <fill>
      <patternFill patternType="solid">
        <fgColor theme="1"/>
        <bgColor theme="1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0" xfId="0" applyFont="1" applyAlignment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3" borderId="9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16" fontId="5" fillId="0" borderId="10" xfId="0" applyNumberFormat="1" applyFont="1" applyBorder="1" applyAlignment="1">
      <alignment horizontal="center"/>
    </xf>
    <xf numFmtId="0" fontId="5" fillId="0" borderId="0" xfId="0" applyFont="1" applyAlignment="1"/>
    <xf numFmtId="0" fontId="5" fillId="0" borderId="11" xfId="0" applyFont="1" applyBorder="1" applyAlignment="1"/>
    <xf numFmtId="0" fontId="4" fillId="0" borderId="0" xfId="0" applyFont="1"/>
    <xf numFmtId="0" fontId="4" fillId="0" borderId="11" xfId="0" applyFont="1" applyBorder="1" applyAlignment="1">
      <alignment horizontal="center"/>
    </xf>
    <xf numFmtId="16" fontId="4" fillId="0" borderId="11" xfId="0" applyNumberFormat="1" applyFont="1" applyBorder="1" applyAlignment="1">
      <alignment horizontal="center"/>
    </xf>
    <xf numFmtId="0" fontId="6" fillId="0" borderId="0" xfId="0" applyFont="1" applyAlignment="1"/>
    <xf numFmtId="0" fontId="4" fillId="0" borderId="11" xfId="0" applyFont="1" applyBorder="1" applyAlignment="1"/>
    <xf numFmtId="0" fontId="7" fillId="0" borderId="0" xfId="0" applyFont="1" applyAlignment="1"/>
    <xf numFmtId="0" fontId="7" fillId="0" borderId="11" xfId="0" applyFont="1" applyBorder="1" applyAlignment="1"/>
    <xf numFmtId="0" fontId="5" fillId="0" borderId="10" xfId="0" applyFont="1" applyBorder="1" applyAlignment="1"/>
    <xf numFmtId="164" fontId="5" fillId="0" borderId="11" xfId="0" applyNumberFormat="1" applyFont="1" applyBorder="1" applyAlignment="1">
      <alignment horizontal="center"/>
    </xf>
    <xf numFmtId="0" fontId="8" fillId="0" borderId="1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1000"/>
  <sheetViews>
    <sheetView tabSelected="1" topLeftCell="A235" workbookViewId="0">
      <selection activeCell="D246" sqref="D246"/>
    </sheetView>
  </sheetViews>
  <sheetFormatPr defaultColWidth="14" defaultRowHeight="15" customHeight="1"/>
  <cols>
    <col min="1" max="3" width="11.88671875" style="1" customWidth="1"/>
    <col min="4" max="4" width="43" style="1" customWidth="1"/>
    <col min="5" max="5" width="20.44140625" style="1" customWidth="1"/>
    <col min="6" max="6" width="33" style="1" customWidth="1"/>
    <col min="7" max="7" width="78.5546875" style="1" customWidth="1"/>
    <col min="8" max="8" width="23" style="1" customWidth="1"/>
    <col min="9" max="18" width="11.88671875" style="1" customWidth="1"/>
    <col min="19" max="26" width="9.5546875" style="1" customWidth="1"/>
    <col min="27" max="16384" width="14" style="1"/>
  </cols>
  <sheetData>
    <row r="1" spans="2:23" ht="9.75" customHeight="1"/>
    <row r="2" spans="2:23" ht="9.75" customHeight="1"/>
    <row r="3" spans="2:23" ht="9.75" customHeight="1" thickBot="1"/>
    <row r="4" spans="2:23" ht="9.75" customHeight="1">
      <c r="B4" s="2" t="s">
        <v>0</v>
      </c>
      <c r="C4" s="3"/>
      <c r="D4" s="3"/>
      <c r="E4" s="3"/>
      <c r="F4" s="3"/>
      <c r="G4" s="3"/>
      <c r="H4" s="4"/>
    </row>
    <row r="5" spans="2:23" ht="9.75" customHeight="1">
      <c r="B5" s="5"/>
      <c r="C5" s="6"/>
      <c r="D5" s="6"/>
      <c r="E5" s="6"/>
      <c r="F5" s="6"/>
      <c r="G5" s="6"/>
      <c r="H5" s="7"/>
    </row>
    <row r="6" spans="2:23" ht="9.75" customHeight="1" thickBot="1">
      <c r="B6" s="8"/>
      <c r="C6" s="9"/>
      <c r="D6" s="9"/>
      <c r="E6" s="9"/>
      <c r="F6" s="9"/>
      <c r="G6" s="9"/>
      <c r="H6" s="10"/>
    </row>
    <row r="7" spans="2:23" ht="9.75" customHeight="1" thickBot="1"/>
    <row r="8" spans="2:23" ht="9.75" customHeight="1" thickBot="1">
      <c r="B8" s="11" t="s">
        <v>1</v>
      </c>
      <c r="C8" s="11" t="s">
        <v>2</v>
      </c>
      <c r="D8" s="11" t="s">
        <v>3</v>
      </c>
      <c r="E8" s="11" t="s">
        <v>4</v>
      </c>
      <c r="F8" s="11" t="s">
        <v>5</v>
      </c>
      <c r="G8" s="11" t="s">
        <v>6</v>
      </c>
      <c r="H8" s="11" t="s">
        <v>7</v>
      </c>
    </row>
    <row r="9" spans="2:23" ht="9.75" customHeight="1">
      <c r="B9" s="12">
        <v>1</v>
      </c>
      <c r="C9" s="13">
        <v>46174</v>
      </c>
      <c r="D9" s="14" t="s">
        <v>8</v>
      </c>
      <c r="E9" s="15" t="s">
        <v>9</v>
      </c>
      <c r="F9" s="15" t="s">
        <v>10</v>
      </c>
      <c r="G9" s="15" t="s">
        <v>11</v>
      </c>
      <c r="H9" s="15" t="s">
        <v>12</v>
      </c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</row>
    <row r="10" spans="2:23" ht="9.75" customHeight="1">
      <c r="B10" s="17">
        <f t="shared" ref="B10:B73" si="0">B9+1</f>
        <v>2</v>
      </c>
      <c r="C10" s="18">
        <f t="shared" ref="C10:C22" si="1">C9</f>
        <v>46174</v>
      </c>
      <c r="D10" s="15" t="s">
        <v>13</v>
      </c>
      <c r="E10" s="15" t="s">
        <v>14</v>
      </c>
      <c r="F10" s="15" t="s">
        <v>10</v>
      </c>
      <c r="G10" s="15" t="s">
        <v>15</v>
      </c>
      <c r="H10" s="15" t="s">
        <v>12</v>
      </c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</row>
    <row r="11" spans="2:23" ht="9.75" customHeight="1">
      <c r="B11" s="17">
        <f t="shared" si="0"/>
        <v>3</v>
      </c>
      <c r="C11" s="18">
        <f t="shared" si="1"/>
        <v>46174</v>
      </c>
      <c r="D11" s="15" t="s">
        <v>8</v>
      </c>
      <c r="E11" s="15" t="s">
        <v>16</v>
      </c>
      <c r="F11" s="15" t="s">
        <v>10</v>
      </c>
      <c r="G11" s="15" t="s">
        <v>17</v>
      </c>
      <c r="H11" s="15" t="s">
        <v>18</v>
      </c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</row>
    <row r="12" spans="2:23" ht="9.75" customHeight="1">
      <c r="B12" s="17">
        <f t="shared" si="0"/>
        <v>4</v>
      </c>
      <c r="C12" s="18">
        <f t="shared" si="1"/>
        <v>46174</v>
      </c>
      <c r="D12" s="15" t="s">
        <v>19</v>
      </c>
      <c r="E12" s="15" t="s">
        <v>16</v>
      </c>
      <c r="F12" s="15" t="s">
        <v>10</v>
      </c>
      <c r="G12" s="15" t="s">
        <v>20</v>
      </c>
      <c r="H12" s="15" t="s">
        <v>12</v>
      </c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</row>
    <row r="13" spans="2:23" ht="9.75" customHeight="1">
      <c r="B13" s="17">
        <f t="shared" si="0"/>
        <v>5</v>
      </c>
      <c r="C13" s="18">
        <f t="shared" si="1"/>
        <v>46174</v>
      </c>
      <c r="D13" s="15" t="s">
        <v>13</v>
      </c>
      <c r="E13" s="15" t="s">
        <v>21</v>
      </c>
      <c r="F13" s="15" t="s">
        <v>10</v>
      </c>
      <c r="G13" s="15" t="s">
        <v>22</v>
      </c>
      <c r="H13" s="15" t="s">
        <v>23</v>
      </c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</row>
    <row r="14" spans="2:23" ht="9.75" customHeight="1">
      <c r="B14" s="17">
        <f t="shared" si="0"/>
        <v>6</v>
      </c>
      <c r="C14" s="18">
        <f t="shared" si="1"/>
        <v>46174</v>
      </c>
      <c r="D14" s="15" t="s">
        <v>13</v>
      </c>
      <c r="E14" s="15" t="s">
        <v>16</v>
      </c>
      <c r="F14" s="15" t="s">
        <v>10</v>
      </c>
      <c r="G14" s="15" t="s">
        <v>24</v>
      </c>
      <c r="H14" s="15" t="s">
        <v>25</v>
      </c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</row>
    <row r="15" spans="2:23" ht="9.75" customHeight="1">
      <c r="B15" s="17">
        <f t="shared" si="0"/>
        <v>7</v>
      </c>
      <c r="C15" s="18">
        <f t="shared" si="1"/>
        <v>46174</v>
      </c>
      <c r="D15" s="15" t="s">
        <v>26</v>
      </c>
      <c r="E15" s="15" t="s">
        <v>27</v>
      </c>
      <c r="F15" s="15" t="s">
        <v>10</v>
      </c>
      <c r="G15" s="19" t="s">
        <v>28</v>
      </c>
      <c r="H15" s="15" t="s">
        <v>29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2:23" ht="9.75" customHeight="1">
      <c r="B16" s="17">
        <f t="shared" si="0"/>
        <v>8</v>
      </c>
      <c r="C16" s="18">
        <f t="shared" si="1"/>
        <v>46174</v>
      </c>
      <c r="D16" s="15" t="s">
        <v>13</v>
      </c>
      <c r="E16" s="15" t="s">
        <v>14</v>
      </c>
      <c r="F16" s="15" t="s">
        <v>10</v>
      </c>
      <c r="G16" s="15" t="s">
        <v>30</v>
      </c>
      <c r="H16" s="15" t="s">
        <v>31</v>
      </c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</row>
    <row r="17" spans="2:23" ht="9.75" customHeight="1">
      <c r="B17" s="17">
        <f t="shared" si="0"/>
        <v>9</v>
      </c>
      <c r="C17" s="18">
        <f t="shared" si="1"/>
        <v>46174</v>
      </c>
      <c r="D17" s="15" t="s">
        <v>13</v>
      </c>
      <c r="E17" s="15" t="s">
        <v>32</v>
      </c>
      <c r="F17" s="15" t="s">
        <v>10</v>
      </c>
      <c r="G17" s="15" t="s">
        <v>33</v>
      </c>
      <c r="H17" s="15" t="s">
        <v>25</v>
      </c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</row>
    <row r="18" spans="2:23" ht="9.75" customHeight="1">
      <c r="B18" s="17">
        <f t="shared" si="0"/>
        <v>10</v>
      </c>
      <c r="C18" s="18">
        <f t="shared" si="1"/>
        <v>46174</v>
      </c>
      <c r="D18" s="15" t="s">
        <v>34</v>
      </c>
      <c r="E18" s="15" t="s">
        <v>35</v>
      </c>
      <c r="F18" s="15" t="s">
        <v>36</v>
      </c>
      <c r="G18" s="15" t="s">
        <v>37</v>
      </c>
      <c r="H18" s="15" t="s">
        <v>31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2:23" ht="9.75" customHeight="1">
      <c r="B19" s="17">
        <f t="shared" si="0"/>
        <v>11</v>
      </c>
      <c r="C19" s="18">
        <f t="shared" si="1"/>
        <v>46174</v>
      </c>
      <c r="D19" s="15" t="s">
        <v>38</v>
      </c>
      <c r="E19" s="15" t="s">
        <v>39</v>
      </c>
      <c r="F19" s="15" t="s">
        <v>36</v>
      </c>
      <c r="G19" s="15" t="s">
        <v>40</v>
      </c>
      <c r="H19" s="15" t="s">
        <v>31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2:23" ht="9.75" customHeight="1">
      <c r="B20" s="17">
        <f t="shared" si="0"/>
        <v>12</v>
      </c>
      <c r="C20" s="18">
        <f t="shared" si="1"/>
        <v>46174</v>
      </c>
      <c r="D20" s="15" t="s">
        <v>41</v>
      </c>
      <c r="E20" s="15" t="s">
        <v>42</v>
      </c>
      <c r="F20" s="15" t="s">
        <v>36</v>
      </c>
      <c r="G20" s="15" t="s">
        <v>43</v>
      </c>
      <c r="H20" s="15" t="s">
        <v>31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2:23" ht="9.75" customHeight="1">
      <c r="B21" s="17">
        <f t="shared" si="0"/>
        <v>13</v>
      </c>
      <c r="C21" s="18">
        <f t="shared" si="1"/>
        <v>46174</v>
      </c>
      <c r="D21" s="15" t="s">
        <v>44</v>
      </c>
      <c r="E21" s="15" t="s">
        <v>45</v>
      </c>
      <c r="F21" s="15" t="s">
        <v>36</v>
      </c>
      <c r="G21" s="15" t="s">
        <v>46</v>
      </c>
      <c r="H21" s="15" t="s">
        <v>31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spans="2:23" ht="9.75" customHeight="1">
      <c r="B22" s="17">
        <f t="shared" si="0"/>
        <v>14</v>
      </c>
      <c r="C22" s="18">
        <f t="shared" si="1"/>
        <v>46174</v>
      </c>
      <c r="D22" s="15" t="s">
        <v>47</v>
      </c>
      <c r="E22" s="15" t="s">
        <v>48</v>
      </c>
      <c r="F22" s="15" t="s">
        <v>36</v>
      </c>
      <c r="G22" s="15" t="s">
        <v>49</v>
      </c>
      <c r="H22" s="15" t="s">
        <v>50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spans="2:23" ht="9.75" customHeight="1">
      <c r="B23" s="17">
        <f t="shared" si="0"/>
        <v>15</v>
      </c>
      <c r="C23" s="13">
        <v>46175</v>
      </c>
      <c r="D23" s="14" t="s">
        <v>51</v>
      </c>
      <c r="E23" s="15" t="s">
        <v>52</v>
      </c>
      <c r="F23" s="15" t="s">
        <v>53</v>
      </c>
      <c r="G23" s="15" t="s">
        <v>54</v>
      </c>
      <c r="H23" s="15" t="s">
        <v>31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2:23" ht="9.75" customHeight="1">
      <c r="B24" s="17">
        <f t="shared" si="0"/>
        <v>16</v>
      </c>
      <c r="C24" s="18">
        <f t="shared" ref="C24:C29" si="2">C23</f>
        <v>46175</v>
      </c>
      <c r="D24" s="15" t="s">
        <v>55</v>
      </c>
      <c r="E24" s="15" t="s">
        <v>56</v>
      </c>
      <c r="F24" s="15" t="s">
        <v>53</v>
      </c>
      <c r="G24" s="15" t="s">
        <v>57</v>
      </c>
      <c r="H24" s="15" t="s">
        <v>12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2:23" ht="9.75" customHeight="1">
      <c r="B25" s="17">
        <f t="shared" si="0"/>
        <v>17</v>
      </c>
      <c r="C25" s="18">
        <f t="shared" si="2"/>
        <v>46175</v>
      </c>
      <c r="D25" s="15" t="s">
        <v>55</v>
      </c>
      <c r="E25" s="15" t="s">
        <v>58</v>
      </c>
      <c r="F25" s="15" t="s">
        <v>53</v>
      </c>
      <c r="G25" s="15" t="s">
        <v>59</v>
      </c>
      <c r="H25" s="15" t="s">
        <v>12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2:23" ht="9.75" customHeight="1">
      <c r="B26" s="17">
        <f t="shared" si="0"/>
        <v>18</v>
      </c>
      <c r="C26" s="18">
        <f t="shared" si="2"/>
        <v>46175</v>
      </c>
      <c r="D26" s="15" t="s">
        <v>60</v>
      </c>
      <c r="E26" s="15" t="s">
        <v>32</v>
      </c>
      <c r="F26" s="15" t="s">
        <v>61</v>
      </c>
      <c r="G26" s="20" t="s">
        <v>62</v>
      </c>
      <c r="H26" s="15" t="s">
        <v>12</v>
      </c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2:23" ht="9.75" customHeight="1">
      <c r="B27" s="17">
        <f t="shared" si="0"/>
        <v>19</v>
      </c>
      <c r="C27" s="18">
        <f t="shared" si="2"/>
        <v>46175</v>
      </c>
      <c r="D27" s="15" t="s">
        <v>63</v>
      </c>
      <c r="E27" s="15" t="s">
        <v>64</v>
      </c>
      <c r="F27" s="15" t="s">
        <v>61</v>
      </c>
      <c r="G27" s="15" t="s">
        <v>65</v>
      </c>
      <c r="H27" s="15" t="s">
        <v>31</v>
      </c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2:23" ht="9.75" customHeight="1">
      <c r="B28" s="17">
        <f t="shared" si="0"/>
        <v>20</v>
      </c>
      <c r="C28" s="18">
        <f t="shared" si="2"/>
        <v>46175</v>
      </c>
      <c r="D28" s="15" t="s">
        <v>66</v>
      </c>
      <c r="E28" s="15" t="s">
        <v>45</v>
      </c>
      <c r="F28" s="15" t="s">
        <v>61</v>
      </c>
      <c r="G28" s="20" t="s">
        <v>67</v>
      </c>
      <c r="H28" s="15" t="s">
        <v>31</v>
      </c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2:23" ht="9.75" customHeight="1">
      <c r="B29" s="17">
        <f t="shared" si="0"/>
        <v>21</v>
      </c>
      <c r="C29" s="18">
        <f t="shared" si="2"/>
        <v>46175</v>
      </c>
      <c r="D29" s="15" t="s">
        <v>68</v>
      </c>
      <c r="E29" s="15" t="s">
        <v>69</v>
      </c>
      <c r="F29" s="15" t="s">
        <v>61</v>
      </c>
      <c r="G29" s="15" t="s">
        <v>70</v>
      </c>
      <c r="H29" s="15" t="s">
        <v>31</v>
      </c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2:23" ht="9.75" customHeight="1">
      <c r="B30" s="17">
        <f t="shared" si="0"/>
        <v>22</v>
      </c>
      <c r="C30" s="13">
        <v>46176</v>
      </c>
      <c r="D30" s="15" t="s">
        <v>71</v>
      </c>
      <c r="E30" s="15" t="s">
        <v>72</v>
      </c>
      <c r="F30" s="15" t="s">
        <v>73</v>
      </c>
      <c r="G30" s="15" t="s">
        <v>74</v>
      </c>
      <c r="H30" s="15" t="s">
        <v>31</v>
      </c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2:23" ht="9.75" customHeight="1">
      <c r="B31" s="17">
        <f t="shared" si="0"/>
        <v>23</v>
      </c>
      <c r="C31" s="13">
        <v>46177</v>
      </c>
      <c r="D31" s="15" t="s">
        <v>75</v>
      </c>
      <c r="E31" s="20" t="s">
        <v>76</v>
      </c>
      <c r="F31" s="15" t="s">
        <v>77</v>
      </c>
      <c r="G31" s="20" t="s">
        <v>78</v>
      </c>
      <c r="H31" s="15" t="s">
        <v>31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2:23" ht="9.75" customHeight="1">
      <c r="B32" s="17">
        <f t="shared" si="0"/>
        <v>24</v>
      </c>
      <c r="C32" s="18">
        <f t="shared" ref="C32:C45" si="3">C31</f>
        <v>46177</v>
      </c>
      <c r="D32" s="15" t="s">
        <v>75</v>
      </c>
      <c r="E32" s="15" t="s">
        <v>79</v>
      </c>
      <c r="F32" s="15" t="s">
        <v>77</v>
      </c>
      <c r="G32" s="20" t="s">
        <v>80</v>
      </c>
      <c r="H32" s="15" t="s">
        <v>31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2:23" ht="9.75" customHeight="1">
      <c r="B33" s="17">
        <f t="shared" si="0"/>
        <v>25</v>
      </c>
      <c r="C33" s="18">
        <f t="shared" si="3"/>
        <v>46177</v>
      </c>
      <c r="D33" s="15" t="s">
        <v>13</v>
      </c>
      <c r="E33" s="15" t="s">
        <v>76</v>
      </c>
      <c r="F33" s="15" t="s">
        <v>77</v>
      </c>
      <c r="G33" s="20" t="s">
        <v>81</v>
      </c>
      <c r="H33" s="15" t="s">
        <v>31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2:23" ht="9.75" customHeight="1">
      <c r="B34" s="17">
        <f t="shared" si="0"/>
        <v>26</v>
      </c>
      <c r="C34" s="18">
        <f t="shared" si="3"/>
        <v>46177</v>
      </c>
      <c r="D34" s="15" t="s">
        <v>8</v>
      </c>
      <c r="E34" s="15" t="s">
        <v>82</v>
      </c>
      <c r="F34" s="15" t="s">
        <v>77</v>
      </c>
      <c r="G34" s="20" t="s">
        <v>83</v>
      </c>
      <c r="H34" s="15" t="s">
        <v>25</v>
      </c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2:23" ht="9.75" customHeight="1">
      <c r="B35" s="17">
        <f t="shared" si="0"/>
        <v>27</v>
      </c>
      <c r="C35" s="18">
        <f t="shared" si="3"/>
        <v>46177</v>
      </c>
      <c r="D35" s="15" t="s">
        <v>13</v>
      </c>
      <c r="E35" s="15" t="s">
        <v>84</v>
      </c>
      <c r="F35" s="15" t="s">
        <v>77</v>
      </c>
      <c r="G35" s="20" t="s">
        <v>85</v>
      </c>
      <c r="H35" s="15" t="s">
        <v>31</v>
      </c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2:23" ht="9.75" customHeight="1">
      <c r="B36" s="17">
        <f t="shared" si="0"/>
        <v>28</v>
      </c>
      <c r="C36" s="18">
        <f t="shared" si="3"/>
        <v>46177</v>
      </c>
      <c r="D36" s="15" t="s">
        <v>8</v>
      </c>
      <c r="E36" s="15" t="s">
        <v>84</v>
      </c>
      <c r="F36" s="15" t="s">
        <v>77</v>
      </c>
      <c r="G36" s="20" t="s">
        <v>86</v>
      </c>
      <c r="H36" s="15" t="s">
        <v>12</v>
      </c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2:23" ht="9.75" customHeight="1">
      <c r="B37" s="17">
        <f t="shared" si="0"/>
        <v>29</v>
      </c>
      <c r="C37" s="18">
        <f t="shared" si="3"/>
        <v>46177</v>
      </c>
      <c r="D37" s="15" t="s">
        <v>8</v>
      </c>
      <c r="E37" s="15" t="s">
        <v>9</v>
      </c>
      <c r="F37" s="15" t="s">
        <v>77</v>
      </c>
      <c r="G37" s="20" t="s">
        <v>87</v>
      </c>
      <c r="H37" s="15" t="s">
        <v>12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2:23" ht="9.75" customHeight="1">
      <c r="B38" s="17">
        <f t="shared" si="0"/>
        <v>30</v>
      </c>
      <c r="C38" s="18">
        <f t="shared" si="3"/>
        <v>46177</v>
      </c>
      <c r="D38" s="15" t="s">
        <v>8</v>
      </c>
      <c r="E38" s="15" t="s">
        <v>84</v>
      </c>
      <c r="F38" s="15" t="s">
        <v>77</v>
      </c>
      <c r="G38" s="20" t="s">
        <v>88</v>
      </c>
      <c r="H38" s="15" t="s">
        <v>12</v>
      </c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2:23" ht="9.75" customHeight="1">
      <c r="B39" s="17">
        <f t="shared" si="0"/>
        <v>31</v>
      </c>
      <c r="C39" s="18">
        <f t="shared" si="3"/>
        <v>46177</v>
      </c>
      <c r="D39" s="15" t="s">
        <v>13</v>
      </c>
      <c r="E39" s="15" t="s">
        <v>9</v>
      </c>
      <c r="F39" s="15" t="s">
        <v>77</v>
      </c>
      <c r="G39" s="20" t="s">
        <v>85</v>
      </c>
      <c r="H39" s="15" t="s">
        <v>31</v>
      </c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2:23" ht="9.75" customHeight="1">
      <c r="B40" s="17">
        <f t="shared" si="0"/>
        <v>32</v>
      </c>
      <c r="C40" s="18">
        <f t="shared" si="3"/>
        <v>46177</v>
      </c>
      <c r="D40" s="15" t="s">
        <v>13</v>
      </c>
      <c r="E40" s="15" t="s">
        <v>16</v>
      </c>
      <c r="F40" s="15" t="s">
        <v>77</v>
      </c>
      <c r="G40" s="20" t="s">
        <v>89</v>
      </c>
      <c r="H40" s="15" t="s">
        <v>31</v>
      </c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2:23" ht="9.75" customHeight="1">
      <c r="B41" s="17">
        <f t="shared" si="0"/>
        <v>33</v>
      </c>
      <c r="C41" s="18">
        <f t="shared" si="3"/>
        <v>46177</v>
      </c>
      <c r="D41" s="15" t="s">
        <v>13</v>
      </c>
      <c r="E41" s="20" t="s">
        <v>90</v>
      </c>
      <c r="F41" s="15" t="s">
        <v>77</v>
      </c>
      <c r="G41" s="20" t="s">
        <v>91</v>
      </c>
      <c r="H41" s="15" t="s">
        <v>25</v>
      </c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2:23" ht="9.75" customHeight="1">
      <c r="B42" s="17">
        <f t="shared" si="0"/>
        <v>34</v>
      </c>
      <c r="C42" s="18">
        <f t="shared" si="3"/>
        <v>46177</v>
      </c>
      <c r="D42" s="15" t="s">
        <v>13</v>
      </c>
      <c r="E42" s="15" t="s">
        <v>92</v>
      </c>
      <c r="F42" s="15" t="s">
        <v>77</v>
      </c>
      <c r="G42" s="20" t="s">
        <v>93</v>
      </c>
      <c r="H42" s="15" t="s">
        <v>31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2:23" ht="9.75" customHeight="1">
      <c r="B43" s="17">
        <f t="shared" si="0"/>
        <v>35</v>
      </c>
      <c r="C43" s="18">
        <f t="shared" si="3"/>
        <v>46177</v>
      </c>
      <c r="D43" s="15" t="s">
        <v>13</v>
      </c>
      <c r="E43" s="15" t="s">
        <v>76</v>
      </c>
      <c r="F43" s="15" t="s">
        <v>77</v>
      </c>
      <c r="G43" s="20" t="s">
        <v>94</v>
      </c>
      <c r="H43" s="15" t="s">
        <v>31</v>
      </c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2:23" ht="9.75" customHeight="1">
      <c r="B44" s="17">
        <f t="shared" si="0"/>
        <v>36</v>
      </c>
      <c r="C44" s="18">
        <f t="shared" si="3"/>
        <v>46177</v>
      </c>
      <c r="D44" s="15" t="s">
        <v>8</v>
      </c>
      <c r="E44" s="15" t="s">
        <v>95</v>
      </c>
      <c r="F44" s="15" t="s">
        <v>77</v>
      </c>
      <c r="G44" s="20" t="s">
        <v>96</v>
      </c>
      <c r="H44" s="15" t="s">
        <v>18</v>
      </c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2:23" ht="9.75" customHeight="1">
      <c r="B45" s="17">
        <f t="shared" si="0"/>
        <v>37</v>
      </c>
      <c r="C45" s="18">
        <f t="shared" si="3"/>
        <v>46177</v>
      </c>
      <c r="D45" s="15" t="s">
        <v>97</v>
      </c>
      <c r="E45" s="15" t="s">
        <v>98</v>
      </c>
      <c r="F45" s="15" t="s">
        <v>99</v>
      </c>
      <c r="G45" s="15" t="s">
        <v>100</v>
      </c>
      <c r="H45" s="15" t="s">
        <v>50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2:23" ht="9.75" customHeight="1">
      <c r="B46" s="17">
        <f t="shared" si="0"/>
        <v>38</v>
      </c>
      <c r="C46" s="13">
        <v>46178</v>
      </c>
      <c r="D46" s="14" t="s">
        <v>101</v>
      </c>
      <c r="E46" s="15" t="s">
        <v>14</v>
      </c>
      <c r="F46" s="15" t="s">
        <v>99</v>
      </c>
      <c r="G46" s="15" t="s">
        <v>102</v>
      </c>
      <c r="H46" s="15" t="s">
        <v>50</v>
      </c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2:23" ht="9.75" customHeight="1">
      <c r="B47" s="17">
        <f t="shared" si="0"/>
        <v>39</v>
      </c>
      <c r="C47" s="18">
        <f t="shared" ref="C47:C49" si="4">C46</f>
        <v>46178</v>
      </c>
      <c r="D47" s="15" t="s">
        <v>103</v>
      </c>
      <c r="E47" s="15" t="s">
        <v>14</v>
      </c>
      <c r="F47" s="15" t="s">
        <v>104</v>
      </c>
      <c r="G47" s="15" t="s">
        <v>105</v>
      </c>
      <c r="H47" s="15" t="s">
        <v>106</v>
      </c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2:23" ht="9.75" customHeight="1">
      <c r="B48" s="17">
        <f t="shared" si="0"/>
        <v>40</v>
      </c>
      <c r="C48" s="18">
        <f t="shared" si="4"/>
        <v>46178</v>
      </c>
      <c r="D48" s="15" t="s">
        <v>107</v>
      </c>
      <c r="E48" s="15" t="s">
        <v>108</v>
      </c>
      <c r="F48" s="15" t="s">
        <v>104</v>
      </c>
      <c r="G48" s="15" t="s">
        <v>109</v>
      </c>
      <c r="H48" s="15" t="s">
        <v>50</v>
      </c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2:23" ht="9.75" customHeight="1">
      <c r="B49" s="17">
        <f t="shared" si="0"/>
        <v>41</v>
      </c>
      <c r="C49" s="18">
        <f t="shared" si="4"/>
        <v>46178</v>
      </c>
      <c r="D49" s="15" t="s">
        <v>103</v>
      </c>
      <c r="E49" s="15" t="s">
        <v>110</v>
      </c>
      <c r="F49" s="15" t="s">
        <v>104</v>
      </c>
      <c r="G49" s="15" t="s">
        <v>111</v>
      </c>
      <c r="H49" s="15" t="s">
        <v>112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2:23" ht="9.75" customHeight="1">
      <c r="B50" s="17">
        <f t="shared" si="0"/>
        <v>42</v>
      </c>
      <c r="C50" s="13">
        <v>46179</v>
      </c>
      <c r="D50" s="14" t="s">
        <v>113</v>
      </c>
      <c r="E50" s="15" t="s">
        <v>114</v>
      </c>
      <c r="F50" s="15" t="s">
        <v>115</v>
      </c>
      <c r="G50" s="20" t="s">
        <v>116</v>
      </c>
      <c r="H50" s="15" t="s">
        <v>25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2:23" ht="9.75" customHeight="1">
      <c r="B51" s="17">
        <f t="shared" si="0"/>
        <v>43</v>
      </c>
      <c r="C51" s="18">
        <f t="shared" ref="C51:C69" si="5">C50</f>
        <v>46179</v>
      </c>
      <c r="D51" s="15" t="s">
        <v>117</v>
      </c>
      <c r="E51" s="15" t="s">
        <v>35</v>
      </c>
      <c r="F51" s="15" t="s">
        <v>104</v>
      </c>
      <c r="G51" s="15" t="s">
        <v>118</v>
      </c>
      <c r="H51" s="15" t="s">
        <v>50</v>
      </c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2:23" ht="9.75" customHeight="1">
      <c r="B52" s="17">
        <f t="shared" si="0"/>
        <v>44</v>
      </c>
      <c r="C52" s="18">
        <f t="shared" si="5"/>
        <v>46179</v>
      </c>
      <c r="D52" s="15" t="s">
        <v>119</v>
      </c>
      <c r="E52" s="15" t="s">
        <v>120</v>
      </c>
      <c r="F52" s="15" t="s">
        <v>104</v>
      </c>
      <c r="G52" s="15" t="s">
        <v>121</v>
      </c>
      <c r="H52" s="15" t="s">
        <v>50</v>
      </c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2:23" ht="9.75" customHeight="1">
      <c r="B53" s="17">
        <f t="shared" si="0"/>
        <v>45</v>
      </c>
      <c r="C53" s="18">
        <f t="shared" si="5"/>
        <v>46179</v>
      </c>
      <c r="D53" s="15" t="s">
        <v>13</v>
      </c>
      <c r="E53" s="15" t="s">
        <v>14</v>
      </c>
      <c r="F53" s="15" t="s">
        <v>122</v>
      </c>
      <c r="G53" s="20" t="s">
        <v>123</v>
      </c>
      <c r="H53" s="15" t="s">
        <v>25</v>
      </c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2:23" ht="9.75" customHeight="1">
      <c r="B54" s="17">
        <f t="shared" si="0"/>
        <v>46</v>
      </c>
      <c r="C54" s="18">
        <f t="shared" si="5"/>
        <v>46179</v>
      </c>
      <c r="D54" s="15" t="s">
        <v>13</v>
      </c>
      <c r="E54" s="15" t="s">
        <v>14</v>
      </c>
      <c r="F54" s="15" t="s">
        <v>122</v>
      </c>
      <c r="G54" s="20" t="s">
        <v>124</v>
      </c>
      <c r="H54" s="15" t="s">
        <v>50</v>
      </c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2:23" ht="9.75" customHeight="1">
      <c r="B55" s="17">
        <f t="shared" si="0"/>
        <v>47</v>
      </c>
      <c r="C55" s="18">
        <f t="shared" si="5"/>
        <v>46179</v>
      </c>
      <c r="D55" s="15" t="s">
        <v>125</v>
      </c>
      <c r="E55" s="15" t="s">
        <v>126</v>
      </c>
      <c r="F55" s="15" t="s">
        <v>122</v>
      </c>
      <c r="G55" s="20" t="s">
        <v>127</v>
      </c>
      <c r="H55" s="15" t="s">
        <v>25</v>
      </c>
    </row>
    <row r="56" spans="2:23" ht="9.75" customHeight="1">
      <c r="B56" s="17">
        <f t="shared" si="0"/>
        <v>48</v>
      </c>
      <c r="C56" s="18">
        <f t="shared" si="5"/>
        <v>46179</v>
      </c>
      <c r="D56" s="15" t="s">
        <v>8</v>
      </c>
      <c r="E56" s="15" t="s">
        <v>128</v>
      </c>
      <c r="F56" s="15" t="s">
        <v>122</v>
      </c>
      <c r="G56" s="20" t="s">
        <v>129</v>
      </c>
      <c r="H56" s="15" t="s">
        <v>130</v>
      </c>
    </row>
    <row r="57" spans="2:23" ht="9.75" customHeight="1">
      <c r="B57" s="17">
        <f t="shared" si="0"/>
        <v>49</v>
      </c>
      <c r="C57" s="18">
        <f t="shared" si="5"/>
        <v>46179</v>
      </c>
      <c r="D57" s="15" t="s">
        <v>13</v>
      </c>
      <c r="E57" s="15" t="s">
        <v>35</v>
      </c>
      <c r="F57" s="15" t="s">
        <v>122</v>
      </c>
      <c r="G57" s="15" t="s">
        <v>131</v>
      </c>
      <c r="H57" s="15" t="s">
        <v>50</v>
      </c>
    </row>
    <row r="58" spans="2:23" ht="9.75" customHeight="1">
      <c r="B58" s="17">
        <f t="shared" si="0"/>
        <v>50</v>
      </c>
      <c r="C58" s="18">
        <f t="shared" si="5"/>
        <v>46179</v>
      </c>
      <c r="D58" s="15" t="s">
        <v>13</v>
      </c>
      <c r="E58" s="15" t="s">
        <v>45</v>
      </c>
      <c r="F58" s="15" t="s">
        <v>122</v>
      </c>
      <c r="G58" s="15" t="s">
        <v>132</v>
      </c>
      <c r="H58" s="15" t="s">
        <v>50</v>
      </c>
    </row>
    <row r="59" spans="2:23" ht="9.75" customHeight="1">
      <c r="B59" s="17">
        <f t="shared" si="0"/>
        <v>51</v>
      </c>
      <c r="C59" s="18">
        <f t="shared" si="5"/>
        <v>46179</v>
      </c>
      <c r="D59" s="15" t="s">
        <v>13</v>
      </c>
      <c r="E59" s="15" t="s">
        <v>9</v>
      </c>
      <c r="F59" s="15" t="s">
        <v>122</v>
      </c>
      <c r="G59" s="15" t="s">
        <v>133</v>
      </c>
      <c r="H59" s="15" t="s">
        <v>50</v>
      </c>
    </row>
    <row r="60" spans="2:23" ht="9.75" customHeight="1">
      <c r="B60" s="17">
        <f t="shared" si="0"/>
        <v>52</v>
      </c>
      <c r="C60" s="18">
        <f t="shared" si="5"/>
        <v>46179</v>
      </c>
      <c r="D60" s="15" t="s">
        <v>13</v>
      </c>
      <c r="E60" s="15" t="s">
        <v>14</v>
      </c>
      <c r="F60" s="15" t="s">
        <v>122</v>
      </c>
      <c r="G60" s="15" t="s">
        <v>134</v>
      </c>
      <c r="H60" s="15" t="s">
        <v>50</v>
      </c>
    </row>
    <row r="61" spans="2:23" ht="9.75" customHeight="1">
      <c r="B61" s="17">
        <f t="shared" si="0"/>
        <v>53</v>
      </c>
      <c r="C61" s="18">
        <f t="shared" si="5"/>
        <v>46179</v>
      </c>
      <c r="D61" s="15" t="s">
        <v>8</v>
      </c>
      <c r="E61" s="15" t="s">
        <v>9</v>
      </c>
      <c r="F61" s="15" t="s">
        <v>122</v>
      </c>
      <c r="G61" s="15" t="s">
        <v>135</v>
      </c>
      <c r="H61" s="15" t="s">
        <v>12</v>
      </c>
    </row>
    <row r="62" spans="2:23" ht="9.75" customHeight="1">
      <c r="B62" s="17">
        <f t="shared" si="0"/>
        <v>54</v>
      </c>
      <c r="C62" s="18">
        <f t="shared" si="5"/>
        <v>46179</v>
      </c>
      <c r="D62" s="15" t="s">
        <v>13</v>
      </c>
      <c r="E62" s="15" t="s">
        <v>9</v>
      </c>
      <c r="F62" s="15" t="s">
        <v>122</v>
      </c>
      <c r="G62" s="15" t="s">
        <v>136</v>
      </c>
      <c r="H62" s="15" t="s">
        <v>50</v>
      </c>
    </row>
    <row r="63" spans="2:23" ht="9.75" customHeight="1">
      <c r="B63" s="17">
        <f t="shared" si="0"/>
        <v>55</v>
      </c>
      <c r="C63" s="18">
        <f t="shared" si="5"/>
        <v>46179</v>
      </c>
      <c r="D63" s="15" t="s">
        <v>13</v>
      </c>
      <c r="E63" s="15" t="s">
        <v>16</v>
      </c>
      <c r="F63" s="15" t="s">
        <v>122</v>
      </c>
      <c r="G63" s="15" t="s">
        <v>137</v>
      </c>
      <c r="H63" s="15" t="s">
        <v>25</v>
      </c>
    </row>
    <row r="64" spans="2:23" ht="9.75" customHeight="1">
      <c r="B64" s="17">
        <f t="shared" si="0"/>
        <v>56</v>
      </c>
      <c r="C64" s="18">
        <f t="shared" si="5"/>
        <v>46179</v>
      </c>
      <c r="D64" s="15" t="s">
        <v>13</v>
      </c>
      <c r="E64" s="15" t="s">
        <v>14</v>
      </c>
      <c r="F64" s="15" t="s">
        <v>122</v>
      </c>
      <c r="G64" s="15" t="s">
        <v>138</v>
      </c>
      <c r="H64" s="15" t="s">
        <v>50</v>
      </c>
    </row>
    <row r="65" spans="2:8" ht="9.75" customHeight="1">
      <c r="B65" s="17">
        <f t="shared" si="0"/>
        <v>57</v>
      </c>
      <c r="C65" s="18">
        <f t="shared" si="5"/>
        <v>46179</v>
      </c>
      <c r="D65" s="15" t="s">
        <v>13</v>
      </c>
      <c r="E65" s="15" t="s">
        <v>14</v>
      </c>
      <c r="F65" s="15" t="s">
        <v>122</v>
      </c>
      <c r="G65" s="15" t="s">
        <v>139</v>
      </c>
      <c r="H65" s="15" t="s">
        <v>50</v>
      </c>
    </row>
    <row r="66" spans="2:8" ht="9.75" customHeight="1">
      <c r="B66" s="17">
        <f t="shared" si="0"/>
        <v>58</v>
      </c>
      <c r="C66" s="18">
        <f t="shared" si="5"/>
        <v>46179</v>
      </c>
      <c r="D66" s="15" t="s">
        <v>13</v>
      </c>
      <c r="E66" s="15" t="s">
        <v>16</v>
      </c>
      <c r="F66" s="15" t="s">
        <v>122</v>
      </c>
      <c r="G66" s="15" t="s">
        <v>140</v>
      </c>
      <c r="H66" s="15" t="s">
        <v>12</v>
      </c>
    </row>
    <row r="67" spans="2:8" ht="9.75" customHeight="1">
      <c r="B67" s="17">
        <f t="shared" si="0"/>
        <v>59</v>
      </c>
      <c r="C67" s="18">
        <f t="shared" si="5"/>
        <v>46179</v>
      </c>
      <c r="D67" s="15" t="s">
        <v>8</v>
      </c>
      <c r="E67" s="15" t="s">
        <v>9</v>
      </c>
      <c r="F67" s="15" t="s">
        <v>122</v>
      </c>
      <c r="G67" s="15" t="s">
        <v>141</v>
      </c>
      <c r="H67" s="15" t="s">
        <v>18</v>
      </c>
    </row>
    <row r="68" spans="2:8" ht="9.75" customHeight="1">
      <c r="B68" s="17">
        <f t="shared" si="0"/>
        <v>60</v>
      </c>
      <c r="C68" s="18">
        <f t="shared" si="5"/>
        <v>46179</v>
      </c>
      <c r="D68" s="15" t="s">
        <v>13</v>
      </c>
      <c r="E68" s="15" t="s">
        <v>9</v>
      </c>
      <c r="F68" s="15" t="s">
        <v>122</v>
      </c>
      <c r="G68" s="15" t="s">
        <v>127</v>
      </c>
      <c r="H68" s="15" t="s">
        <v>50</v>
      </c>
    </row>
    <row r="69" spans="2:8" ht="9.75" customHeight="1">
      <c r="B69" s="17">
        <f t="shared" si="0"/>
        <v>61</v>
      </c>
      <c r="C69" s="18">
        <f t="shared" si="5"/>
        <v>46179</v>
      </c>
      <c r="D69" s="15" t="s">
        <v>8</v>
      </c>
      <c r="E69" s="15" t="s">
        <v>84</v>
      </c>
      <c r="F69" s="15" t="s">
        <v>122</v>
      </c>
      <c r="G69" s="15" t="s">
        <v>142</v>
      </c>
      <c r="H69" s="15" t="s">
        <v>12</v>
      </c>
    </row>
    <row r="70" spans="2:8" ht="9.75" customHeight="1">
      <c r="B70" s="17">
        <f t="shared" si="0"/>
        <v>62</v>
      </c>
      <c r="C70" s="13">
        <v>46180</v>
      </c>
      <c r="D70" s="15" t="s">
        <v>143</v>
      </c>
      <c r="E70" s="15" t="s">
        <v>16</v>
      </c>
      <c r="F70" s="15" t="s">
        <v>144</v>
      </c>
      <c r="G70" s="20" t="s">
        <v>145</v>
      </c>
      <c r="H70" s="15" t="s">
        <v>25</v>
      </c>
    </row>
    <row r="71" spans="2:8" ht="9.75" customHeight="1">
      <c r="B71" s="17">
        <f t="shared" si="0"/>
        <v>63</v>
      </c>
      <c r="C71" s="18">
        <f t="shared" ref="C71:C91" si="6">C70</f>
        <v>46180</v>
      </c>
      <c r="D71" s="15" t="s">
        <v>146</v>
      </c>
      <c r="E71" s="15" t="s">
        <v>147</v>
      </c>
      <c r="F71" s="15" t="s">
        <v>144</v>
      </c>
      <c r="G71" s="15" t="s">
        <v>148</v>
      </c>
      <c r="H71" s="15" t="s">
        <v>12</v>
      </c>
    </row>
    <row r="72" spans="2:8" ht="9.75" customHeight="1">
      <c r="B72" s="17">
        <f t="shared" si="0"/>
        <v>64</v>
      </c>
      <c r="C72" s="18">
        <f t="shared" si="6"/>
        <v>46180</v>
      </c>
      <c r="D72" s="15" t="s">
        <v>103</v>
      </c>
      <c r="E72" s="15" t="s">
        <v>149</v>
      </c>
      <c r="F72" s="15" t="s">
        <v>144</v>
      </c>
      <c r="G72" s="20" t="s">
        <v>150</v>
      </c>
      <c r="H72" s="15" t="s">
        <v>25</v>
      </c>
    </row>
    <row r="73" spans="2:8" ht="9.75" customHeight="1">
      <c r="B73" s="17">
        <f t="shared" si="0"/>
        <v>65</v>
      </c>
      <c r="C73" s="18">
        <f t="shared" si="6"/>
        <v>46180</v>
      </c>
      <c r="D73" s="15" t="s">
        <v>103</v>
      </c>
      <c r="E73" s="15" t="s">
        <v>35</v>
      </c>
      <c r="F73" s="15" t="s">
        <v>144</v>
      </c>
      <c r="G73" s="20" t="s">
        <v>151</v>
      </c>
      <c r="H73" s="15" t="s">
        <v>12</v>
      </c>
    </row>
    <row r="74" spans="2:8" ht="9.75" customHeight="1">
      <c r="B74" s="17">
        <f t="shared" ref="B74:B108" si="7">B73+1</f>
        <v>66</v>
      </c>
      <c r="C74" s="18">
        <f t="shared" si="6"/>
        <v>46180</v>
      </c>
      <c r="D74" s="15" t="s">
        <v>125</v>
      </c>
      <c r="E74" s="15" t="s">
        <v>9</v>
      </c>
      <c r="F74" s="15" t="s">
        <v>144</v>
      </c>
      <c r="G74" s="20" t="s">
        <v>152</v>
      </c>
      <c r="H74" s="15" t="s">
        <v>12</v>
      </c>
    </row>
    <row r="75" spans="2:8" ht="9.75" customHeight="1">
      <c r="B75" s="17">
        <f t="shared" si="7"/>
        <v>67</v>
      </c>
      <c r="C75" s="18">
        <f t="shared" si="6"/>
        <v>46180</v>
      </c>
      <c r="D75" s="15" t="s">
        <v>153</v>
      </c>
      <c r="E75" s="15" t="s">
        <v>72</v>
      </c>
      <c r="F75" s="15" t="s">
        <v>144</v>
      </c>
      <c r="G75" s="20" t="s">
        <v>154</v>
      </c>
      <c r="H75" s="15" t="s">
        <v>25</v>
      </c>
    </row>
    <row r="76" spans="2:8" ht="9.75" customHeight="1">
      <c r="B76" s="17">
        <f t="shared" si="7"/>
        <v>68</v>
      </c>
      <c r="C76" s="18">
        <f t="shared" si="6"/>
        <v>46180</v>
      </c>
      <c r="D76" s="15" t="s">
        <v>155</v>
      </c>
      <c r="E76" s="15" t="s">
        <v>14</v>
      </c>
      <c r="F76" s="15" t="s">
        <v>144</v>
      </c>
      <c r="G76" s="15" t="s">
        <v>156</v>
      </c>
      <c r="H76" s="15" t="s">
        <v>50</v>
      </c>
    </row>
    <row r="77" spans="2:8" ht="9.75" customHeight="1">
      <c r="B77" s="17">
        <f t="shared" si="7"/>
        <v>69</v>
      </c>
      <c r="C77" s="18">
        <f t="shared" si="6"/>
        <v>46180</v>
      </c>
      <c r="D77" s="15" t="s">
        <v>103</v>
      </c>
      <c r="E77" s="15" t="s">
        <v>52</v>
      </c>
      <c r="F77" s="15" t="s">
        <v>144</v>
      </c>
      <c r="G77" s="15" t="s">
        <v>157</v>
      </c>
      <c r="H77" s="15" t="s">
        <v>158</v>
      </c>
    </row>
    <row r="78" spans="2:8" ht="9.75" customHeight="1">
      <c r="B78" s="17">
        <f t="shared" si="7"/>
        <v>70</v>
      </c>
      <c r="C78" s="18">
        <f t="shared" si="6"/>
        <v>46180</v>
      </c>
      <c r="D78" s="15" t="s">
        <v>159</v>
      </c>
      <c r="E78" s="15" t="s">
        <v>39</v>
      </c>
      <c r="F78" s="15" t="s">
        <v>144</v>
      </c>
      <c r="G78" s="15" t="s">
        <v>160</v>
      </c>
      <c r="H78" s="15" t="s">
        <v>12</v>
      </c>
    </row>
    <row r="79" spans="2:8" ht="9.75" customHeight="1">
      <c r="B79" s="17">
        <f t="shared" si="7"/>
        <v>71</v>
      </c>
      <c r="C79" s="18">
        <f t="shared" si="6"/>
        <v>46180</v>
      </c>
      <c r="D79" s="15" t="s">
        <v>161</v>
      </c>
      <c r="E79" s="15" t="s">
        <v>35</v>
      </c>
      <c r="F79" s="15" t="s">
        <v>144</v>
      </c>
      <c r="G79" s="15" t="s">
        <v>86</v>
      </c>
      <c r="H79" s="15" t="s">
        <v>12</v>
      </c>
    </row>
    <row r="80" spans="2:8" ht="9.75" customHeight="1">
      <c r="B80" s="17">
        <f t="shared" si="7"/>
        <v>72</v>
      </c>
      <c r="C80" s="18">
        <f t="shared" si="6"/>
        <v>46180</v>
      </c>
      <c r="D80" s="15" t="s">
        <v>153</v>
      </c>
      <c r="E80" s="15" t="s">
        <v>162</v>
      </c>
      <c r="F80" s="15" t="s">
        <v>144</v>
      </c>
      <c r="G80" s="15" t="s">
        <v>163</v>
      </c>
      <c r="H80" s="15" t="s">
        <v>50</v>
      </c>
    </row>
    <row r="81" spans="2:8" ht="9.75" customHeight="1">
      <c r="B81" s="17">
        <f t="shared" si="7"/>
        <v>73</v>
      </c>
      <c r="C81" s="18">
        <f t="shared" si="6"/>
        <v>46180</v>
      </c>
      <c r="D81" s="15" t="s">
        <v>8</v>
      </c>
      <c r="E81" s="15" t="s">
        <v>52</v>
      </c>
      <c r="F81" s="15" t="s">
        <v>144</v>
      </c>
      <c r="G81" s="15" t="s">
        <v>164</v>
      </c>
      <c r="H81" s="15" t="s">
        <v>130</v>
      </c>
    </row>
    <row r="82" spans="2:8" ht="9.75" customHeight="1">
      <c r="B82" s="17">
        <f t="shared" si="7"/>
        <v>74</v>
      </c>
      <c r="C82" s="18">
        <f t="shared" si="6"/>
        <v>46180</v>
      </c>
      <c r="D82" s="15" t="s">
        <v>153</v>
      </c>
      <c r="E82" s="15" t="s">
        <v>84</v>
      </c>
      <c r="F82" s="15" t="s">
        <v>144</v>
      </c>
      <c r="G82" s="15" t="s">
        <v>127</v>
      </c>
      <c r="H82" s="15" t="s">
        <v>50</v>
      </c>
    </row>
    <row r="83" spans="2:8" ht="9.75" customHeight="1">
      <c r="B83" s="17">
        <f t="shared" si="7"/>
        <v>75</v>
      </c>
      <c r="C83" s="18">
        <f t="shared" si="6"/>
        <v>46180</v>
      </c>
      <c r="D83" s="15" t="s">
        <v>8</v>
      </c>
      <c r="E83" s="15" t="s">
        <v>9</v>
      </c>
      <c r="F83" s="15" t="s">
        <v>144</v>
      </c>
      <c r="G83" s="15" t="s">
        <v>165</v>
      </c>
      <c r="H83" s="15" t="s">
        <v>12</v>
      </c>
    </row>
    <row r="84" spans="2:8" ht="9.75" customHeight="1">
      <c r="B84" s="17">
        <f t="shared" si="7"/>
        <v>76</v>
      </c>
      <c r="C84" s="18">
        <f t="shared" si="6"/>
        <v>46180</v>
      </c>
      <c r="D84" s="15" t="s">
        <v>153</v>
      </c>
      <c r="E84" s="15" t="s">
        <v>166</v>
      </c>
      <c r="F84" s="15" t="s">
        <v>144</v>
      </c>
      <c r="G84" s="15" t="s">
        <v>167</v>
      </c>
      <c r="H84" s="15" t="s">
        <v>50</v>
      </c>
    </row>
    <row r="85" spans="2:8" ht="9.75" customHeight="1">
      <c r="B85" s="17">
        <f t="shared" si="7"/>
        <v>77</v>
      </c>
      <c r="C85" s="18">
        <f t="shared" si="6"/>
        <v>46180</v>
      </c>
      <c r="D85" s="15" t="s">
        <v>153</v>
      </c>
      <c r="E85" s="15" t="s">
        <v>27</v>
      </c>
      <c r="F85" s="15" t="s">
        <v>144</v>
      </c>
      <c r="G85" s="15" t="s">
        <v>168</v>
      </c>
      <c r="H85" s="15" t="s">
        <v>50</v>
      </c>
    </row>
    <row r="86" spans="2:8" ht="9.75" customHeight="1">
      <c r="B86" s="17">
        <f t="shared" si="7"/>
        <v>78</v>
      </c>
      <c r="C86" s="18">
        <f t="shared" si="6"/>
        <v>46180</v>
      </c>
      <c r="D86" s="15" t="s">
        <v>8</v>
      </c>
      <c r="E86" s="15" t="s">
        <v>169</v>
      </c>
      <c r="F86" s="15" t="s">
        <v>144</v>
      </c>
      <c r="G86" s="15" t="s">
        <v>170</v>
      </c>
      <c r="H86" s="15" t="s">
        <v>50</v>
      </c>
    </row>
    <row r="87" spans="2:8" ht="9.75" customHeight="1">
      <c r="B87" s="17">
        <f t="shared" si="7"/>
        <v>79</v>
      </c>
      <c r="C87" s="18">
        <f t="shared" si="6"/>
        <v>46180</v>
      </c>
      <c r="D87" s="15" t="s">
        <v>153</v>
      </c>
      <c r="E87" s="15" t="s">
        <v>76</v>
      </c>
      <c r="F87" s="15" t="s">
        <v>144</v>
      </c>
      <c r="G87" s="15" t="s">
        <v>171</v>
      </c>
      <c r="H87" s="15" t="s">
        <v>25</v>
      </c>
    </row>
    <row r="88" spans="2:8" ht="9.75" customHeight="1">
      <c r="B88" s="17">
        <f t="shared" si="7"/>
        <v>80</v>
      </c>
      <c r="C88" s="18">
        <f t="shared" si="6"/>
        <v>46180</v>
      </c>
      <c r="D88" s="15" t="s">
        <v>153</v>
      </c>
      <c r="E88" s="15" t="s">
        <v>172</v>
      </c>
      <c r="F88" s="15" t="s">
        <v>144</v>
      </c>
      <c r="G88" s="15" t="s">
        <v>173</v>
      </c>
      <c r="H88" s="15" t="s">
        <v>50</v>
      </c>
    </row>
    <row r="89" spans="2:8" ht="9.75" customHeight="1">
      <c r="B89" s="17">
        <f t="shared" si="7"/>
        <v>81</v>
      </c>
      <c r="C89" s="18">
        <f t="shared" si="6"/>
        <v>46180</v>
      </c>
      <c r="D89" s="15" t="s">
        <v>8</v>
      </c>
      <c r="E89" s="15" t="s">
        <v>9</v>
      </c>
      <c r="F89" s="15" t="s">
        <v>144</v>
      </c>
      <c r="G89" s="15" t="s">
        <v>174</v>
      </c>
      <c r="H89" s="15" t="s">
        <v>175</v>
      </c>
    </row>
    <row r="90" spans="2:8" ht="9.75" customHeight="1">
      <c r="B90" s="17">
        <f t="shared" si="7"/>
        <v>82</v>
      </c>
      <c r="C90" s="18">
        <f t="shared" si="6"/>
        <v>46180</v>
      </c>
      <c r="D90" s="15" t="s">
        <v>8</v>
      </c>
      <c r="E90" s="15" t="s">
        <v>14</v>
      </c>
      <c r="F90" s="15" t="s">
        <v>144</v>
      </c>
      <c r="G90" s="15" t="s">
        <v>176</v>
      </c>
      <c r="H90" s="15" t="s">
        <v>18</v>
      </c>
    </row>
    <row r="91" spans="2:8" ht="9.75" customHeight="1">
      <c r="B91" s="17">
        <f t="shared" si="7"/>
        <v>83</v>
      </c>
      <c r="C91" s="18">
        <f t="shared" si="6"/>
        <v>46180</v>
      </c>
      <c r="D91" s="15" t="s">
        <v>153</v>
      </c>
      <c r="E91" s="15" t="s">
        <v>177</v>
      </c>
      <c r="F91" s="15" t="s">
        <v>144</v>
      </c>
      <c r="G91" s="15" t="s">
        <v>178</v>
      </c>
      <c r="H91" s="15" t="s">
        <v>12</v>
      </c>
    </row>
    <row r="92" spans="2:8" ht="9.75" customHeight="1">
      <c r="B92" s="17">
        <f t="shared" si="7"/>
        <v>84</v>
      </c>
      <c r="C92" s="13">
        <v>46181</v>
      </c>
      <c r="D92" s="21" t="s">
        <v>179</v>
      </c>
      <c r="E92" s="22" t="s">
        <v>69</v>
      </c>
      <c r="F92" s="22" t="s">
        <v>180</v>
      </c>
      <c r="G92" s="22" t="s">
        <v>181</v>
      </c>
      <c r="H92" s="22" t="s">
        <v>182</v>
      </c>
    </row>
    <row r="93" spans="2:8" ht="9.75" customHeight="1">
      <c r="B93" s="17">
        <f t="shared" si="7"/>
        <v>85</v>
      </c>
      <c r="C93" s="18">
        <f t="shared" ref="C93:C99" si="8">C92</f>
        <v>46181</v>
      </c>
      <c r="D93" s="22" t="s">
        <v>183</v>
      </c>
      <c r="E93" s="22" t="s">
        <v>52</v>
      </c>
      <c r="F93" s="22" t="s">
        <v>180</v>
      </c>
      <c r="G93" s="22" t="s">
        <v>184</v>
      </c>
      <c r="H93" s="22" t="s">
        <v>185</v>
      </c>
    </row>
    <row r="94" spans="2:8" ht="9.75" customHeight="1">
      <c r="B94" s="17">
        <f t="shared" si="7"/>
        <v>86</v>
      </c>
      <c r="C94" s="18">
        <f t="shared" si="8"/>
        <v>46181</v>
      </c>
      <c r="D94" s="22" t="s">
        <v>186</v>
      </c>
      <c r="E94" s="22" t="s">
        <v>187</v>
      </c>
      <c r="F94" s="22" t="s">
        <v>99</v>
      </c>
      <c r="G94" s="22" t="s">
        <v>188</v>
      </c>
      <c r="H94" s="22" t="s">
        <v>50</v>
      </c>
    </row>
    <row r="95" spans="2:8" ht="9.75" customHeight="1">
      <c r="B95" s="17">
        <f t="shared" si="7"/>
        <v>87</v>
      </c>
      <c r="C95" s="18">
        <f t="shared" si="8"/>
        <v>46181</v>
      </c>
      <c r="D95" s="22" t="s">
        <v>189</v>
      </c>
      <c r="E95" s="22" t="s">
        <v>35</v>
      </c>
      <c r="F95" s="22" t="s">
        <v>99</v>
      </c>
      <c r="G95" s="22" t="s">
        <v>190</v>
      </c>
      <c r="H95" s="22" t="s">
        <v>50</v>
      </c>
    </row>
    <row r="96" spans="2:8" ht="9.75" customHeight="1">
      <c r="B96" s="17">
        <f t="shared" si="7"/>
        <v>88</v>
      </c>
      <c r="C96" s="18">
        <f t="shared" si="8"/>
        <v>46181</v>
      </c>
      <c r="D96" s="22" t="s">
        <v>191</v>
      </c>
      <c r="E96" s="22" t="s">
        <v>35</v>
      </c>
      <c r="F96" s="22" t="s">
        <v>99</v>
      </c>
      <c r="G96" s="22" t="s">
        <v>192</v>
      </c>
      <c r="H96" s="22" t="s">
        <v>50</v>
      </c>
    </row>
    <row r="97" spans="2:8" ht="9.75" customHeight="1">
      <c r="B97" s="17">
        <f t="shared" si="7"/>
        <v>89</v>
      </c>
      <c r="C97" s="18">
        <f t="shared" si="8"/>
        <v>46181</v>
      </c>
      <c r="D97" s="22" t="s">
        <v>193</v>
      </c>
      <c r="E97" s="22" t="s">
        <v>35</v>
      </c>
      <c r="F97" s="22" t="s">
        <v>99</v>
      </c>
      <c r="G97" s="22" t="s">
        <v>194</v>
      </c>
      <c r="H97" s="22" t="s">
        <v>50</v>
      </c>
    </row>
    <row r="98" spans="2:8" ht="9.75" customHeight="1">
      <c r="B98" s="17">
        <f t="shared" si="7"/>
        <v>90</v>
      </c>
      <c r="C98" s="18">
        <f t="shared" si="8"/>
        <v>46181</v>
      </c>
      <c r="D98" s="22" t="s">
        <v>195</v>
      </c>
      <c r="E98" s="22" t="s">
        <v>35</v>
      </c>
      <c r="F98" s="22" t="s">
        <v>99</v>
      </c>
      <c r="G98" s="22" t="s">
        <v>196</v>
      </c>
      <c r="H98" s="22" t="s">
        <v>50</v>
      </c>
    </row>
    <row r="99" spans="2:8" ht="9.75" customHeight="1">
      <c r="B99" s="17">
        <f t="shared" si="7"/>
        <v>91</v>
      </c>
      <c r="C99" s="18">
        <f t="shared" si="8"/>
        <v>46181</v>
      </c>
      <c r="D99" s="22" t="s">
        <v>197</v>
      </c>
      <c r="E99" s="22" t="s">
        <v>35</v>
      </c>
      <c r="F99" s="22" t="s">
        <v>99</v>
      </c>
      <c r="G99" s="22" t="s">
        <v>198</v>
      </c>
      <c r="H99" s="22" t="s">
        <v>50</v>
      </c>
    </row>
    <row r="100" spans="2:8" ht="9.75" customHeight="1">
      <c r="B100" s="17">
        <f t="shared" si="7"/>
        <v>92</v>
      </c>
      <c r="C100" s="13">
        <v>46151</v>
      </c>
      <c r="D100" s="14" t="s">
        <v>199</v>
      </c>
      <c r="E100" s="15" t="s">
        <v>200</v>
      </c>
      <c r="F100" s="15" t="s">
        <v>99</v>
      </c>
      <c r="G100" s="15" t="s">
        <v>201</v>
      </c>
      <c r="H100" s="15" t="s">
        <v>50</v>
      </c>
    </row>
    <row r="101" spans="2:8" ht="9.75" customHeight="1">
      <c r="B101" s="17">
        <f t="shared" si="7"/>
        <v>93</v>
      </c>
      <c r="C101" s="18">
        <f t="shared" ref="C101:C102" si="9">C100</f>
        <v>46151</v>
      </c>
      <c r="D101" s="15" t="s">
        <v>202</v>
      </c>
      <c r="E101" s="15" t="s">
        <v>203</v>
      </c>
      <c r="F101" s="15" t="s">
        <v>204</v>
      </c>
      <c r="G101" s="15" t="s">
        <v>205</v>
      </c>
      <c r="H101" s="15" t="s">
        <v>50</v>
      </c>
    </row>
    <row r="102" spans="2:8" ht="9.75" customHeight="1">
      <c r="B102" s="17">
        <f t="shared" si="7"/>
        <v>94</v>
      </c>
      <c r="C102" s="18">
        <f t="shared" si="9"/>
        <v>46151</v>
      </c>
      <c r="D102" s="15" t="s">
        <v>206</v>
      </c>
      <c r="E102" s="15" t="s">
        <v>35</v>
      </c>
      <c r="F102" s="15" t="s">
        <v>204</v>
      </c>
      <c r="G102" s="15" t="s">
        <v>207</v>
      </c>
      <c r="H102" s="15" t="s">
        <v>50</v>
      </c>
    </row>
    <row r="103" spans="2:8" ht="9.75" customHeight="1">
      <c r="B103" s="17">
        <f t="shared" si="7"/>
        <v>95</v>
      </c>
      <c r="C103" s="13">
        <v>46183</v>
      </c>
      <c r="D103" s="15" t="s">
        <v>13</v>
      </c>
      <c r="E103" s="15" t="s">
        <v>45</v>
      </c>
      <c r="F103" s="15" t="s">
        <v>122</v>
      </c>
      <c r="G103" s="20" t="s">
        <v>171</v>
      </c>
      <c r="H103" s="15" t="s">
        <v>31</v>
      </c>
    </row>
    <row r="104" spans="2:8" ht="9.75" customHeight="1">
      <c r="B104" s="17">
        <f t="shared" si="7"/>
        <v>96</v>
      </c>
      <c r="C104" s="18">
        <f t="shared" ref="C104:C139" si="10">C103</f>
        <v>46183</v>
      </c>
      <c r="D104" s="15" t="s">
        <v>13</v>
      </c>
      <c r="E104" s="15" t="s">
        <v>208</v>
      </c>
      <c r="F104" s="15" t="s">
        <v>122</v>
      </c>
      <c r="G104" s="20" t="s">
        <v>209</v>
      </c>
      <c r="H104" s="15" t="s">
        <v>31</v>
      </c>
    </row>
    <row r="105" spans="2:8" ht="9.75" customHeight="1">
      <c r="B105" s="17">
        <f t="shared" si="7"/>
        <v>97</v>
      </c>
      <c r="C105" s="18">
        <f t="shared" si="10"/>
        <v>46183</v>
      </c>
      <c r="D105" s="15" t="s">
        <v>13</v>
      </c>
      <c r="E105" s="15" t="s">
        <v>45</v>
      </c>
      <c r="F105" s="15" t="s">
        <v>122</v>
      </c>
      <c r="G105" s="20" t="s">
        <v>210</v>
      </c>
      <c r="H105" s="15" t="s">
        <v>31</v>
      </c>
    </row>
    <row r="106" spans="2:8" ht="9.75" customHeight="1">
      <c r="B106" s="17">
        <f t="shared" si="7"/>
        <v>98</v>
      </c>
      <c r="C106" s="18">
        <f t="shared" si="10"/>
        <v>46183</v>
      </c>
      <c r="D106" s="15" t="s">
        <v>13</v>
      </c>
      <c r="E106" s="15" t="s">
        <v>27</v>
      </c>
      <c r="F106" s="15" t="s">
        <v>122</v>
      </c>
      <c r="G106" s="20" t="s">
        <v>211</v>
      </c>
      <c r="H106" s="15" t="s">
        <v>31</v>
      </c>
    </row>
    <row r="107" spans="2:8" ht="9.75" customHeight="1">
      <c r="B107" s="17">
        <f t="shared" si="7"/>
        <v>99</v>
      </c>
      <c r="C107" s="18">
        <f t="shared" si="10"/>
        <v>46183</v>
      </c>
      <c r="D107" s="15" t="s">
        <v>13</v>
      </c>
      <c r="E107" s="15" t="s">
        <v>76</v>
      </c>
      <c r="F107" s="15" t="s">
        <v>122</v>
      </c>
      <c r="G107" s="20" t="s">
        <v>212</v>
      </c>
      <c r="H107" s="15" t="s">
        <v>25</v>
      </c>
    </row>
    <row r="108" spans="2:8" ht="9.75" customHeight="1">
      <c r="B108" s="17">
        <f t="shared" si="7"/>
        <v>100</v>
      </c>
      <c r="C108" s="18">
        <f t="shared" si="10"/>
        <v>46183</v>
      </c>
      <c r="D108" s="15" t="s">
        <v>13</v>
      </c>
      <c r="E108" s="15" t="s">
        <v>114</v>
      </c>
      <c r="F108" s="15" t="s">
        <v>122</v>
      </c>
      <c r="G108" s="20" t="s">
        <v>213</v>
      </c>
      <c r="H108" s="15" t="s">
        <v>12</v>
      </c>
    </row>
    <row r="109" spans="2:8" ht="9.75" customHeight="1">
      <c r="C109" s="18">
        <f t="shared" si="10"/>
        <v>46183</v>
      </c>
      <c r="D109" s="15" t="s">
        <v>8</v>
      </c>
      <c r="E109" s="15" t="s">
        <v>76</v>
      </c>
      <c r="F109" s="15" t="s">
        <v>122</v>
      </c>
      <c r="G109" s="20" t="s">
        <v>214</v>
      </c>
      <c r="H109" s="15" t="s">
        <v>12</v>
      </c>
    </row>
    <row r="110" spans="2:8" ht="15.75" customHeight="1">
      <c r="C110" s="18">
        <f t="shared" si="10"/>
        <v>46183</v>
      </c>
      <c r="D110" s="15" t="s">
        <v>13</v>
      </c>
      <c r="E110" s="15" t="s">
        <v>35</v>
      </c>
      <c r="F110" s="15" t="s">
        <v>122</v>
      </c>
      <c r="G110" s="20" t="s">
        <v>215</v>
      </c>
      <c r="H110" s="15" t="s">
        <v>31</v>
      </c>
    </row>
    <row r="111" spans="2:8" ht="15.75" customHeight="1">
      <c r="C111" s="18">
        <f t="shared" si="10"/>
        <v>46183</v>
      </c>
      <c r="D111" s="15" t="s">
        <v>216</v>
      </c>
      <c r="E111" s="15" t="s">
        <v>114</v>
      </c>
      <c r="F111" s="15" t="s">
        <v>122</v>
      </c>
      <c r="G111" s="20" t="s">
        <v>217</v>
      </c>
      <c r="H111" s="15" t="s">
        <v>25</v>
      </c>
    </row>
    <row r="112" spans="2:8" ht="15.75" customHeight="1">
      <c r="C112" s="18">
        <f t="shared" si="10"/>
        <v>46183</v>
      </c>
      <c r="D112" s="15" t="s">
        <v>216</v>
      </c>
      <c r="E112" s="15" t="s">
        <v>52</v>
      </c>
      <c r="F112" s="15" t="s">
        <v>122</v>
      </c>
      <c r="G112" s="20" t="s">
        <v>218</v>
      </c>
      <c r="H112" s="15" t="s">
        <v>25</v>
      </c>
    </row>
    <row r="113" spans="3:8" ht="15.75" customHeight="1">
      <c r="C113" s="18">
        <f t="shared" si="10"/>
        <v>46183</v>
      </c>
      <c r="D113" s="15" t="s">
        <v>19</v>
      </c>
      <c r="E113" s="15" t="s">
        <v>52</v>
      </c>
      <c r="F113" s="15" t="s">
        <v>122</v>
      </c>
      <c r="G113" s="20" t="s">
        <v>219</v>
      </c>
      <c r="H113" s="15" t="s">
        <v>25</v>
      </c>
    </row>
    <row r="114" spans="3:8" ht="15.75" customHeight="1">
      <c r="C114" s="18">
        <f t="shared" si="10"/>
        <v>46183</v>
      </c>
      <c r="D114" s="15" t="s">
        <v>13</v>
      </c>
      <c r="E114" s="15" t="s">
        <v>220</v>
      </c>
      <c r="F114" s="15" t="s">
        <v>122</v>
      </c>
      <c r="G114" s="20" t="s">
        <v>221</v>
      </c>
      <c r="H114" s="15" t="s">
        <v>25</v>
      </c>
    </row>
    <row r="115" spans="3:8" ht="15.75" customHeight="1">
      <c r="C115" s="18">
        <f t="shared" si="10"/>
        <v>46183</v>
      </c>
      <c r="D115" s="15" t="s">
        <v>8</v>
      </c>
      <c r="E115" s="15" t="s">
        <v>9</v>
      </c>
      <c r="F115" s="15" t="s">
        <v>122</v>
      </c>
      <c r="G115" s="20" t="s">
        <v>222</v>
      </c>
      <c r="H115" s="15" t="s">
        <v>18</v>
      </c>
    </row>
    <row r="116" spans="3:8" ht="15.75" customHeight="1">
      <c r="C116" s="18">
        <f t="shared" si="10"/>
        <v>46183</v>
      </c>
      <c r="D116" s="15" t="s">
        <v>13</v>
      </c>
      <c r="E116" s="15" t="s">
        <v>223</v>
      </c>
      <c r="F116" s="15" t="s">
        <v>122</v>
      </c>
      <c r="G116" s="20" t="s">
        <v>224</v>
      </c>
      <c r="H116" s="15" t="s">
        <v>12</v>
      </c>
    </row>
    <row r="117" spans="3:8" ht="15.75" customHeight="1">
      <c r="C117" s="18">
        <f t="shared" si="10"/>
        <v>46183</v>
      </c>
      <c r="D117" s="15" t="s">
        <v>8</v>
      </c>
      <c r="E117" s="15" t="s">
        <v>16</v>
      </c>
      <c r="F117" s="15" t="s">
        <v>122</v>
      </c>
      <c r="G117" s="20" t="s">
        <v>225</v>
      </c>
      <c r="H117" s="15" t="s">
        <v>12</v>
      </c>
    </row>
    <row r="118" spans="3:8" ht="15.75" customHeight="1">
      <c r="C118" s="18">
        <f t="shared" si="10"/>
        <v>46183</v>
      </c>
      <c r="D118" s="15" t="s">
        <v>13</v>
      </c>
      <c r="E118" s="15" t="s">
        <v>208</v>
      </c>
      <c r="F118" s="15" t="s">
        <v>122</v>
      </c>
      <c r="G118" s="20" t="s">
        <v>226</v>
      </c>
      <c r="H118" s="15" t="s">
        <v>12</v>
      </c>
    </row>
    <row r="119" spans="3:8" ht="15.75" customHeight="1">
      <c r="C119" s="18">
        <f t="shared" si="10"/>
        <v>46183</v>
      </c>
      <c r="D119" s="15" t="s">
        <v>13</v>
      </c>
      <c r="E119" s="15" t="s">
        <v>227</v>
      </c>
      <c r="F119" s="15" t="s">
        <v>122</v>
      </c>
      <c r="G119" s="20" t="s">
        <v>228</v>
      </c>
      <c r="H119" s="15" t="s">
        <v>31</v>
      </c>
    </row>
    <row r="120" spans="3:8" ht="15.75" customHeight="1">
      <c r="C120" s="18">
        <f t="shared" si="10"/>
        <v>46183</v>
      </c>
      <c r="D120" s="15" t="s">
        <v>216</v>
      </c>
      <c r="E120" s="20" t="s">
        <v>229</v>
      </c>
      <c r="F120" s="15" t="s">
        <v>122</v>
      </c>
      <c r="G120" s="19" t="s">
        <v>230</v>
      </c>
      <c r="H120" s="15" t="s">
        <v>25</v>
      </c>
    </row>
    <row r="121" spans="3:8" ht="15.75" customHeight="1">
      <c r="C121" s="18">
        <f t="shared" si="10"/>
        <v>46183</v>
      </c>
      <c r="D121" s="15" t="s">
        <v>125</v>
      </c>
      <c r="E121" s="15" t="s">
        <v>231</v>
      </c>
      <c r="F121" s="15" t="s">
        <v>122</v>
      </c>
      <c r="G121" s="20" t="s">
        <v>228</v>
      </c>
      <c r="H121" s="15" t="s">
        <v>31</v>
      </c>
    </row>
    <row r="122" spans="3:8" ht="15.75" customHeight="1">
      <c r="C122" s="18">
        <f t="shared" si="10"/>
        <v>46183</v>
      </c>
      <c r="D122" s="15" t="s">
        <v>8</v>
      </c>
      <c r="E122" s="15" t="s">
        <v>9</v>
      </c>
      <c r="F122" s="15" t="s">
        <v>122</v>
      </c>
      <c r="G122" s="20" t="s">
        <v>232</v>
      </c>
      <c r="H122" s="15" t="s">
        <v>12</v>
      </c>
    </row>
    <row r="123" spans="3:8" ht="15.75" customHeight="1">
      <c r="C123" s="18">
        <f t="shared" si="10"/>
        <v>46183</v>
      </c>
      <c r="D123" s="15" t="s">
        <v>13</v>
      </c>
      <c r="E123" s="15" t="s">
        <v>233</v>
      </c>
      <c r="F123" s="15" t="s">
        <v>122</v>
      </c>
      <c r="G123" s="20" t="s">
        <v>234</v>
      </c>
      <c r="H123" s="15" t="s">
        <v>31</v>
      </c>
    </row>
    <row r="124" spans="3:8" ht="15.75" customHeight="1">
      <c r="C124" s="18">
        <f t="shared" si="10"/>
        <v>46183</v>
      </c>
      <c r="D124" s="15" t="s">
        <v>8</v>
      </c>
      <c r="E124" s="15" t="s">
        <v>32</v>
      </c>
      <c r="F124" s="15" t="s">
        <v>122</v>
      </c>
      <c r="G124" s="20" t="s">
        <v>235</v>
      </c>
      <c r="H124" s="15" t="s">
        <v>25</v>
      </c>
    </row>
    <row r="125" spans="3:8" ht="15.75" customHeight="1">
      <c r="C125" s="18">
        <f t="shared" si="10"/>
        <v>46183</v>
      </c>
      <c r="D125" s="15" t="s">
        <v>8</v>
      </c>
      <c r="E125" s="15" t="s">
        <v>16</v>
      </c>
      <c r="F125" s="15" t="s">
        <v>122</v>
      </c>
      <c r="G125" s="20" t="s">
        <v>236</v>
      </c>
      <c r="H125" s="15" t="s">
        <v>12</v>
      </c>
    </row>
    <row r="126" spans="3:8" ht="15.75" customHeight="1">
      <c r="C126" s="18">
        <f t="shared" si="10"/>
        <v>46183</v>
      </c>
      <c r="D126" s="15" t="s">
        <v>13</v>
      </c>
      <c r="E126" s="15" t="s">
        <v>220</v>
      </c>
      <c r="F126" s="15" t="s">
        <v>122</v>
      </c>
      <c r="G126" s="20" t="s">
        <v>237</v>
      </c>
      <c r="H126" s="15" t="s">
        <v>25</v>
      </c>
    </row>
    <row r="127" spans="3:8" ht="15.75" customHeight="1">
      <c r="C127" s="18">
        <f t="shared" si="10"/>
        <v>46183</v>
      </c>
      <c r="D127" s="15" t="s">
        <v>216</v>
      </c>
      <c r="E127" s="15" t="s">
        <v>16</v>
      </c>
      <c r="F127" s="15" t="s">
        <v>122</v>
      </c>
      <c r="G127" s="20" t="s">
        <v>238</v>
      </c>
      <c r="H127" s="15" t="s">
        <v>25</v>
      </c>
    </row>
    <row r="128" spans="3:8" ht="15.75" customHeight="1">
      <c r="C128" s="18">
        <f t="shared" si="10"/>
        <v>46183</v>
      </c>
      <c r="D128" s="15" t="s">
        <v>125</v>
      </c>
      <c r="E128" s="15" t="s">
        <v>35</v>
      </c>
      <c r="F128" s="15" t="s">
        <v>122</v>
      </c>
      <c r="G128" s="20" t="s">
        <v>239</v>
      </c>
      <c r="H128" s="15" t="s">
        <v>31</v>
      </c>
    </row>
    <row r="129" spans="3:8" ht="15.75" customHeight="1">
      <c r="C129" s="18">
        <f t="shared" si="10"/>
        <v>46183</v>
      </c>
      <c r="D129" s="15" t="s">
        <v>13</v>
      </c>
      <c r="E129" s="15" t="s">
        <v>16</v>
      </c>
      <c r="F129" s="15" t="s">
        <v>122</v>
      </c>
      <c r="G129" s="20" t="s">
        <v>240</v>
      </c>
      <c r="H129" s="15" t="s">
        <v>25</v>
      </c>
    </row>
    <row r="130" spans="3:8" ht="15.75" customHeight="1">
      <c r="C130" s="18">
        <f t="shared" si="10"/>
        <v>46183</v>
      </c>
      <c r="D130" s="15" t="s">
        <v>216</v>
      </c>
      <c r="E130" s="15" t="s">
        <v>32</v>
      </c>
      <c r="F130" s="15" t="s">
        <v>122</v>
      </c>
      <c r="G130" s="20" t="s">
        <v>241</v>
      </c>
      <c r="H130" s="15" t="s">
        <v>25</v>
      </c>
    </row>
    <row r="131" spans="3:8" ht="15.75" customHeight="1">
      <c r="C131" s="18">
        <f t="shared" si="10"/>
        <v>46183</v>
      </c>
      <c r="D131" s="15" t="s">
        <v>8</v>
      </c>
      <c r="E131" s="15" t="s">
        <v>16</v>
      </c>
      <c r="F131" s="15" t="s">
        <v>122</v>
      </c>
      <c r="G131" s="20" t="s">
        <v>242</v>
      </c>
      <c r="H131" s="15" t="s">
        <v>25</v>
      </c>
    </row>
    <row r="132" spans="3:8" ht="15.75" customHeight="1">
      <c r="C132" s="18">
        <f t="shared" si="10"/>
        <v>46183</v>
      </c>
      <c r="D132" s="15" t="s">
        <v>13</v>
      </c>
      <c r="E132" s="15" t="s">
        <v>16</v>
      </c>
      <c r="F132" s="15" t="s">
        <v>122</v>
      </c>
      <c r="G132" s="20" t="s">
        <v>243</v>
      </c>
      <c r="H132" s="15" t="s">
        <v>25</v>
      </c>
    </row>
    <row r="133" spans="3:8" ht="15.75" customHeight="1">
      <c r="C133" s="18">
        <f t="shared" si="10"/>
        <v>46183</v>
      </c>
      <c r="D133" s="15" t="s">
        <v>244</v>
      </c>
      <c r="E133" s="15" t="s">
        <v>27</v>
      </c>
      <c r="F133" s="15" t="s">
        <v>122</v>
      </c>
      <c r="G133" s="20" t="s">
        <v>245</v>
      </c>
      <c r="H133" s="15" t="s">
        <v>31</v>
      </c>
    </row>
    <row r="134" spans="3:8" ht="15.75" customHeight="1">
      <c r="C134" s="18">
        <f t="shared" si="10"/>
        <v>46183</v>
      </c>
      <c r="D134" s="15" t="s">
        <v>8</v>
      </c>
      <c r="E134" s="15" t="s">
        <v>220</v>
      </c>
      <c r="F134" s="15" t="s">
        <v>122</v>
      </c>
      <c r="G134" s="20" t="s">
        <v>246</v>
      </c>
      <c r="H134" s="15" t="s">
        <v>25</v>
      </c>
    </row>
    <row r="135" spans="3:8" ht="15.75" customHeight="1">
      <c r="C135" s="18">
        <f t="shared" si="10"/>
        <v>46183</v>
      </c>
      <c r="D135" s="15" t="s">
        <v>13</v>
      </c>
      <c r="E135" s="15" t="s">
        <v>247</v>
      </c>
      <c r="F135" s="15" t="s">
        <v>122</v>
      </c>
      <c r="G135" s="15" t="s">
        <v>248</v>
      </c>
      <c r="H135" s="15" t="s">
        <v>12</v>
      </c>
    </row>
    <row r="136" spans="3:8" ht="15.75" customHeight="1">
      <c r="C136" s="18">
        <f t="shared" si="10"/>
        <v>46183</v>
      </c>
      <c r="D136" s="15" t="s">
        <v>125</v>
      </c>
      <c r="E136" s="15" t="s">
        <v>84</v>
      </c>
      <c r="F136" s="15" t="s">
        <v>122</v>
      </c>
      <c r="G136" s="20" t="s">
        <v>249</v>
      </c>
      <c r="H136" s="15" t="s">
        <v>31</v>
      </c>
    </row>
    <row r="137" spans="3:8" ht="15.75" customHeight="1">
      <c r="C137" s="18">
        <f t="shared" si="10"/>
        <v>46183</v>
      </c>
      <c r="D137" s="15" t="s">
        <v>8</v>
      </c>
      <c r="E137" s="15" t="s">
        <v>16</v>
      </c>
      <c r="F137" s="15" t="s">
        <v>122</v>
      </c>
      <c r="G137" s="20" t="s">
        <v>250</v>
      </c>
      <c r="H137" s="15" t="s">
        <v>25</v>
      </c>
    </row>
    <row r="138" spans="3:8" ht="15.75" customHeight="1">
      <c r="C138" s="18">
        <f t="shared" si="10"/>
        <v>46183</v>
      </c>
      <c r="D138" s="15" t="s">
        <v>8</v>
      </c>
      <c r="E138" s="15" t="s">
        <v>220</v>
      </c>
      <c r="F138" s="15" t="s">
        <v>122</v>
      </c>
      <c r="G138" s="20" t="s">
        <v>251</v>
      </c>
      <c r="H138" s="15" t="s">
        <v>25</v>
      </c>
    </row>
    <row r="139" spans="3:8" ht="15.75" customHeight="1">
      <c r="C139" s="18">
        <f t="shared" si="10"/>
        <v>46183</v>
      </c>
      <c r="D139" s="15" t="s">
        <v>8</v>
      </c>
      <c r="E139" s="15" t="s">
        <v>27</v>
      </c>
      <c r="F139" s="15" t="s">
        <v>122</v>
      </c>
      <c r="G139" s="20" t="s">
        <v>252</v>
      </c>
      <c r="H139" s="15" t="s">
        <v>130</v>
      </c>
    </row>
    <row r="140" spans="3:8" ht="15.75" customHeight="1">
      <c r="C140" s="13">
        <v>46184</v>
      </c>
      <c r="D140" s="15" t="s">
        <v>13</v>
      </c>
      <c r="E140" s="15" t="s">
        <v>9</v>
      </c>
      <c r="F140" s="15" t="s">
        <v>253</v>
      </c>
      <c r="G140" s="20" t="s">
        <v>254</v>
      </c>
      <c r="H140" s="15" t="s">
        <v>31</v>
      </c>
    </row>
    <row r="141" spans="3:8" ht="15.75" customHeight="1">
      <c r="C141" s="18">
        <f t="shared" ref="C141:C169" si="11">C140</f>
        <v>46184</v>
      </c>
      <c r="D141" s="15" t="s">
        <v>8</v>
      </c>
      <c r="E141" s="15" t="s">
        <v>9</v>
      </c>
      <c r="F141" s="15" t="s">
        <v>253</v>
      </c>
      <c r="G141" s="20" t="s">
        <v>255</v>
      </c>
      <c r="H141" s="15" t="s">
        <v>12</v>
      </c>
    </row>
    <row r="142" spans="3:8" ht="15.75" customHeight="1">
      <c r="C142" s="18">
        <f t="shared" si="11"/>
        <v>46184</v>
      </c>
      <c r="D142" s="15" t="s">
        <v>216</v>
      </c>
      <c r="E142" s="15" t="s">
        <v>114</v>
      </c>
      <c r="F142" s="15" t="s">
        <v>253</v>
      </c>
      <c r="G142" s="20" t="s">
        <v>256</v>
      </c>
      <c r="H142" s="15" t="s">
        <v>25</v>
      </c>
    </row>
    <row r="143" spans="3:8" ht="15.75" customHeight="1">
      <c r="C143" s="18">
        <f t="shared" si="11"/>
        <v>46184</v>
      </c>
      <c r="D143" s="15" t="s">
        <v>257</v>
      </c>
      <c r="E143" s="15" t="s">
        <v>208</v>
      </c>
      <c r="F143" s="15" t="s">
        <v>253</v>
      </c>
      <c r="G143" s="20" t="s">
        <v>258</v>
      </c>
      <c r="H143" s="15" t="s">
        <v>25</v>
      </c>
    </row>
    <row r="144" spans="3:8" ht="15.75" customHeight="1">
      <c r="C144" s="18">
        <f t="shared" si="11"/>
        <v>46184</v>
      </c>
      <c r="D144" s="15" t="s">
        <v>8</v>
      </c>
      <c r="E144" s="20" t="s">
        <v>177</v>
      </c>
      <c r="F144" s="15" t="s">
        <v>253</v>
      </c>
      <c r="G144" s="20" t="s">
        <v>259</v>
      </c>
      <c r="H144" s="15" t="s">
        <v>130</v>
      </c>
    </row>
    <row r="145" spans="3:8" ht="15.75" customHeight="1">
      <c r="C145" s="18">
        <f t="shared" si="11"/>
        <v>46184</v>
      </c>
      <c r="D145" s="15" t="s">
        <v>13</v>
      </c>
      <c r="E145" s="15" t="s">
        <v>9</v>
      </c>
      <c r="F145" s="15" t="s">
        <v>253</v>
      </c>
      <c r="G145" s="20" t="s">
        <v>260</v>
      </c>
      <c r="H145" s="15" t="s">
        <v>31</v>
      </c>
    </row>
    <row r="146" spans="3:8" ht="15.75" customHeight="1">
      <c r="C146" s="18">
        <f t="shared" si="11"/>
        <v>46184</v>
      </c>
      <c r="D146" s="15" t="s">
        <v>13</v>
      </c>
      <c r="E146" s="15" t="s">
        <v>261</v>
      </c>
      <c r="F146" s="15" t="s">
        <v>253</v>
      </c>
      <c r="G146" s="20" t="s">
        <v>262</v>
      </c>
      <c r="H146" s="15" t="s">
        <v>31</v>
      </c>
    </row>
    <row r="147" spans="3:8" ht="15.75" customHeight="1">
      <c r="C147" s="18">
        <f t="shared" si="11"/>
        <v>46184</v>
      </c>
      <c r="D147" s="15" t="s">
        <v>125</v>
      </c>
      <c r="E147" s="15" t="s">
        <v>114</v>
      </c>
      <c r="F147" s="15" t="s">
        <v>253</v>
      </c>
      <c r="G147" s="20" t="s">
        <v>263</v>
      </c>
      <c r="H147" s="15" t="s">
        <v>25</v>
      </c>
    </row>
    <row r="148" spans="3:8" ht="15.75" customHeight="1">
      <c r="C148" s="18">
        <f t="shared" si="11"/>
        <v>46184</v>
      </c>
      <c r="D148" s="15" t="s">
        <v>264</v>
      </c>
      <c r="E148" s="15" t="s">
        <v>265</v>
      </c>
      <c r="F148" s="15" t="s">
        <v>253</v>
      </c>
      <c r="G148" s="20" t="s">
        <v>266</v>
      </c>
      <c r="H148" s="15" t="s">
        <v>31</v>
      </c>
    </row>
    <row r="149" spans="3:8" ht="15.75" customHeight="1">
      <c r="C149" s="18">
        <f t="shared" si="11"/>
        <v>46184</v>
      </c>
      <c r="D149" s="15" t="s">
        <v>13</v>
      </c>
      <c r="E149" s="15" t="s">
        <v>267</v>
      </c>
      <c r="F149" s="15" t="s">
        <v>253</v>
      </c>
      <c r="G149" s="20" t="s">
        <v>268</v>
      </c>
      <c r="H149" s="15" t="s">
        <v>31</v>
      </c>
    </row>
    <row r="150" spans="3:8" ht="15.75" customHeight="1">
      <c r="C150" s="18">
        <f t="shared" si="11"/>
        <v>46184</v>
      </c>
      <c r="D150" s="15" t="s">
        <v>8</v>
      </c>
      <c r="E150" s="15" t="s">
        <v>16</v>
      </c>
      <c r="F150" s="15" t="s">
        <v>253</v>
      </c>
      <c r="G150" s="20" t="s">
        <v>269</v>
      </c>
      <c r="H150" s="15" t="s">
        <v>12</v>
      </c>
    </row>
    <row r="151" spans="3:8" ht="15.75" customHeight="1">
      <c r="C151" s="18">
        <f t="shared" si="11"/>
        <v>46184</v>
      </c>
      <c r="D151" s="15" t="s">
        <v>8</v>
      </c>
      <c r="E151" s="15" t="s">
        <v>114</v>
      </c>
      <c r="F151" s="15" t="s">
        <v>253</v>
      </c>
      <c r="G151" s="20" t="s">
        <v>215</v>
      </c>
      <c r="H151" s="15" t="s">
        <v>12</v>
      </c>
    </row>
    <row r="152" spans="3:8" ht="15.75" customHeight="1">
      <c r="C152" s="18">
        <f t="shared" si="11"/>
        <v>46184</v>
      </c>
      <c r="D152" s="15" t="s">
        <v>13</v>
      </c>
      <c r="E152" s="15" t="s">
        <v>9</v>
      </c>
      <c r="F152" s="15" t="s">
        <v>253</v>
      </c>
      <c r="G152" s="20" t="s">
        <v>270</v>
      </c>
      <c r="H152" s="15" t="s">
        <v>31</v>
      </c>
    </row>
    <row r="153" spans="3:8" ht="15.75" customHeight="1">
      <c r="C153" s="18">
        <f t="shared" si="11"/>
        <v>46184</v>
      </c>
      <c r="D153" s="15" t="s">
        <v>13</v>
      </c>
      <c r="E153" s="15" t="s">
        <v>45</v>
      </c>
      <c r="F153" s="15" t="s">
        <v>253</v>
      </c>
      <c r="G153" s="20" t="s">
        <v>271</v>
      </c>
      <c r="H153" s="15" t="s">
        <v>31</v>
      </c>
    </row>
    <row r="154" spans="3:8" ht="15.75" customHeight="1">
      <c r="C154" s="18">
        <f t="shared" si="11"/>
        <v>46184</v>
      </c>
      <c r="D154" s="15" t="s">
        <v>13</v>
      </c>
      <c r="E154" s="15" t="s">
        <v>69</v>
      </c>
      <c r="F154" s="15" t="s">
        <v>253</v>
      </c>
      <c r="G154" s="20" t="s">
        <v>272</v>
      </c>
      <c r="H154" s="15" t="s">
        <v>31</v>
      </c>
    </row>
    <row r="155" spans="3:8" ht="15.75" customHeight="1">
      <c r="C155" s="18">
        <f t="shared" si="11"/>
        <v>46184</v>
      </c>
      <c r="D155" s="15" t="s">
        <v>8</v>
      </c>
      <c r="E155" s="15" t="s">
        <v>16</v>
      </c>
      <c r="F155" s="15" t="s">
        <v>253</v>
      </c>
      <c r="G155" s="20" t="s">
        <v>273</v>
      </c>
      <c r="H155" s="15" t="s">
        <v>25</v>
      </c>
    </row>
    <row r="156" spans="3:8" ht="15.75" customHeight="1">
      <c r="C156" s="18">
        <f t="shared" si="11"/>
        <v>46184</v>
      </c>
      <c r="D156" s="15" t="s">
        <v>8</v>
      </c>
      <c r="E156" s="15" t="s">
        <v>274</v>
      </c>
      <c r="F156" s="15" t="s">
        <v>253</v>
      </c>
      <c r="G156" s="20" t="s">
        <v>275</v>
      </c>
      <c r="H156" s="15" t="s">
        <v>25</v>
      </c>
    </row>
    <row r="157" spans="3:8" ht="15.75" customHeight="1">
      <c r="C157" s="18">
        <f t="shared" si="11"/>
        <v>46184</v>
      </c>
      <c r="D157" s="15" t="s">
        <v>125</v>
      </c>
      <c r="E157" s="15" t="s">
        <v>9</v>
      </c>
      <c r="F157" s="15" t="s">
        <v>253</v>
      </c>
      <c r="G157" s="20" t="s">
        <v>276</v>
      </c>
      <c r="H157" s="15" t="s">
        <v>12</v>
      </c>
    </row>
    <row r="158" spans="3:8" ht="15.75" customHeight="1">
      <c r="C158" s="18">
        <f t="shared" si="11"/>
        <v>46184</v>
      </c>
      <c r="D158" s="15" t="s">
        <v>13</v>
      </c>
      <c r="E158" s="15" t="s">
        <v>16</v>
      </c>
      <c r="F158" s="15" t="s">
        <v>253</v>
      </c>
      <c r="G158" s="20" t="s">
        <v>277</v>
      </c>
      <c r="H158" s="15" t="s">
        <v>25</v>
      </c>
    </row>
    <row r="159" spans="3:8" ht="15.75" customHeight="1">
      <c r="C159" s="18">
        <f t="shared" si="11"/>
        <v>46184</v>
      </c>
      <c r="D159" s="15" t="s">
        <v>13</v>
      </c>
      <c r="E159" s="15" t="s">
        <v>9</v>
      </c>
      <c r="F159" s="15" t="s">
        <v>253</v>
      </c>
      <c r="G159" s="20" t="s">
        <v>24</v>
      </c>
      <c r="H159" s="15" t="s">
        <v>31</v>
      </c>
    </row>
    <row r="160" spans="3:8" ht="15.75" customHeight="1">
      <c r="C160" s="18">
        <f t="shared" si="11"/>
        <v>46184</v>
      </c>
      <c r="D160" s="15" t="s">
        <v>8</v>
      </c>
      <c r="E160" s="15" t="s">
        <v>84</v>
      </c>
      <c r="F160" s="15" t="s">
        <v>253</v>
      </c>
      <c r="G160" s="20" t="s">
        <v>278</v>
      </c>
      <c r="H160" s="15" t="s">
        <v>18</v>
      </c>
    </row>
    <row r="161" spans="3:8" ht="15.75" customHeight="1">
      <c r="C161" s="18">
        <f t="shared" si="11"/>
        <v>46184</v>
      </c>
      <c r="D161" s="15" t="s">
        <v>13</v>
      </c>
      <c r="E161" s="15" t="s">
        <v>14</v>
      </c>
      <c r="F161" s="15" t="s">
        <v>253</v>
      </c>
      <c r="G161" s="20" t="s">
        <v>279</v>
      </c>
      <c r="H161" s="15" t="s">
        <v>12</v>
      </c>
    </row>
    <row r="162" spans="3:8" ht="15.75" customHeight="1">
      <c r="C162" s="18">
        <f t="shared" si="11"/>
        <v>46184</v>
      </c>
      <c r="D162" s="15" t="s">
        <v>13</v>
      </c>
      <c r="E162" s="15" t="s">
        <v>95</v>
      </c>
      <c r="F162" s="15" t="s">
        <v>253</v>
      </c>
      <c r="G162" s="20" t="s">
        <v>280</v>
      </c>
      <c r="H162" s="15" t="s">
        <v>31</v>
      </c>
    </row>
    <row r="163" spans="3:8" ht="15.75" customHeight="1">
      <c r="C163" s="18">
        <f t="shared" si="11"/>
        <v>46184</v>
      </c>
      <c r="D163" s="15" t="s">
        <v>13</v>
      </c>
      <c r="E163" s="15" t="s">
        <v>52</v>
      </c>
      <c r="F163" s="15" t="s">
        <v>253</v>
      </c>
      <c r="G163" s="20" t="s">
        <v>281</v>
      </c>
      <c r="H163" s="15" t="s">
        <v>31</v>
      </c>
    </row>
    <row r="164" spans="3:8" ht="15.75" customHeight="1">
      <c r="C164" s="18">
        <f t="shared" si="11"/>
        <v>46184</v>
      </c>
      <c r="D164" s="15" t="s">
        <v>13</v>
      </c>
      <c r="E164" s="15" t="s">
        <v>84</v>
      </c>
      <c r="F164" s="15" t="s">
        <v>253</v>
      </c>
      <c r="G164" s="20" t="s">
        <v>24</v>
      </c>
      <c r="H164" s="15" t="s">
        <v>31</v>
      </c>
    </row>
    <row r="165" spans="3:8" ht="15.75" customHeight="1">
      <c r="C165" s="18">
        <f t="shared" si="11"/>
        <v>46184</v>
      </c>
      <c r="D165" s="15" t="s">
        <v>125</v>
      </c>
      <c r="E165" s="15" t="s">
        <v>45</v>
      </c>
      <c r="F165" s="15" t="s">
        <v>253</v>
      </c>
      <c r="G165" s="20" t="s">
        <v>282</v>
      </c>
      <c r="H165" s="15" t="s">
        <v>12</v>
      </c>
    </row>
    <row r="166" spans="3:8" ht="15.75" customHeight="1">
      <c r="C166" s="18">
        <f t="shared" si="11"/>
        <v>46184</v>
      </c>
      <c r="D166" s="15" t="s">
        <v>13</v>
      </c>
      <c r="E166" s="15" t="s">
        <v>128</v>
      </c>
      <c r="F166" s="15" t="s">
        <v>253</v>
      </c>
      <c r="G166" s="20" t="s">
        <v>283</v>
      </c>
      <c r="H166" s="15" t="s">
        <v>12</v>
      </c>
    </row>
    <row r="167" spans="3:8" ht="15.75" customHeight="1">
      <c r="C167" s="18">
        <f t="shared" si="11"/>
        <v>46184</v>
      </c>
      <c r="D167" s="15" t="s">
        <v>125</v>
      </c>
      <c r="E167" s="15" t="s">
        <v>84</v>
      </c>
      <c r="F167" s="15" t="s">
        <v>253</v>
      </c>
      <c r="G167" s="20" t="s">
        <v>284</v>
      </c>
      <c r="H167" s="15" t="s">
        <v>31</v>
      </c>
    </row>
    <row r="168" spans="3:8" ht="15.75" customHeight="1">
      <c r="C168" s="18">
        <f t="shared" si="11"/>
        <v>46184</v>
      </c>
      <c r="D168" s="15" t="s">
        <v>125</v>
      </c>
      <c r="E168" s="15" t="s">
        <v>95</v>
      </c>
      <c r="F168" s="15" t="s">
        <v>253</v>
      </c>
      <c r="G168" s="19" t="s">
        <v>285</v>
      </c>
      <c r="H168" s="15" t="s">
        <v>31</v>
      </c>
    </row>
    <row r="169" spans="3:8" ht="15.75" customHeight="1">
      <c r="C169" s="18">
        <f t="shared" si="11"/>
        <v>46184</v>
      </c>
      <c r="D169" s="15" t="s">
        <v>13</v>
      </c>
      <c r="E169" s="15" t="s">
        <v>45</v>
      </c>
      <c r="F169" s="15" t="s">
        <v>253</v>
      </c>
      <c r="G169" s="20" t="s">
        <v>286</v>
      </c>
      <c r="H169" s="15" t="s">
        <v>31</v>
      </c>
    </row>
    <row r="170" spans="3:8" ht="15.75" customHeight="1">
      <c r="C170" s="13">
        <v>46185</v>
      </c>
      <c r="D170" s="14" t="s">
        <v>287</v>
      </c>
      <c r="E170" s="15" t="s">
        <v>16</v>
      </c>
      <c r="F170" s="15" t="s">
        <v>99</v>
      </c>
      <c r="G170" s="15" t="s">
        <v>288</v>
      </c>
      <c r="H170" s="15" t="s">
        <v>50</v>
      </c>
    </row>
    <row r="171" spans="3:8" ht="15.75" customHeight="1">
      <c r="C171" s="18">
        <f t="shared" ref="C171" si="12">C170</f>
        <v>46185</v>
      </c>
      <c r="D171" s="15" t="s">
        <v>289</v>
      </c>
      <c r="E171" s="15" t="s">
        <v>16</v>
      </c>
      <c r="F171" s="15" t="s">
        <v>99</v>
      </c>
      <c r="G171" s="15" t="s">
        <v>290</v>
      </c>
      <c r="H171" s="15" t="s">
        <v>50</v>
      </c>
    </row>
    <row r="172" spans="3:8" ht="15.75" customHeight="1">
      <c r="C172" s="13">
        <v>46186</v>
      </c>
      <c r="D172" s="14" t="s">
        <v>291</v>
      </c>
      <c r="E172" s="15" t="s">
        <v>274</v>
      </c>
      <c r="F172" s="15" t="s">
        <v>292</v>
      </c>
      <c r="G172" s="15" t="s">
        <v>293</v>
      </c>
      <c r="H172" s="15" t="s">
        <v>12</v>
      </c>
    </row>
    <row r="173" spans="3:8" ht="15.75" customHeight="1">
      <c r="C173" s="18">
        <f t="shared" ref="C173" si="13">C172</f>
        <v>46186</v>
      </c>
      <c r="D173" s="15" t="s">
        <v>294</v>
      </c>
      <c r="E173" s="15" t="s">
        <v>16</v>
      </c>
      <c r="F173" s="15" t="s">
        <v>295</v>
      </c>
      <c r="G173" s="15" t="s">
        <v>296</v>
      </c>
      <c r="H173" s="15" t="s">
        <v>50</v>
      </c>
    </row>
    <row r="174" spans="3:8" ht="15.75" customHeight="1">
      <c r="C174" s="13">
        <v>46189</v>
      </c>
      <c r="D174" s="14" t="s">
        <v>297</v>
      </c>
      <c r="E174" s="15" t="s">
        <v>58</v>
      </c>
      <c r="F174" s="15" t="s">
        <v>99</v>
      </c>
      <c r="G174" s="15" t="s">
        <v>298</v>
      </c>
      <c r="H174" s="15" t="s">
        <v>50</v>
      </c>
    </row>
    <row r="175" spans="3:8" ht="15.75" customHeight="1">
      <c r="C175" s="18">
        <f t="shared" ref="C175" si="14">C174</f>
        <v>46189</v>
      </c>
      <c r="D175" s="15" t="s">
        <v>299</v>
      </c>
      <c r="E175" s="15" t="s">
        <v>98</v>
      </c>
      <c r="F175" s="15" t="s">
        <v>99</v>
      </c>
      <c r="G175" s="15" t="s">
        <v>300</v>
      </c>
      <c r="H175" s="15" t="s">
        <v>50</v>
      </c>
    </row>
    <row r="176" spans="3:8" ht="15.75" customHeight="1">
      <c r="C176" s="13">
        <v>46190</v>
      </c>
      <c r="D176" s="14" t="s">
        <v>103</v>
      </c>
      <c r="E176" s="15" t="s">
        <v>72</v>
      </c>
      <c r="F176" s="15" t="s">
        <v>99</v>
      </c>
      <c r="G176" s="15" t="s">
        <v>301</v>
      </c>
      <c r="H176" s="15" t="s">
        <v>12</v>
      </c>
    </row>
    <row r="177" spans="3:8" ht="15.75" customHeight="1">
      <c r="C177" s="18">
        <f t="shared" ref="C177" si="15">C176</f>
        <v>46190</v>
      </c>
      <c r="D177" s="15" t="s">
        <v>302</v>
      </c>
      <c r="E177" s="15" t="s">
        <v>48</v>
      </c>
      <c r="F177" s="15" t="s">
        <v>303</v>
      </c>
      <c r="G177" s="15" t="s">
        <v>304</v>
      </c>
      <c r="H177" s="15" t="s">
        <v>50</v>
      </c>
    </row>
    <row r="178" spans="3:8" ht="15.75" customHeight="1">
      <c r="C178" s="13">
        <v>46191</v>
      </c>
      <c r="D178" s="23" t="s">
        <v>305</v>
      </c>
      <c r="E178" s="23" t="s">
        <v>35</v>
      </c>
      <c r="F178" s="15" t="s">
        <v>303</v>
      </c>
      <c r="G178" s="23" t="s">
        <v>306</v>
      </c>
      <c r="H178" s="23" t="s">
        <v>31</v>
      </c>
    </row>
    <row r="179" spans="3:8" ht="15.75" customHeight="1">
      <c r="C179" s="18">
        <f t="shared" ref="C179:C205" si="16">C178</f>
        <v>46191</v>
      </c>
      <c r="D179" s="23" t="s">
        <v>305</v>
      </c>
      <c r="E179" s="15" t="s">
        <v>307</v>
      </c>
      <c r="F179" s="15" t="s">
        <v>303</v>
      </c>
      <c r="G179" s="15" t="s">
        <v>308</v>
      </c>
      <c r="H179" s="15" t="s">
        <v>31</v>
      </c>
    </row>
    <row r="180" spans="3:8" ht="15.75" customHeight="1">
      <c r="C180" s="18">
        <f t="shared" si="16"/>
        <v>46191</v>
      </c>
      <c r="D180" s="23" t="s">
        <v>305</v>
      </c>
      <c r="E180" s="15" t="s">
        <v>149</v>
      </c>
      <c r="F180" s="23" t="s">
        <v>309</v>
      </c>
      <c r="G180" s="15" t="s">
        <v>310</v>
      </c>
      <c r="H180" s="15" t="s">
        <v>12</v>
      </c>
    </row>
    <row r="181" spans="3:8" ht="15.75" customHeight="1">
      <c r="C181" s="18">
        <f t="shared" si="16"/>
        <v>46191</v>
      </c>
      <c r="D181" s="23" t="s">
        <v>305</v>
      </c>
      <c r="E181" s="15" t="s">
        <v>52</v>
      </c>
      <c r="F181" s="23" t="s">
        <v>309</v>
      </c>
      <c r="G181" s="15" t="s">
        <v>148</v>
      </c>
      <c r="H181" s="15" t="s">
        <v>31</v>
      </c>
    </row>
    <row r="182" spans="3:8" ht="15.75" customHeight="1">
      <c r="C182" s="18">
        <f t="shared" si="16"/>
        <v>46191</v>
      </c>
      <c r="D182" s="23" t="s">
        <v>305</v>
      </c>
      <c r="E182" s="15" t="s">
        <v>16</v>
      </c>
      <c r="F182" s="23" t="s">
        <v>309</v>
      </c>
      <c r="G182" s="15" t="s">
        <v>311</v>
      </c>
      <c r="H182" s="15" t="s">
        <v>31</v>
      </c>
    </row>
    <row r="183" spans="3:8" ht="15.75" customHeight="1">
      <c r="C183" s="18">
        <f t="shared" si="16"/>
        <v>46191</v>
      </c>
      <c r="D183" s="23" t="s">
        <v>305</v>
      </c>
      <c r="E183" s="15" t="s">
        <v>149</v>
      </c>
      <c r="F183" s="23" t="s">
        <v>309</v>
      </c>
      <c r="G183" s="15" t="s">
        <v>312</v>
      </c>
      <c r="H183" s="15" t="s">
        <v>12</v>
      </c>
    </row>
    <row r="184" spans="3:8" ht="15.75" customHeight="1">
      <c r="C184" s="18">
        <f t="shared" si="16"/>
        <v>46191</v>
      </c>
      <c r="D184" s="15" t="s">
        <v>8</v>
      </c>
      <c r="E184" s="15" t="s">
        <v>208</v>
      </c>
      <c r="F184" s="23" t="s">
        <v>309</v>
      </c>
      <c r="G184" s="15" t="s">
        <v>313</v>
      </c>
      <c r="H184" s="15" t="s">
        <v>12</v>
      </c>
    </row>
    <row r="185" spans="3:8" ht="15.75" customHeight="1">
      <c r="C185" s="18">
        <f t="shared" si="16"/>
        <v>46191</v>
      </c>
      <c r="D185" s="23" t="s">
        <v>305</v>
      </c>
      <c r="E185" s="15" t="s">
        <v>27</v>
      </c>
      <c r="F185" s="23" t="s">
        <v>309</v>
      </c>
      <c r="G185" s="20" t="s">
        <v>314</v>
      </c>
      <c r="H185" s="15" t="s">
        <v>31</v>
      </c>
    </row>
    <row r="186" spans="3:8" ht="15.75" customHeight="1">
      <c r="C186" s="18">
        <f t="shared" si="16"/>
        <v>46191</v>
      </c>
      <c r="D186" s="15" t="s">
        <v>305</v>
      </c>
      <c r="E186" s="15" t="s">
        <v>16</v>
      </c>
      <c r="F186" s="23" t="s">
        <v>309</v>
      </c>
      <c r="G186" s="20" t="s">
        <v>315</v>
      </c>
      <c r="H186" s="15" t="s">
        <v>25</v>
      </c>
    </row>
    <row r="187" spans="3:8" ht="15.75" customHeight="1">
      <c r="C187" s="18">
        <f t="shared" si="16"/>
        <v>46191</v>
      </c>
      <c r="D187" s="15" t="s">
        <v>8</v>
      </c>
      <c r="E187" s="15" t="s">
        <v>9</v>
      </c>
      <c r="F187" s="23" t="s">
        <v>309</v>
      </c>
      <c r="G187" s="20" t="s">
        <v>316</v>
      </c>
      <c r="H187" s="15" t="s">
        <v>12</v>
      </c>
    </row>
    <row r="188" spans="3:8" ht="15.75" customHeight="1">
      <c r="C188" s="18">
        <f t="shared" si="16"/>
        <v>46191</v>
      </c>
      <c r="D188" s="15" t="s">
        <v>8</v>
      </c>
      <c r="E188" s="15" t="s">
        <v>317</v>
      </c>
      <c r="F188" s="23" t="s">
        <v>309</v>
      </c>
      <c r="G188" s="20" t="s">
        <v>318</v>
      </c>
      <c r="H188" s="15" t="s">
        <v>12</v>
      </c>
    </row>
    <row r="189" spans="3:8" ht="15.75" customHeight="1">
      <c r="C189" s="18">
        <f t="shared" si="16"/>
        <v>46191</v>
      </c>
      <c r="D189" s="15" t="s">
        <v>305</v>
      </c>
      <c r="E189" s="15" t="s">
        <v>16</v>
      </c>
      <c r="F189" s="23" t="s">
        <v>309</v>
      </c>
      <c r="G189" s="20" t="s">
        <v>319</v>
      </c>
      <c r="H189" s="15" t="s">
        <v>25</v>
      </c>
    </row>
    <row r="190" spans="3:8" ht="15.75" customHeight="1">
      <c r="C190" s="18">
        <f t="shared" si="16"/>
        <v>46191</v>
      </c>
      <c r="D190" s="15" t="s">
        <v>125</v>
      </c>
      <c r="E190" s="15" t="s">
        <v>114</v>
      </c>
      <c r="F190" s="23" t="s">
        <v>309</v>
      </c>
      <c r="G190" s="20" t="s">
        <v>320</v>
      </c>
      <c r="H190" s="15" t="s">
        <v>25</v>
      </c>
    </row>
    <row r="191" spans="3:8" ht="15.75" customHeight="1">
      <c r="C191" s="18">
        <f t="shared" si="16"/>
        <v>46191</v>
      </c>
      <c r="D191" s="15" t="s">
        <v>305</v>
      </c>
      <c r="E191" s="15" t="s">
        <v>9</v>
      </c>
      <c r="F191" s="23" t="s">
        <v>309</v>
      </c>
      <c r="G191" s="20" t="s">
        <v>271</v>
      </c>
      <c r="H191" s="15" t="s">
        <v>31</v>
      </c>
    </row>
    <row r="192" spans="3:8" ht="15.75" customHeight="1">
      <c r="C192" s="18">
        <f t="shared" si="16"/>
        <v>46191</v>
      </c>
      <c r="D192" s="15" t="s">
        <v>305</v>
      </c>
      <c r="E192" s="15" t="s">
        <v>321</v>
      </c>
      <c r="F192" s="23" t="s">
        <v>309</v>
      </c>
      <c r="G192" s="20" t="s">
        <v>322</v>
      </c>
      <c r="H192" s="15" t="s">
        <v>12</v>
      </c>
    </row>
    <row r="193" spans="3:8" ht="15.75" customHeight="1">
      <c r="C193" s="18">
        <f t="shared" si="16"/>
        <v>46191</v>
      </c>
      <c r="D193" s="15" t="s">
        <v>305</v>
      </c>
      <c r="E193" s="15" t="s">
        <v>84</v>
      </c>
      <c r="F193" s="23" t="s">
        <v>309</v>
      </c>
      <c r="G193" s="20" t="s">
        <v>323</v>
      </c>
      <c r="H193" s="15" t="s">
        <v>31</v>
      </c>
    </row>
    <row r="194" spans="3:8" ht="15.75" customHeight="1">
      <c r="C194" s="18">
        <f t="shared" si="16"/>
        <v>46191</v>
      </c>
      <c r="D194" s="15" t="s">
        <v>8</v>
      </c>
      <c r="E194" s="15" t="s">
        <v>9</v>
      </c>
      <c r="F194" s="23" t="s">
        <v>309</v>
      </c>
      <c r="G194" s="20" t="s">
        <v>87</v>
      </c>
      <c r="H194" s="15" t="s">
        <v>12</v>
      </c>
    </row>
    <row r="195" spans="3:8" ht="15.75" customHeight="1">
      <c r="C195" s="18">
        <f t="shared" si="16"/>
        <v>46191</v>
      </c>
      <c r="D195" s="15" t="s">
        <v>305</v>
      </c>
      <c r="E195" s="15" t="s">
        <v>84</v>
      </c>
      <c r="F195" s="23" t="s">
        <v>309</v>
      </c>
      <c r="G195" s="20" t="s">
        <v>324</v>
      </c>
      <c r="H195" s="15" t="s">
        <v>31</v>
      </c>
    </row>
    <row r="196" spans="3:8" ht="15.75" customHeight="1">
      <c r="C196" s="18">
        <f t="shared" si="16"/>
        <v>46191</v>
      </c>
      <c r="D196" s="15" t="s">
        <v>305</v>
      </c>
      <c r="E196" s="15" t="s">
        <v>58</v>
      </c>
      <c r="F196" s="23" t="s">
        <v>309</v>
      </c>
      <c r="G196" s="20" t="s">
        <v>325</v>
      </c>
      <c r="H196" s="15" t="s">
        <v>31</v>
      </c>
    </row>
    <row r="197" spans="3:8" ht="15.75" customHeight="1">
      <c r="C197" s="18">
        <f t="shared" si="16"/>
        <v>46191</v>
      </c>
      <c r="D197" s="15" t="s">
        <v>305</v>
      </c>
      <c r="E197" s="15" t="s">
        <v>84</v>
      </c>
      <c r="F197" s="23" t="s">
        <v>309</v>
      </c>
      <c r="G197" s="20" t="s">
        <v>326</v>
      </c>
      <c r="H197" s="15" t="s">
        <v>31</v>
      </c>
    </row>
    <row r="198" spans="3:8" ht="15.75" customHeight="1">
      <c r="C198" s="18">
        <f t="shared" si="16"/>
        <v>46191</v>
      </c>
      <c r="D198" s="15" t="s">
        <v>305</v>
      </c>
      <c r="E198" s="15" t="s">
        <v>149</v>
      </c>
      <c r="F198" s="23" t="s">
        <v>309</v>
      </c>
      <c r="G198" s="20" t="s">
        <v>327</v>
      </c>
      <c r="H198" s="15" t="s">
        <v>25</v>
      </c>
    </row>
    <row r="199" spans="3:8" ht="15.75" customHeight="1">
      <c r="C199" s="18">
        <f t="shared" si="16"/>
        <v>46191</v>
      </c>
      <c r="D199" s="15" t="s">
        <v>305</v>
      </c>
      <c r="E199" s="15" t="s">
        <v>328</v>
      </c>
      <c r="F199" s="23" t="s">
        <v>309</v>
      </c>
      <c r="G199" s="20" t="s">
        <v>329</v>
      </c>
      <c r="H199" s="15" t="s">
        <v>12</v>
      </c>
    </row>
    <row r="200" spans="3:8" ht="15.75" customHeight="1">
      <c r="C200" s="18">
        <f t="shared" si="16"/>
        <v>46191</v>
      </c>
      <c r="D200" s="15" t="s">
        <v>305</v>
      </c>
      <c r="E200" s="15" t="s">
        <v>16</v>
      </c>
      <c r="F200" s="23" t="s">
        <v>309</v>
      </c>
      <c r="G200" s="20" t="s">
        <v>330</v>
      </c>
      <c r="H200" s="15" t="s">
        <v>31</v>
      </c>
    </row>
    <row r="201" spans="3:8" ht="15.75" customHeight="1">
      <c r="C201" s="18">
        <f t="shared" si="16"/>
        <v>46191</v>
      </c>
      <c r="D201" s="15" t="s">
        <v>305</v>
      </c>
      <c r="E201" s="15" t="s">
        <v>16</v>
      </c>
      <c r="F201" s="23" t="s">
        <v>309</v>
      </c>
      <c r="G201" s="20" t="s">
        <v>331</v>
      </c>
      <c r="H201" s="15" t="s">
        <v>25</v>
      </c>
    </row>
    <row r="202" spans="3:8" ht="15.75" customHeight="1">
      <c r="C202" s="18">
        <f t="shared" si="16"/>
        <v>46191</v>
      </c>
      <c r="D202" s="15" t="s">
        <v>332</v>
      </c>
      <c r="E202" s="15" t="s">
        <v>333</v>
      </c>
      <c r="F202" s="23" t="s">
        <v>334</v>
      </c>
      <c r="G202" s="15" t="s">
        <v>335</v>
      </c>
      <c r="H202" s="15" t="s">
        <v>31</v>
      </c>
    </row>
    <row r="203" spans="3:8" ht="15.75" customHeight="1">
      <c r="C203" s="18">
        <f t="shared" si="16"/>
        <v>46191</v>
      </c>
      <c r="D203" s="15" t="s">
        <v>336</v>
      </c>
      <c r="E203" s="15" t="s">
        <v>337</v>
      </c>
      <c r="F203" s="23" t="s">
        <v>334</v>
      </c>
      <c r="G203" s="15" t="s">
        <v>338</v>
      </c>
      <c r="H203" s="15" t="s">
        <v>31</v>
      </c>
    </row>
    <row r="204" spans="3:8" ht="15.75" customHeight="1">
      <c r="C204" s="18">
        <f t="shared" si="16"/>
        <v>46191</v>
      </c>
      <c r="D204" s="15" t="s">
        <v>339</v>
      </c>
      <c r="E204" s="15" t="s">
        <v>340</v>
      </c>
      <c r="F204" s="23" t="s">
        <v>334</v>
      </c>
      <c r="G204" s="15" t="s">
        <v>341</v>
      </c>
      <c r="H204" s="15" t="s">
        <v>31</v>
      </c>
    </row>
    <row r="205" spans="3:8" ht="15.75" customHeight="1">
      <c r="C205" s="18">
        <f t="shared" si="16"/>
        <v>46191</v>
      </c>
      <c r="D205" s="15" t="s">
        <v>342</v>
      </c>
      <c r="E205" s="15" t="s">
        <v>343</v>
      </c>
      <c r="F205" s="23" t="s">
        <v>334</v>
      </c>
      <c r="G205" s="15" t="s">
        <v>344</v>
      </c>
      <c r="H205" s="15" t="s">
        <v>31</v>
      </c>
    </row>
    <row r="206" spans="3:8" ht="15.75" customHeight="1">
      <c r="C206" s="13">
        <v>46193</v>
      </c>
      <c r="D206" s="15" t="s">
        <v>103</v>
      </c>
      <c r="E206" s="15" t="s">
        <v>345</v>
      </c>
      <c r="F206" s="15" t="s">
        <v>346</v>
      </c>
      <c r="G206" s="15" t="s">
        <v>347</v>
      </c>
      <c r="H206" s="15" t="s">
        <v>348</v>
      </c>
    </row>
    <row r="207" spans="3:8" ht="15.75" customHeight="1">
      <c r="C207" s="24">
        <v>46194</v>
      </c>
      <c r="D207" s="14" t="s">
        <v>349</v>
      </c>
      <c r="E207" s="15" t="s">
        <v>98</v>
      </c>
      <c r="F207" s="15" t="s">
        <v>350</v>
      </c>
      <c r="G207" s="15" t="s">
        <v>351</v>
      </c>
      <c r="H207" s="15" t="s">
        <v>352</v>
      </c>
    </row>
    <row r="208" spans="3:8" ht="15.75" customHeight="1">
      <c r="C208" s="18">
        <f t="shared" ref="C208" si="17">C207</f>
        <v>46194</v>
      </c>
      <c r="D208" s="15" t="s">
        <v>353</v>
      </c>
      <c r="E208" s="15" t="s">
        <v>98</v>
      </c>
      <c r="F208" s="15" t="s">
        <v>350</v>
      </c>
      <c r="G208" s="15" t="s">
        <v>354</v>
      </c>
      <c r="H208" s="15" t="s">
        <v>50</v>
      </c>
    </row>
    <row r="209" spans="3:8" ht="15.75" customHeight="1">
      <c r="C209" s="13">
        <v>46195</v>
      </c>
      <c r="D209" s="14" t="s">
        <v>355</v>
      </c>
      <c r="E209" s="15" t="s">
        <v>9</v>
      </c>
      <c r="F209" s="15" t="s">
        <v>356</v>
      </c>
      <c r="G209" s="15" t="s">
        <v>357</v>
      </c>
      <c r="H209" s="15" t="s">
        <v>50</v>
      </c>
    </row>
    <row r="210" spans="3:8" ht="15.75" customHeight="1">
      <c r="C210" s="18">
        <f t="shared" ref="C210:C223" si="18">C209</f>
        <v>46195</v>
      </c>
      <c r="D210" s="15" t="s">
        <v>358</v>
      </c>
      <c r="E210" s="15" t="s">
        <v>56</v>
      </c>
      <c r="F210" s="15" t="s">
        <v>356</v>
      </c>
      <c r="G210" s="15" t="s">
        <v>359</v>
      </c>
      <c r="H210" s="15" t="s">
        <v>50</v>
      </c>
    </row>
    <row r="211" spans="3:8" ht="15.75" customHeight="1">
      <c r="C211" s="18">
        <f t="shared" si="18"/>
        <v>46195</v>
      </c>
      <c r="D211" s="15" t="s">
        <v>360</v>
      </c>
      <c r="E211" s="15" t="s">
        <v>14</v>
      </c>
      <c r="F211" s="15" t="s">
        <v>356</v>
      </c>
      <c r="G211" s="15" t="s">
        <v>361</v>
      </c>
      <c r="H211" s="15" t="s">
        <v>50</v>
      </c>
    </row>
    <row r="212" spans="3:8" ht="15.75" customHeight="1">
      <c r="C212" s="18">
        <f t="shared" si="18"/>
        <v>46195</v>
      </c>
      <c r="D212" s="15" t="s">
        <v>362</v>
      </c>
      <c r="E212" s="15" t="s">
        <v>72</v>
      </c>
      <c r="F212" s="15" t="s">
        <v>356</v>
      </c>
      <c r="G212" s="15" t="s">
        <v>363</v>
      </c>
      <c r="H212" s="15" t="s">
        <v>50</v>
      </c>
    </row>
    <row r="213" spans="3:8" ht="15.75" customHeight="1">
      <c r="C213" s="18">
        <f t="shared" si="18"/>
        <v>46195</v>
      </c>
      <c r="D213" s="15" t="s">
        <v>103</v>
      </c>
      <c r="E213" s="15" t="s">
        <v>364</v>
      </c>
      <c r="F213" s="15" t="s">
        <v>356</v>
      </c>
      <c r="G213" s="15" t="s">
        <v>365</v>
      </c>
      <c r="H213" s="15" t="s">
        <v>352</v>
      </c>
    </row>
    <row r="214" spans="3:8" ht="15.75" customHeight="1">
      <c r="C214" s="18">
        <f t="shared" si="18"/>
        <v>46195</v>
      </c>
      <c r="D214" s="15" t="s">
        <v>13</v>
      </c>
      <c r="E214" s="15" t="s">
        <v>16</v>
      </c>
      <c r="F214" s="15" t="s">
        <v>309</v>
      </c>
      <c r="G214" s="20" t="s">
        <v>366</v>
      </c>
      <c r="H214" s="15" t="s">
        <v>352</v>
      </c>
    </row>
    <row r="215" spans="3:8" ht="15.75" customHeight="1">
      <c r="C215" s="18">
        <f t="shared" si="18"/>
        <v>46195</v>
      </c>
      <c r="D215" s="15" t="s">
        <v>8</v>
      </c>
      <c r="E215" s="15" t="s">
        <v>9</v>
      </c>
      <c r="F215" s="15" t="s">
        <v>309</v>
      </c>
      <c r="G215" s="20" t="s">
        <v>367</v>
      </c>
      <c r="H215" s="15" t="s">
        <v>352</v>
      </c>
    </row>
    <row r="216" spans="3:8" ht="15.75" customHeight="1">
      <c r="C216" s="18">
        <f t="shared" si="18"/>
        <v>46195</v>
      </c>
      <c r="D216" s="15" t="s">
        <v>125</v>
      </c>
      <c r="E216" s="15" t="s">
        <v>45</v>
      </c>
      <c r="F216" s="15" t="s">
        <v>309</v>
      </c>
      <c r="G216" s="20" t="s">
        <v>368</v>
      </c>
      <c r="H216" s="15" t="s">
        <v>50</v>
      </c>
    </row>
    <row r="217" spans="3:8" ht="15.75" customHeight="1">
      <c r="C217" s="18">
        <f t="shared" si="18"/>
        <v>46195</v>
      </c>
      <c r="D217" s="15" t="s">
        <v>125</v>
      </c>
      <c r="E217" s="15" t="s">
        <v>369</v>
      </c>
      <c r="F217" s="15" t="s">
        <v>309</v>
      </c>
      <c r="G217" s="20" t="s">
        <v>370</v>
      </c>
      <c r="H217" s="15" t="s">
        <v>50</v>
      </c>
    </row>
    <row r="218" spans="3:8" ht="15.75" customHeight="1">
      <c r="C218" s="18">
        <f t="shared" si="18"/>
        <v>46195</v>
      </c>
      <c r="D218" s="15" t="s">
        <v>125</v>
      </c>
      <c r="E218" s="15" t="s">
        <v>369</v>
      </c>
      <c r="F218" s="15" t="s">
        <v>309</v>
      </c>
      <c r="G218" s="20" t="s">
        <v>371</v>
      </c>
      <c r="H218" s="15" t="s">
        <v>50</v>
      </c>
    </row>
    <row r="219" spans="3:8" ht="15.75" customHeight="1">
      <c r="C219" s="18">
        <f t="shared" si="18"/>
        <v>46195</v>
      </c>
      <c r="D219" s="15" t="s">
        <v>8</v>
      </c>
      <c r="E219" s="15" t="s">
        <v>265</v>
      </c>
      <c r="F219" s="15" t="s">
        <v>309</v>
      </c>
      <c r="G219" s="20" t="s">
        <v>372</v>
      </c>
      <c r="H219" s="15" t="s">
        <v>352</v>
      </c>
    </row>
    <row r="220" spans="3:8" ht="15.75" customHeight="1">
      <c r="C220" s="18">
        <f t="shared" si="18"/>
        <v>46195</v>
      </c>
      <c r="D220" s="15" t="s">
        <v>13</v>
      </c>
      <c r="E220" s="15" t="s">
        <v>16</v>
      </c>
      <c r="F220" s="15" t="s">
        <v>309</v>
      </c>
      <c r="G220" s="20" t="s">
        <v>373</v>
      </c>
      <c r="H220" s="15" t="s">
        <v>50</v>
      </c>
    </row>
    <row r="221" spans="3:8" ht="15.75" customHeight="1">
      <c r="C221" s="18">
        <f t="shared" si="18"/>
        <v>46195</v>
      </c>
      <c r="D221" s="15" t="s">
        <v>8</v>
      </c>
      <c r="E221" s="15" t="s">
        <v>16</v>
      </c>
      <c r="F221" s="15" t="s">
        <v>309</v>
      </c>
      <c r="G221" s="20" t="s">
        <v>374</v>
      </c>
      <c r="H221" s="15" t="s">
        <v>352</v>
      </c>
    </row>
    <row r="222" spans="3:8" ht="15.75" customHeight="1">
      <c r="C222" s="18">
        <f t="shared" si="18"/>
        <v>46195</v>
      </c>
      <c r="D222" s="15" t="s">
        <v>13</v>
      </c>
      <c r="E222" s="15" t="s">
        <v>307</v>
      </c>
      <c r="F222" s="15" t="s">
        <v>309</v>
      </c>
      <c r="G222" s="20" t="s">
        <v>375</v>
      </c>
      <c r="H222" s="15" t="s">
        <v>50</v>
      </c>
    </row>
    <row r="223" spans="3:8" ht="15.75" customHeight="1">
      <c r="C223" s="18">
        <f t="shared" si="18"/>
        <v>46195</v>
      </c>
      <c r="D223" s="15" t="s">
        <v>13</v>
      </c>
      <c r="E223" s="15" t="s">
        <v>200</v>
      </c>
      <c r="F223" s="15" t="s">
        <v>309</v>
      </c>
      <c r="G223" s="20" t="s">
        <v>24</v>
      </c>
      <c r="H223" s="15" t="s">
        <v>50</v>
      </c>
    </row>
    <row r="224" spans="3:8" ht="15.75" customHeight="1">
      <c r="C224" s="13">
        <v>46196</v>
      </c>
      <c r="D224" s="15" t="s">
        <v>125</v>
      </c>
      <c r="E224" s="15" t="s">
        <v>376</v>
      </c>
      <c r="F224" s="15" t="s">
        <v>377</v>
      </c>
      <c r="G224" s="20" t="s">
        <v>378</v>
      </c>
      <c r="H224" s="15" t="s">
        <v>31</v>
      </c>
    </row>
    <row r="225" spans="3:8" ht="15.75" customHeight="1">
      <c r="C225" s="18">
        <f t="shared" ref="C225:C241" si="19">C224</f>
        <v>46196</v>
      </c>
      <c r="D225" s="15" t="s">
        <v>13</v>
      </c>
      <c r="E225" s="15" t="s">
        <v>16</v>
      </c>
      <c r="F225" s="15" t="s">
        <v>377</v>
      </c>
      <c r="G225" s="20" t="s">
        <v>379</v>
      </c>
      <c r="H225" s="15" t="s">
        <v>380</v>
      </c>
    </row>
    <row r="226" spans="3:8" ht="15.75" customHeight="1">
      <c r="C226" s="18">
        <f t="shared" si="19"/>
        <v>46196</v>
      </c>
      <c r="D226" s="15" t="s">
        <v>13</v>
      </c>
      <c r="E226" s="15" t="s">
        <v>27</v>
      </c>
      <c r="F226" s="15" t="s">
        <v>377</v>
      </c>
      <c r="G226" s="15" t="s">
        <v>381</v>
      </c>
      <c r="H226" s="15" t="s">
        <v>31</v>
      </c>
    </row>
    <row r="227" spans="3:8" ht="15.75" customHeight="1">
      <c r="C227" s="18">
        <f t="shared" si="19"/>
        <v>46196</v>
      </c>
      <c r="D227" s="15" t="s">
        <v>8</v>
      </c>
      <c r="E227" s="15" t="s">
        <v>382</v>
      </c>
      <c r="F227" s="15" t="s">
        <v>377</v>
      </c>
      <c r="G227" s="20" t="s">
        <v>383</v>
      </c>
      <c r="H227" s="15" t="s">
        <v>12</v>
      </c>
    </row>
    <row r="228" spans="3:8" ht="15.75" customHeight="1">
      <c r="C228" s="18">
        <f t="shared" si="19"/>
        <v>46196</v>
      </c>
      <c r="D228" s="15" t="s">
        <v>125</v>
      </c>
      <c r="E228" s="15" t="s">
        <v>208</v>
      </c>
      <c r="F228" s="15" t="s">
        <v>377</v>
      </c>
      <c r="G228" s="20" t="s">
        <v>384</v>
      </c>
      <c r="H228" s="15" t="s">
        <v>25</v>
      </c>
    </row>
    <row r="229" spans="3:8" ht="15.75" customHeight="1">
      <c r="C229" s="18">
        <f t="shared" si="19"/>
        <v>46196</v>
      </c>
      <c r="D229" s="15" t="s">
        <v>125</v>
      </c>
      <c r="E229" s="15" t="s">
        <v>84</v>
      </c>
      <c r="F229" s="15" t="s">
        <v>377</v>
      </c>
      <c r="G229" s="20" t="s">
        <v>385</v>
      </c>
      <c r="H229" s="15" t="s">
        <v>31</v>
      </c>
    </row>
    <row r="230" spans="3:8" ht="15.75" customHeight="1">
      <c r="C230" s="18">
        <f t="shared" si="19"/>
        <v>46196</v>
      </c>
      <c r="D230" s="15" t="s">
        <v>13</v>
      </c>
      <c r="E230" s="15" t="s">
        <v>386</v>
      </c>
      <c r="F230" s="15" t="s">
        <v>377</v>
      </c>
      <c r="G230" s="20" t="s">
        <v>387</v>
      </c>
      <c r="H230" s="15" t="s">
        <v>25</v>
      </c>
    </row>
    <row r="231" spans="3:8" ht="15.75" customHeight="1">
      <c r="C231" s="18">
        <f t="shared" si="19"/>
        <v>46196</v>
      </c>
      <c r="D231" s="15" t="s">
        <v>13</v>
      </c>
      <c r="E231" s="15" t="s">
        <v>27</v>
      </c>
      <c r="F231" s="15" t="s">
        <v>377</v>
      </c>
      <c r="G231" s="20" t="s">
        <v>388</v>
      </c>
      <c r="H231" s="15" t="s">
        <v>31</v>
      </c>
    </row>
    <row r="232" spans="3:8" ht="15.75" customHeight="1">
      <c r="C232" s="18">
        <f t="shared" si="19"/>
        <v>46196</v>
      </c>
      <c r="D232" s="15" t="s">
        <v>8</v>
      </c>
      <c r="E232" s="15" t="s">
        <v>52</v>
      </c>
      <c r="F232" s="15" t="s">
        <v>377</v>
      </c>
      <c r="G232" s="20" t="s">
        <v>389</v>
      </c>
      <c r="H232" s="15" t="s">
        <v>175</v>
      </c>
    </row>
    <row r="233" spans="3:8" ht="15.75" customHeight="1">
      <c r="C233" s="18">
        <f t="shared" si="19"/>
        <v>46196</v>
      </c>
      <c r="D233" s="15" t="s">
        <v>13</v>
      </c>
      <c r="E233" s="15" t="s">
        <v>345</v>
      </c>
      <c r="F233" s="15" t="s">
        <v>377</v>
      </c>
      <c r="G233" s="20" t="s">
        <v>390</v>
      </c>
      <c r="H233" s="15" t="s">
        <v>31</v>
      </c>
    </row>
    <row r="234" spans="3:8" ht="15.75" customHeight="1">
      <c r="C234" s="18">
        <f t="shared" si="19"/>
        <v>46196</v>
      </c>
      <c r="D234" s="15" t="s">
        <v>8</v>
      </c>
      <c r="E234" s="20" t="s">
        <v>114</v>
      </c>
      <c r="F234" s="15" t="s">
        <v>377</v>
      </c>
      <c r="G234" s="20" t="s">
        <v>391</v>
      </c>
      <c r="H234" s="15" t="s">
        <v>12</v>
      </c>
    </row>
    <row r="235" spans="3:8" ht="15.75" customHeight="1">
      <c r="C235" s="18">
        <f t="shared" si="19"/>
        <v>46196</v>
      </c>
      <c r="D235" s="15" t="s">
        <v>125</v>
      </c>
      <c r="E235" s="15" t="s">
        <v>392</v>
      </c>
      <c r="F235" s="15" t="s">
        <v>377</v>
      </c>
      <c r="G235" s="20" t="s">
        <v>393</v>
      </c>
      <c r="H235" s="15" t="s">
        <v>12</v>
      </c>
    </row>
    <row r="236" spans="3:8" ht="15.75" customHeight="1">
      <c r="C236" s="18">
        <f t="shared" si="19"/>
        <v>46196</v>
      </c>
      <c r="D236" s="15" t="s">
        <v>13</v>
      </c>
      <c r="E236" s="15" t="s">
        <v>208</v>
      </c>
      <c r="F236" s="15" t="s">
        <v>377</v>
      </c>
      <c r="G236" s="20" t="s">
        <v>394</v>
      </c>
      <c r="H236" s="15" t="s">
        <v>25</v>
      </c>
    </row>
    <row r="237" spans="3:8" ht="15.75" customHeight="1">
      <c r="C237" s="18">
        <f t="shared" si="19"/>
        <v>46196</v>
      </c>
      <c r="D237" s="15" t="s">
        <v>125</v>
      </c>
      <c r="E237" s="15" t="s">
        <v>9</v>
      </c>
      <c r="F237" s="15" t="s">
        <v>377</v>
      </c>
      <c r="G237" s="20" t="s">
        <v>395</v>
      </c>
      <c r="H237" s="15" t="s">
        <v>31</v>
      </c>
    </row>
    <row r="238" spans="3:8" ht="15.75" customHeight="1">
      <c r="C238" s="18">
        <f t="shared" si="19"/>
        <v>46196</v>
      </c>
      <c r="D238" s="15" t="s">
        <v>125</v>
      </c>
      <c r="E238" s="15" t="s">
        <v>396</v>
      </c>
      <c r="F238" s="15" t="s">
        <v>377</v>
      </c>
      <c r="G238" s="20" t="s">
        <v>397</v>
      </c>
      <c r="H238" s="15" t="s">
        <v>31</v>
      </c>
    </row>
    <row r="239" spans="3:8" ht="15.75" customHeight="1">
      <c r="C239" s="18">
        <f t="shared" si="19"/>
        <v>46196</v>
      </c>
      <c r="D239" s="15" t="s">
        <v>125</v>
      </c>
      <c r="E239" s="15" t="s">
        <v>16</v>
      </c>
      <c r="F239" s="15" t="s">
        <v>377</v>
      </c>
      <c r="G239" s="20" t="s">
        <v>255</v>
      </c>
      <c r="H239" s="15" t="s">
        <v>25</v>
      </c>
    </row>
    <row r="240" spans="3:8" ht="15.75" customHeight="1">
      <c r="C240" s="18">
        <f t="shared" si="19"/>
        <v>46196</v>
      </c>
      <c r="D240" s="15" t="s">
        <v>398</v>
      </c>
      <c r="E240" s="15" t="s">
        <v>9</v>
      </c>
      <c r="F240" s="15" t="s">
        <v>399</v>
      </c>
      <c r="G240" s="15" t="s">
        <v>400</v>
      </c>
      <c r="H240" s="15" t="s">
        <v>125</v>
      </c>
    </row>
    <row r="241" spans="3:8" ht="15.75" customHeight="1">
      <c r="C241" s="18">
        <f t="shared" si="19"/>
        <v>46196</v>
      </c>
      <c r="D241" s="15" t="s">
        <v>401</v>
      </c>
      <c r="E241" s="15" t="s">
        <v>402</v>
      </c>
      <c r="F241" s="15" t="s">
        <v>399</v>
      </c>
      <c r="G241" s="15" t="s">
        <v>403</v>
      </c>
      <c r="H241" s="15" t="s">
        <v>125</v>
      </c>
    </row>
    <row r="242" spans="3:8" ht="15.75" customHeight="1">
      <c r="C242" s="13">
        <v>46197</v>
      </c>
      <c r="D242" s="14" t="s">
        <v>404</v>
      </c>
      <c r="E242" s="15" t="s">
        <v>405</v>
      </c>
      <c r="F242" s="15" t="s">
        <v>99</v>
      </c>
      <c r="G242" s="15" t="s">
        <v>406</v>
      </c>
      <c r="H242" s="15" t="s">
        <v>50</v>
      </c>
    </row>
    <row r="243" spans="3:8" ht="15.75" customHeight="1">
      <c r="C243" s="13">
        <v>46198</v>
      </c>
      <c r="D243" s="14" t="s">
        <v>103</v>
      </c>
      <c r="E243" s="15" t="s">
        <v>98</v>
      </c>
      <c r="F243" s="15" t="s">
        <v>407</v>
      </c>
      <c r="G243" s="15" t="s">
        <v>408</v>
      </c>
      <c r="H243" s="25" t="s">
        <v>409</v>
      </c>
    </row>
    <row r="244" spans="3:8" ht="15.75" customHeight="1">
      <c r="C244" s="13">
        <v>46199</v>
      </c>
      <c r="D244" s="14" t="s">
        <v>358</v>
      </c>
      <c r="E244" s="15" t="s">
        <v>410</v>
      </c>
      <c r="F244" s="15" t="s">
        <v>411</v>
      </c>
      <c r="G244" s="15" t="s">
        <v>412</v>
      </c>
      <c r="H244" s="15" t="s">
        <v>50</v>
      </c>
    </row>
    <row r="245" spans="3:8" ht="15.75" customHeight="1">
      <c r="C245" s="18">
        <f t="shared" ref="C245:C247" si="20">C244</f>
        <v>46199</v>
      </c>
      <c r="D245" s="15" t="s">
        <v>413</v>
      </c>
      <c r="E245" s="15" t="s">
        <v>200</v>
      </c>
      <c r="F245" s="15" t="s">
        <v>411</v>
      </c>
      <c r="G245" s="15" t="s">
        <v>414</v>
      </c>
      <c r="H245" s="15" t="s">
        <v>50</v>
      </c>
    </row>
    <row r="246" spans="3:8" ht="15.75" customHeight="1">
      <c r="C246" s="18">
        <f t="shared" si="20"/>
        <v>46199</v>
      </c>
      <c r="D246" s="15" t="s">
        <v>415</v>
      </c>
      <c r="E246" s="15" t="s">
        <v>416</v>
      </c>
      <c r="F246" s="15" t="s">
        <v>411</v>
      </c>
      <c r="G246" s="15" t="s">
        <v>417</v>
      </c>
      <c r="H246" s="15" t="s">
        <v>50</v>
      </c>
    </row>
    <row r="247" spans="3:8" ht="15.75" customHeight="1">
      <c r="C247" s="18">
        <f t="shared" si="20"/>
        <v>46199</v>
      </c>
      <c r="D247" s="15" t="s">
        <v>418</v>
      </c>
      <c r="E247" s="15" t="s">
        <v>58</v>
      </c>
      <c r="F247" s="15" t="s">
        <v>334</v>
      </c>
      <c r="G247" s="20" t="s">
        <v>419</v>
      </c>
      <c r="H247" s="15" t="s">
        <v>50</v>
      </c>
    </row>
    <row r="248" spans="3:8" ht="15.75" customHeight="1">
      <c r="C248" s="13">
        <v>46201</v>
      </c>
      <c r="D248" s="14" t="s">
        <v>420</v>
      </c>
      <c r="E248" s="15" t="s">
        <v>421</v>
      </c>
      <c r="F248" s="15" t="s">
        <v>99</v>
      </c>
      <c r="G248" s="15" t="s">
        <v>422</v>
      </c>
      <c r="H248" s="15" t="s">
        <v>50</v>
      </c>
    </row>
    <row r="249" spans="3:8" ht="15.75" customHeight="1">
      <c r="C249" s="18">
        <f t="shared" ref="C249:C253" si="21">C248</f>
        <v>46201</v>
      </c>
      <c r="D249" s="15" t="s">
        <v>423</v>
      </c>
      <c r="E249" s="15" t="s">
        <v>114</v>
      </c>
      <c r="F249" s="15" t="s">
        <v>99</v>
      </c>
      <c r="G249" s="15" t="s">
        <v>424</v>
      </c>
      <c r="H249" s="15" t="s">
        <v>50</v>
      </c>
    </row>
    <row r="250" spans="3:8" ht="15.75" customHeight="1">
      <c r="C250" s="18">
        <f t="shared" si="21"/>
        <v>46201</v>
      </c>
      <c r="D250" s="15" t="s">
        <v>425</v>
      </c>
      <c r="E250" s="15" t="s">
        <v>421</v>
      </c>
      <c r="F250" s="15" t="s">
        <v>99</v>
      </c>
      <c r="G250" s="15" t="s">
        <v>426</v>
      </c>
      <c r="H250" s="15" t="s">
        <v>50</v>
      </c>
    </row>
    <row r="251" spans="3:8" ht="15.75" customHeight="1">
      <c r="C251" s="18">
        <f t="shared" si="21"/>
        <v>46201</v>
      </c>
      <c r="D251" s="15" t="s">
        <v>427</v>
      </c>
      <c r="E251" s="15" t="s">
        <v>35</v>
      </c>
      <c r="F251" s="15" t="s">
        <v>99</v>
      </c>
      <c r="G251" s="15" t="s">
        <v>428</v>
      </c>
      <c r="H251" s="15" t="s">
        <v>50</v>
      </c>
    </row>
    <row r="252" spans="3:8" ht="15.75" customHeight="1">
      <c r="C252" s="18">
        <f t="shared" si="21"/>
        <v>46201</v>
      </c>
      <c r="D252" s="15" t="s">
        <v>429</v>
      </c>
      <c r="E252" s="15" t="s">
        <v>35</v>
      </c>
      <c r="F252" s="15" t="s">
        <v>99</v>
      </c>
      <c r="G252" s="15" t="s">
        <v>430</v>
      </c>
      <c r="H252" s="15" t="s">
        <v>50</v>
      </c>
    </row>
    <row r="253" spans="3:8" ht="15.75" customHeight="1">
      <c r="C253" s="18">
        <f t="shared" si="21"/>
        <v>46201</v>
      </c>
      <c r="D253" s="15" t="s">
        <v>103</v>
      </c>
      <c r="E253" s="15" t="s">
        <v>431</v>
      </c>
      <c r="F253" s="15" t="s">
        <v>99</v>
      </c>
      <c r="G253" s="15" t="s">
        <v>432</v>
      </c>
      <c r="H253" s="15" t="s">
        <v>352</v>
      </c>
    </row>
    <row r="254" spans="3:8" ht="15.75" customHeight="1">
      <c r="C254" s="13">
        <v>46202</v>
      </c>
      <c r="D254" s="14" t="s">
        <v>433</v>
      </c>
      <c r="E254" s="15" t="s">
        <v>35</v>
      </c>
      <c r="F254" s="15" t="s">
        <v>99</v>
      </c>
      <c r="G254" s="15" t="s">
        <v>434</v>
      </c>
      <c r="H254" s="15" t="s">
        <v>50</v>
      </c>
    </row>
    <row r="255" spans="3:8" ht="15.75" customHeight="1">
      <c r="C255" s="18">
        <f t="shared" ref="C255:C258" si="22">C254</f>
        <v>46202</v>
      </c>
      <c r="D255" s="15" t="s">
        <v>435</v>
      </c>
      <c r="E255" s="15" t="s">
        <v>98</v>
      </c>
      <c r="F255" s="15" t="s">
        <v>99</v>
      </c>
      <c r="G255" s="15" t="s">
        <v>436</v>
      </c>
      <c r="H255" s="15" t="s">
        <v>380</v>
      </c>
    </row>
    <row r="256" spans="3:8" ht="15.75" customHeight="1">
      <c r="C256" s="18">
        <f t="shared" si="22"/>
        <v>46202</v>
      </c>
      <c r="D256" s="15" t="s">
        <v>437</v>
      </c>
      <c r="E256" s="15" t="s">
        <v>438</v>
      </c>
      <c r="F256" s="15" t="s">
        <v>99</v>
      </c>
      <c r="G256" s="15" t="s">
        <v>439</v>
      </c>
      <c r="H256" s="15" t="s">
        <v>50</v>
      </c>
    </row>
    <row r="257" spans="3:8" ht="15.75" customHeight="1">
      <c r="C257" s="18">
        <f t="shared" si="22"/>
        <v>46202</v>
      </c>
      <c r="D257" s="15" t="s">
        <v>440</v>
      </c>
      <c r="E257" s="15" t="s">
        <v>438</v>
      </c>
      <c r="F257" s="15" t="s">
        <v>99</v>
      </c>
      <c r="G257" s="15" t="s">
        <v>441</v>
      </c>
      <c r="H257" s="15" t="s">
        <v>50</v>
      </c>
    </row>
    <row r="258" spans="3:8" ht="15.75" customHeight="1">
      <c r="C258" s="18">
        <f t="shared" si="22"/>
        <v>46202</v>
      </c>
      <c r="D258" s="15" t="s">
        <v>442</v>
      </c>
      <c r="E258" s="15" t="s">
        <v>58</v>
      </c>
      <c r="F258" s="15" t="s">
        <v>443</v>
      </c>
      <c r="G258" s="15" t="s">
        <v>444</v>
      </c>
      <c r="H258" s="15" t="s">
        <v>50</v>
      </c>
    </row>
    <row r="259" spans="3:8" ht="15.75" customHeight="1">
      <c r="C259" s="13">
        <v>46203</v>
      </c>
      <c r="D259" s="14" t="s">
        <v>433</v>
      </c>
      <c r="E259" s="15" t="s">
        <v>35</v>
      </c>
      <c r="F259" s="15" t="s">
        <v>443</v>
      </c>
      <c r="G259" s="15" t="s">
        <v>445</v>
      </c>
      <c r="H259" s="15" t="s">
        <v>50</v>
      </c>
    </row>
    <row r="260" spans="3:8" ht="15.75" customHeight="1">
      <c r="C260" s="18">
        <f t="shared" ref="C260:C265" si="23">C259</f>
        <v>46203</v>
      </c>
      <c r="D260" s="15" t="s">
        <v>420</v>
      </c>
      <c r="E260" s="15" t="s">
        <v>446</v>
      </c>
      <c r="F260" s="15" t="s">
        <v>443</v>
      </c>
      <c r="G260" s="15" t="s">
        <v>447</v>
      </c>
      <c r="H260" s="15" t="s">
        <v>50</v>
      </c>
    </row>
    <row r="261" spans="3:8" ht="15.75" customHeight="1">
      <c r="C261" s="18">
        <f t="shared" si="23"/>
        <v>46203</v>
      </c>
      <c r="D261" s="15" t="s">
        <v>103</v>
      </c>
      <c r="E261" s="15" t="s">
        <v>52</v>
      </c>
      <c r="F261" s="15" t="s">
        <v>448</v>
      </c>
      <c r="G261" s="15" t="s">
        <v>449</v>
      </c>
      <c r="H261" s="15" t="s">
        <v>12</v>
      </c>
    </row>
    <row r="262" spans="3:8" ht="15.75" customHeight="1">
      <c r="C262" s="18">
        <f t="shared" si="23"/>
        <v>46203</v>
      </c>
      <c r="D262" s="15" t="s">
        <v>103</v>
      </c>
      <c r="E262" s="15" t="s">
        <v>450</v>
      </c>
      <c r="F262" s="15" t="s">
        <v>448</v>
      </c>
      <c r="G262" s="20" t="s">
        <v>87</v>
      </c>
      <c r="H262" s="15" t="s">
        <v>12</v>
      </c>
    </row>
    <row r="263" spans="3:8" ht="15.75" customHeight="1">
      <c r="C263" s="18">
        <f t="shared" si="23"/>
        <v>46203</v>
      </c>
      <c r="D263" s="15" t="s">
        <v>451</v>
      </c>
      <c r="E263" s="15" t="s">
        <v>98</v>
      </c>
      <c r="F263" s="15" t="s">
        <v>448</v>
      </c>
      <c r="G263" s="20" t="s">
        <v>452</v>
      </c>
      <c r="H263" s="15" t="s">
        <v>453</v>
      </c>
    </row>
    <row r="264" spans="3:8" ht="15.75" customHeight="1">
      <c r="C264" s="18">
        <f t="shared" si="23"/>
        <v>46203</v>
      </c>
      <c r="D264" s="15" t="s">
        <v>454</v>
      </c>
      <c r="E264" s="15" t="s">
        <v>98</v>
      </c>
      <c r="F264" s="15" t="s">
        <v>448</v>
      </c>
      <c r="G264" s="20" t="s">
        <v>455</v>
      </c>
      <c r="H264" s="15" t="s">
        <v>50</v>
      </c>
    </row>
    <row r="265" spans="3:8" ht="15.75" customHeight="1">
      <c r="C265" s="18">
        <f t="shared" si="23"/>
        <v>46203</v>
      </c>
      <c r="D265" s="15" t="s">
        <v>456</v>
      </c>
      <c r="E265" s="15" t="s">
        <v>457</v>
      </c>
      <c r="F265" s="15" t="s">
        <v>448</v>
      </c>
      <c r="G265" s="20" t="s">
        <v>458</v>
      </c>
      <c r="H265" s="15" t="s">
        <v>453</v>
      </c>
    </row>
    <row r="266" spans="3:8" ht="15.75" customHeight="1"/>
    <row r="267" spans="3:8" ht="15.75" customHeight="1"/>
    <row r="268" spans="3:8" ht="15.75" customHeight="1"/>
    <row r="269" spans="3:8" ht="15.75" customHeight="1"/>
    <row r="270" spans="3:8" ht="15.75" customHeight="1"/>
    <row r="271" spans="3:8" ht="15.75" customHeight="1"/>
    <row r="272" spans="3:8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4:H6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JUN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</dc:creator>
  <cp:lastModifiedBy>Carlos Eduardo</cp:lastModifiedBy>
  <dcterms:created xsi:type="dcterms:W3CDTF">2026-07-14T13:12:53Z</dcterms:created>
  <dcterms:modified xsi:type="dcterms:W3CDTF">2026-07-14T13:13:26Z</dcterms:modified>
</cp:coreProperties>
</file>