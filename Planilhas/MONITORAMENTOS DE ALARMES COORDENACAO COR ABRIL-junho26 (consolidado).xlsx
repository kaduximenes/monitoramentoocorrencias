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Repo\Ocorrencias_Espontaneas\Planilhas\"/>
    </mc:Choice>
  </mc:AlternateContent>
  <xr:revisionPtr revIDLastSave="0" documentId="13_ncr:1_{E612749E-5BAE-4640-9372-2564B8B5D0E6}" xr6:coauthVersionLast="47" xr6:coauthVersionMax="47" xr10:uidLastSave="{00000000-0000-0000-0000-000000000000}"/>
  <bookViews>
    <workbookView xWindow="-28920" yWindow="525" windowWidth="29040" windowHeight="15720" tabRatio="500" xr2:uid="{00000000-000D-0000-FFFF-FFFF00000000}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10" i="1" l="1"/>
  <c r="O9" i="1" s="1"/>
  <c r="B2043" i="1"/>
  <c r="B2042" i="1"/>
  <c r="B2041" i="1"/>
  <c r="B2023" i="1"/>
  <c r="B2022" i="1"/>
  <c r="B2021" i="1"/>
  <c r="B2012" i="1"/>
  <c r="B2011" i="1"/>
  <c r="B2010" i="1"/>
  <c r="B2006" i="1"/>
  <c r="B2005" i="1"/>
  <c r="B2004" i="1"/>
  <c r="B2001" i="1"/>
  <c r="B2002" i="1" s="1"/>
  <c r="B2000" i="1"/>
  <c r="B1999" i="1"/>
  <c r="B1997" i="1"/>
  <c r="B1995" i="1"/>
  <c r="B1994" i="1"/>
  <c r="B1992" i="1"/>
  <c r="B1991" i="1"/>
  <c r="B1990" i="1"/>
  <c r="B1976" i="1"/>
  <c r="B1975" i="1"/>
  <c r="B1974" i="1"/>
  <c r="B1958" i="1"/>
  <c r="B1957" i="1"/>
  <c r="B1956" i="1"/>
  <c r="B1949" i="1"/>
  <c r="B1948" i="1"/>
  <c r="B1947" i="1"/>
  <c r="B1942" i="1"/>
  <c r="B1941" i="1"/>
  <c r="B1940" i="1"/>
  <c r="N10" i="1"/>
  <c r="N9" i="1" s="1"/>
  <c r="B1718" i="1"/>
  <c r="B1721" i="1" s="1"/>
  <c r="B1717" i="1"/>
  <c r="B1716" i="1"/>
  <c r="B1711" i="1"/>
  <c r="B1710" i="1"/>
  <c r="B1709" i="1"/>
  <c r="B1700" i="1"/>
  <c r="B1703" i="1" s="1"/>
  <c r="B1699" i="1"/>
  <c r="B1698" i="1"/>
  <c r="B1681" i="1"/>
  <c r="B1684" i="1" s="1"/>
  <c r="B1680" i="1"/>
  <c r="B1679" i="1"/>
  <c r="B1665" i="1"/>
  <c r="B1664" i="1"/>
  <c r="B1663" i="1"/>
  <c r="B1640" i="1"/>
  <c r="B1643" i="1" s="1"/>
  <c r="B1639" i="1"/>
  <c r="B1638" i="1"/>
  <c r="B1611" i="1"/>
  <c r="B1610" i="1"/>
  <c r="B1609" i="1"/>
  <c r="B1586" i="1"/>
  <c r="B1585" i="1"/>
  <c r="B1584" i="1"/>
  <c r="B1569" i="1"/>
  <c r="B1570" i="1" s="1"/>
  <c r="B1568" i="1"/>
  <c r="B1567" i="1"/>
  <c r="B1548" i="1"/>
  <c r="B1551" i="1" s="1"/>
  <c r="B1547" i="1"/>
  <c r="B1546" i="1"/>
  <c r="B1714" i="1" l="1"/>
  <c r="B1713" i="1"/>
  <c r="B1712" i="1"/>
  <c r="B1666" i="1"/>
  <c r="B1668" i="1"/>
  <c r="B1667" i="1"/>
  <c r="B1612" i="1"/>
  <c r="B1613" i="1"/>
  <c r="B1614" i="1"/>
  <c r="B1589" i="1"/>
  <c r="B1588" i="1"/>
  <c r="B2046" i="1"/>
  <c r="B2045" i="1"/>
  <c r="B2044" i="1"/>
  <c r="B2026" i="1"/>
  <c r="B2025" i="1"/>
  <c r="B2024" i="1"/>
  <c r="B2014" i="1"/>
  <c r="B2015" i="1"/>
  <c r="B2013" i="1"/>
  <c r="B2008" i="1"/>
  <c r="B2007" i="1"/>
  <c r="B1979" i="1"/>
  <c r="B1978" i="1"/>
  <c r="B1977" i="1"/>
  <c r="B1961" i="1"/>
  <c r="B1960" i="1"/>
  <c r="B1959" i="1"/>
  <c r="B1952" i="1"/>
  <c r="B1951" i="1"/>
  <c r="B1950" i="1"/>
  <c r="B1944" i="1"/>
  <c r="B1945" i="1"/>
  <c r="B1943" i="1"/>
  <c r="B1724" i="1"/>
  <c r="B1723" i="1"/>
  <c r="B1722" i="1"/>
  <c r="B1719" i="1"/>
  <c r="B1720" i="1"/>
  <c r="B1706" i="1"/>
  <c r="B1707" i="1" s="1"/>
  <c r="B1705" i="1"/>
  <c r="B1704" i="1"/>
  <c r="B1701" i="1"/>
  <c r="B1702" i="1"/>
  <c r="B1686" i="1"/>
  <c r="B1687" i="1"/>
  <c r="B1685" i="1"/>
  <c r="B1682" i="1"/>
  <c r="B1683" i="1"/>
  <c r="B1646" i="1"/>
  <c r="B1645" i="1"/>
  <c r="B1644" i="1"/>
  <c r="B1641" i="1"/>
  <c r="B1642" i="1"/>
  <c r="B1591" i="1"/>
  <c r="B1592" i="1"/>
  <c r="B1590" i="1"/>
  <c r="B1587" i="1"/>
  <c r="B1572" i="1"/>
  <c r="B1571" i="1"/>
  <c r="B1553" i="1"/>
  <c r="B1552" i="1"/>
  <c r="B1554" i="1"/>
  <c r="B1549" i="1"/>
  <c r="B1550" i="1"/>
  <c r="B1671" i="1" l="1"/>
  <c r="B1670" i="1"/>
  <c r="B1669" i="1"/>
  <c r="B1617" i="1"/>
  <c r="B1616" i="1"/>
  <c r="B1615" i="1"/>
  <c r="B2047" i="1"/>
  <c r="B2048" i="1"/>
  <c r="B2049" i="1"/>
  <c r="B2027" i="1"/>
  <c r="B2028" i="1"/>
  <c r="B2029" i="1"/>
  <c r="B2016" i="1"/>
  <c r="B2017" i="1"/>
  <c r="B2018" i="1"/>
  <c r="B2019" i="1" s="1"/>
  <c r="B1980" i="1"/>
  <c r="B1981" i="1"/>
  <c r="B1982" i="1"/>
  <c r="B1962" i="1"/>
  <c r="B1963" i="1"/>
  <c r="B1964" i="1"/>
  <c r="B1953" i="1"/>
  <c r="B1954" i="1"/>
  <c r="B1727" i="1"/>
  <c r="B1726" i="1"/>
  <c r="B1725" i="1"/>
  <c r="B1690" i="1"/>
  <c r="B1689" i="1"/>
  <c r="B1688" i="1"/>
  <c r="B1649" i="1"/>
  <c r="B1647" i="1"/>
  <c r="B1648" i="1"/>
  <c r="B1595" i="1"/>
  <c r="B1594" i="1"/>
  <c r="B1593" i="1"/>
  <c r="B1575" i="1"/>
  <c r="B1573" i="1"/>
  <c r="B1574" i="1"/>
  <c r="B1555" i="1"/>
  <c r="B1557" i="1"/>
  <c r="B1556" i="1"/>
  <c r="B1674" i="1" l="1"/>
  <c r="B1672" i="1"/>
  <c r="B1673" i="1"/>
  <c r="B1620" i="1"/>
  <c r="B1618" i="1"/>
  <c r="B1619" i="1"/>
  <c r="B2050" i="1"/>
  <c r="B2052" i="1"/>
  <c r="B2051" i="1"/>
  <c r="B2030" i="1"/>
  <c r="B2031" i="1"/>
  <c r="B2032" i="1"/>
  <c r="B1983" i="1"/>
  <c r="B1984" i="1"/>
  <c r="B1985" i="1"/>
  <c r="B1965" i="1"/>
  <c r="B1966" i="1"/>
  <c r="B1967" i="1"/>
  <c r="B1730" i="1"/>
  <c r="B1729" i="1"/>
  <c r="B1728" i="1"/>
  <c r="B1693" i="1"/>
  <c r="B1692" i="1"/>
  <c r="B1691" i="1"/>
  <c r="B1650" i="1"/>
  <c r="B1652" i="1"/>
  <c r="B1651" i="1"/>
  <c r="B1596" i="1"/>
  <c r="B1598" i="1"/>
  <c r="B1597" i="1"/>
  <c r="B1578" i="1"/>
  <c r="B1577" i="1"/>
  <c r="B1576" i="1"/>
  <c r="B1558" i="1"/>
  <c r="B1560" i="1"/>
  <c r="B1559" i="1"/>
  <c r="B1675" i="1" l="1"/>
  <c r="B1676" i="1"/>
  <c r="B1677" i="1"/>
  <c r="B1621" i="1"/>
  <c r="B1622" i="1"/>
  <c r="B1623" i="1"/>
  <c r="B2055" i="1"/>
  <c r="B2053" i="1"/>
  <c r="B2054" i="1"/>
  <c r="B2033" i="1"/>
  <c r="B2034" i="1"/>
  <c r="B2035" i="1"/>
  <c r="B1986" i="1"/>
  <c r="B1987" i="1"/>
  <c r="B1968" i="1"/>
  <c r="B1969" i="1"/>
  <c r="B1970" i="1"/>
  <c r="B1733" i="1"/>
  <c r="B1732" i="1"/>
  <c r="B1731" i="1"/>
  <c r="B1696" i="1"/>
  <c r="B1695" i="1"/>
  <c r="B1694" i="1"/>
  <c r="B1653" i="1"/>
  <c r="B1655" i="1"/>
  <c r="B1654" i="1"/>
  <c r="B1601" i="1"/>
  <c r="B1600" i="1"/>
  <c r="B1599" i="1"/>
  <c r="B1581" i="1"/>
  <c r="B1582" i="1" s="1"/>
  <c r="B1580" i="1"/>
  <c r="B1579" i="1"/>
  <c r="B1563" i="1"/>
  <c r="B1562" i="1"/>
  <c r="B1561" i="1"/>
  <c r="B1626" i="1" l="1"/>
  <c r="B1625" i="1"/>
  <c r="B1624" i="1"/>
  <c r="B2058" i="1"/>
  <c r="B2056" i="1"/>
  <c r="B2057" i="1"/>
  <c r="B2036" i="1"/>
  <c r="B2037" i="1"/>
  <c r="B2038" i="1"/>
  <c r="B2039" i="1" s="1"/>
  <c r="B1971" i="1"/>
  <c r="B1972" i="1"/>
  <c r="B1736" i="1"/>
  <c r="B1735" i="1"/>
  <c r="B1734" i="1"/>
  <c r="B1658" i="1"/>
  <c r="B1657" i="1"/>
  <c r="B1656" i="1"/>
  <c r="B1603" i="1"/>
  <c r="B1602" i="1"/>
  <c r="B1604" i="1"/>
  <c r="B1565" i="1"/>
  <c r="B1564" i="1"/>
  <c r="B1627" i="1" l="1"/>
  <c r="B1629" i="1"/>
  <c r="B1628" i="1"/>
  <c r="B2059" i="1"/>
  <c r="B2060" i="1"/>
  <c r="B1661" i="1"/>
  <c r="B1660" i="1"/>
  <c r="B1659" i="1"/>
  <c r="B1607" i="1"/>
  <c r="B1606" i="1"/>
  <c r="B1605" i="1"/>
  <c r="B1632" i="1" l="1"/>
  <c r="B1630" i="1"/>
  <c r="B1631" i="1"/>
  <c r="B1517" i="1"/>
  <c r="B1520" i="1" s="1"/>
  <c r="B1516" i="1"/>
  <c r="B1515" i="1"/>
  <c r="B1495" i="1"/>
  <c r="B1498" i="1" s="1"/>
  <c r="B1494" i="1"/>
  <c r="B1493" i="1"/>
  <c r="B1472" i="1"/>
  <c r="B1475" i="1" s="1"/>
  <c r="B1471" i="1"/>
  <c r="B1470" i="1"/>
  <c r="B1460" i="1"/>
  <c r="B1463" i="1" s="1"/>
  <c r="B1459" i="1"/>
  <c r="B1458" i="1"/>
  <c r="B1441" i="1"/>
  <c r="B1444" i="1" s="1"/>
  <c r="B1440" i="1"/>
  <c r="B1439" i="1"/>
  <c r="B1423" i="1"/>
  <c r="B1421" i="1"/>
  <c r="B1420" i="1"/>
  <c r="B1419" i="1"/>
  <c r="B1405" i="1"/>
  <c r="B1404" i="1"/>
  <c r="B1403" i="1"/>
  <c r="B1397" i="1"/>
  <c r="B1396" i="1"/>
  <c r="B1395" i="1"/>
  <c r="M10" i="1"/>
  <c r="M9" i="1" s="1"/>
  <c r="B1633" i="1" l="1"/>
  <c r="B1634" i="1"/>
  <c r="B1635" i="1"/>
  <c r="B1636" i="1" s="1"/>
  <c r="B1424" i="1"/>
  <c r="B1427" i="1" s="1"/>
  <c r="B1422" i="1"/>
  <c r="B1408" i="1"/>
  <c r="B1411" i="1" s="1"/>
  <c r="B1407" i="1"/>
  <c r="B1406" i="1"/>
  <c r="B1399" i="1"/>
  <c r="B1400" i="1"/>
  <c r="B1401" i="1" s="1"/>
  <c r="B1523" i="1"/>
  <c r="B1521" i="1"/>
  <c r="B1522" i="1"/>
  <c r="B1518" i="1"/>
  <c r="B1519" i="1"/>
  <c r="B1501" i="1"/>
  <c r="B1500" i="1"/>
  <c r="B1499" i="1"/>
  <c r="B1496" i="1"/>
  <c r="B1497" i="1"/>
  <c r="B1478" i="1"/>
  <c r="B1477" i="1"/>
  <c r="B1476" i="1"/>
  <c r="B1473" i="1"/>
  <c r="B1474" i="1"/>
  <c r="B1465" i="1"/>
  <c r="B1464" i="1"/>
  <c r="B1466" i="1"/>
  <c r="B1461" i="1"/>
  <c r="B1462" i="1"/>
  <c r="B1446" i="1"/>
  <c r="B1445" i="1"/>
  <c r="B1447" i="1"/>
  <c r="B1442" i="1"/>
  <c r="B1443" i="1"/>
  <c r="B1430" i="1"/>
  <c r="B1428" i="1"/>
  <c r="B1429" i="1"/>
  <c r="B1425" i="1"/>
  <c r="B1426" i="1"/>
  <c r="B1414" i="1"/>
  <c r="B1413" i="1"/>
  <c r="B1412" i="1"/>
  <c r="B1409" i="1"/>
  <c r="B1410" i="1"/>
  <c r="B1398" i="1"/>
  <c r="B1365" i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47" i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36" i="1"/>
  <c r="B1337" i="1" s="1"/>
  <c r="B1338" i="1" s="1"/>
  <c r="B1339" i="1" s="1"/>
  <c r="B1340" i="1" s="1"/>
  <c r="B1341" i="1" s="1"/>
  <c r="B1342" i="1" s="1"/>
  <c r="B1343" i="1" s="1"/>
  <c r="B1344" i="1" s="1"/>
  <c r="B1345" i="1" s="1"/>
  <c r="B1331" i="1"/>
  <c r="B1332" i="1" s="1"/>
  <c r="B1333" i="1" s="1"/>
  <c r="B1334" i="1" s="1"/>
  <c r="B1309" i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282" i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265" i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51" i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42" i="1"/>
  <c r="B1243" i="1" s="1"/>
  <c r="B1244" i="1" s="1"/>
  <c r="B1245" i="1" s="1"/>
  <c r="B1246" i="1" s="1"/>
  <c r="B1247" i="1" s="1"/>
  <c r="B1248" i="1" s="1"/>
  <c r="B1249" i="1" s="1"/>
  <c r="B1207" i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192" i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175" i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70" i="1"/>
  <c r="B1171" i="1" s="1"/>
  <c r="B1172" i="1" s="1"/>
  <c r="B1173" i="1" s="1"/>
  <c r="B1155" i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34" i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18" i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09" i="1"/>
  <c r="B1110" i="1" s="1"/>
  <c r="B1111" i="1" s="1"/>
  <c r="B1112" i="1" s="1"/>
  <c r="B1113" i="1" s="1"/>
  <c r="B1114" i="1" s="1"/>
  <c r="B1115" i="1" s="1"/>
  <c r="B1116" i="1" s="1"/>
  <c r="B1088" i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070" i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54" i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47" i="1"/>
  <c r="B1048" i="1" s="1"/>
  <c r="B1049" i="1" s="1"/>
  <c r="B1050" i="1" s="1"/>
  <c r="B1051" i="1" s="1"/>
  <c r="B1052" i="1" s="1"/>
  <c r="B1040" i="1"/>
  <c r="B1041" i="1" s="1"/>
  <c r="B1042" i="1" s="1"/>
  <c r="B1043" i="1" s="1"/>
  <c r="B1044" i="1" s="1"/>
  <c r="B1045" i="1" s="1"/>
  <c r="B1037" i="1"/>
  <c r="B1038" i="1" s="1"/>
  <c r="B1034" i="1"/>
  <c r="B1035" i="1" s="1"/>
  <c r="B1028" i="1"/>
  <c r="B1029" i="1" s="1"/>
  <c r="B1030" i="1" s="1"/>
  <c r="B1031" i="1" s="1"/>
  <c r="B1032" i="1" s="1"/>
  <c r="B1020" i="1"/>
  <c r="B1021" i="1" s="1"/>
  <c r="B1022" i="1" s="1"/>
  <c r="B1023" i="1" s="1"/>
  <c r="B1024" i="1" s="1"/>
  <c r="B1025" i="1" s="1"/>
  <c r="B1026" i="1" s="1"/>
  <c r="B1016" i="1"/>
  <c r="B1017" i="1" s="1"/>
  <c r="B1012" i="1"/>
  <c r="B1013" i="1" s="1"/>
  <c r="B1014" i="1" s="1"/>
  <c r="B1005" i="1"/>
  <c r="B1006" i="1" s="1"/>
  <c r="B1007" i="1" s="1"/>
  <c r="B1008" i="1" s="1"/>
  <c r="B1009" i="1" s="1"/>
  <c r="B1010" i="1" s="1"/>
  <c r="B1000" i="1"/>
  <c r="B1001" i="1" s="1"/>
  <c r="B1002" i="1" s="1"/>
  <c r="B1003" i="1" s="1"/>
  <c r="B994" i="1"/>
  <c r="B995" i="1" s="1"/>
  <c r="B996" i="1" s="1"/>
  <c r="B997" i="1" s="1"/>
  <c r="B998" i="1" s="1"/>
  <c r="B990" i="1"/>
  <c r="B991" i="1" s="1"/>
  <c r="B992" i="1" s="1"/>
  <c r="B970" i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55" i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53" i="1"/>
  <c r="B924" i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22" i="1"/>
  <c r="B920" i="1"/>
  <c r="B918" i="1"/>
  <c r="B916" i="1"/>
  <c r="B886" i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849" i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46" i="1"/>
  <c r="B847" i="1" s="1"/>
  <c r="B838" i="1"/>
  <c r="B839" i="1" s="1"/>
  <c r="B840" i="1" s="1"/>
  <c r="B841" i="1" s="1"/>
  <c r="B842" i="1" s="1"/>
  <c r="B843" i="1" s="1"/>
  <c r="B844" i="1" s="1"/>
  <c r="B816" i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796" i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792" i="1"/>
  <c r="B793" i="1" s="1"/>
  <c r="B794" i="1" s="1"/>
  <c r="B777" i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69" i="1"/>
  <c r="B770" i="1" s="1"/>
  <c r="B771" i="1" s="1"/>
  <c r="B772" i="1" s="1"/>
  <c r="B773" i="1" s="1"/>
  <c r="B774" i="1" s="1"/>
  <c r="B755" i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32" i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24" i="1"/>
  <c r="B725" i="1" s="1"/>
  <c r="B726" i="1" s="1"/>
  <c r="B727" i="1" s="1"/>
  <c r="B728" i="1" s="1"/>
  <c r="B729" i="1" s="1"/>
  <c r="B730" i="1" s="1"/>
  <c r="B717" i="1"/>
  <c r="B718" i="1" s="1"/>
  <c r="B719" i="1" s="1"/>
  <c r="B720" i="1" s="1"/>
  <c r="B721" i="1" s="1"/>
  <c r="B722" i="1" s="1"/>
  <c r="B696" i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695" i="1"/>
  <c r="B677" i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74" i="1"/>
  <c r="B675" i="1" s="1"/>
  <c r="B656" i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29" i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12" i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583" i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578" i="1"/>
  <c r="B579" i="1" s="1"/>
  <c r="B580" i="1" s="1"/>
  <c r="B581" i="1" s="1"/>
  <c r="B569" i="1"/>
  <c r="B570" i="1" s="1"/>
  <c r="B571" i="1" s="1"/>
  <c r="B572" i="1" s="1"/>
  <c r="B573" i="1" s="1"/>
  <c r="B574" i="1" s="1"/>
  <c r="B575" i="1" s="1"/>
  <c r="B576" i="1" s="1"/>
  <c r="B529" i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09" i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491" i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462" i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47" i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43" i="1"/>
  <c r="B444" i="1" s="1"/>
  <c r="B445" i="1" s="1"/>
  <c r="B432" i="1"/>
  <c r="B433" i="1" s="1"/>
  <c r="B434" i="1" s="1"/>
  <c r="B435" i="1" s="1"/>
  <c r="B436" i="1" s="1"/>
  <c r="B437" i="1" s="1"/>
  <c r="B438" i="1" s="1"/>
  <c r="B439" i="1" s="1"/>
  <c r="B440" i="1" s="1"/>
  <c r="B441" i="1" s="1"/>
  <c r="B414" i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393" i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384" i="1"/>
  <c r="B385" i="1" s="1"/>
  <c r="B386" i="1" s="1"/>
  <c r="B387" i="1" s="1"/>
  <c r="B388" i="1" s="1"/>
  <c r="B389" i="1" s="1"/>
  <c r="B390" i="1" s="1"/>
  <c r="B391" i="1" s="1"/>
  <c r="B369" i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49" i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37" i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33" i="1"/>
  <c r="B334" i="1" s="1"/>
  <c r="B335" i="1" s="1"/>
  <c r="B301" i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290" i="1"/>
  <c r="B291" i="1" s="1"/>
  <c r="B292" i="1" s="1"/>
  <c r="B293" i="1" s="1"/>
  <c r="B294" i="1" s="1"/>
  <c r="B295" i="1" s="1"/>
  <c r="B296" i="1" s="1"/>
  <c r="B297" i="1" s="1"/>
  <c r="B298" i="1" s="1"/>
  <c r="B299" i="1" s="1"/>
  <c r="B282" i="1"/>
  <c r="B283" i="1" s="1"/>
  <c r="B284" i="1" s="1"/>
  <c r="B285" i="1" s="1"/>
  <c r="B286" i="1" s="1"/>
  <c r="B287" i="1" s="1"/>
  <c r="B288" i="1" s="1"/>
  <c r="B280" i="1"/>
  <c r="B265" i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40" i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35" i="1"/>
  <c r="B236" i="1" s="1"/>
  <c r="B237" i="1" s="1"/>
  <c r="B238" i="1" s="1"/>
  <c r="B229" i="1"/>
  <c r="B230" i="1" s="1"/>
  <c r="B231" i="1" s="1"/>
  <c r="B232" i="1" s="1"/>
  <c r="B233" i="1" s="1"/>
  <c r="B210" i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196" i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188" i="1"/>
  <c r="B189" i="1" s="1"/>
  <c r="B190" i="1" s="1"/>
  <c r="B191" i="1" s="1"/>
  <c r="B192" i="1" s="1"/>
  <c r="B193" i="1" s="1"/>
  <c r="B194" i="1" s="1"/>
  <c r="B165" i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50" i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43" i="1"/>
  <c r="B144" i="1" s="1"/>
  <c r="B145" i="1" s="1"/>
  <c r="B146" i="1" s="1"/>
  <c r="B147" i="1" s="1"/>
  <c r="B148" i="1" s="1"/>
  <c r="B131" i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20" i="1"/>
  <c r="B121" i="1" s="1"/>
  <c r="B122" i="1" s="1"/>
  <c r="B123" i="1" s="1"/>
  <c r="B124" i="1" s="1"/>
  <c r="B125" i="1" s="1"/>
  <c r="B126" i="1" s="1"/>
  <c r="B127" i="1" s="1"/>
  <c r="B128" i="1" s="1"/>
  <c r="B129" i="1" s="1"/>
  <c r="B116" i="1"/>
  <c r="B117" i="1" s="1"/>
  <c r="B118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79" i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66" i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58" i="1"/>
  <c r="B59" i="1" s="1"/>
  <c r="B60" i="1" s="1"/>
  <c r="B61" i="1" s="1"/>
  <c r="B62" i="1" s="1"/>
  <c r="B63" i="1" s="1"/>
  <c r="B64" i="1" s="1"/>
  <c r="B56" i="1"/>
  <c r="B43" i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35" i="1"/>
  <c r="B36" i="1" s="1"/>
  <c r="B37" i="1" s="1"/>
  <c r="B38" i="1" s="1"/>
  <c r="B39" i="1" s="1"/>
  <c r="B40" i="1" s="1"/>
  <c r="B41" i="1" s="1"/>
  <c r="B22" i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18" i="1"/>
  <c r="B19" i="1" s="1"/>
  <c r="B20" i="1" s="1"/>
  <c r="B10" i="1"/>
  <c r="B11" i="1" s="1"/>
  <c r="B12" i="1" s="1"/>
  <c r="B13" i="1" s="1"/>
  <c r="B14" i="1" s="1"/>
  <c r="B15" i="1" s="1"/>
  <c r="B16" i="1" s="1"/>
  <c r="L9" i="1"/>
  <c r="K9" i="1"/>
  <c r="J9" i="1"/>
  <c r="B7" i="1"/>
  <c r="B8" i="1" s="1"/>
  <c r="B5" i="1"/>
  <c r="B1526" i="1" l="1"/>
  <c r="B1525" i="1"/>
  <c r="B1524" i="1"/>
  <c r="B1504" i="1"/>
  <c r="B1502" i="1"/>
  <c r="B1503" i="1"/>
  <c r="B1479" i="1"/>
  <c r="B1481" i="1"/>
  <c r="B1480" i="1"/>
  <c r="B1468" i="1"/>
  <c r="B1467" i="1"/>
  <c r="B1450" i="1"/>
  <c r="B1449" i="1"/>
  <c r="B1448" i="1"/>
  <c r="B1433" i="1"/>
  <c r="B1432" i="1"/>
  <c r="B1431" i="1"/>
  <c r="B1417" i="1"/>
  <c r="B1416" i="1"/>
  <c r="B1415" i="1"/>
  <c r="B1528" i="1" l="1"/>
  <c r="B1529" i="1"/>
  <c r="B1527" i="1"/>
  <c r="B1506" i="1"/>
  <c r="B1505" i="1"/>
  <c r="B1507" i="1"/>
  <c r="B1484" i="1"/>
  <c r="B1483" i="1"/>
  <c r="B1482" i="1"/>
  <c r="B1453" i="1"/>
  <c r="B1451" i="1"/>
  <c r="B1452" i="1"/>
  <c r="B1434" i="1"/>
  <c r="B1436" i="1"/>
  <c r="B1437" i="1" s="1"/>
  <c r="B1435" i="1"/>
  <c r="B1532" i="1" l="1"/>
  <c r="B1531" i="1"/>
  <c r="B1530" i="1"/>
  <c r="B1510" i="1"/>
  <c r="B1509" i="1"/>
  <c r="B1508" i="1"/>
  <c r="B1487" i="1"/>
  <c r="B1486" i="1"/>
  <c r="B1485" i="1"/>
  <c r="B1456" i="1"/>
  <c r="B1455" i="1"/>
  <c r="B1454" i="1"/>
  <c r="B1534" i="1" l="1"/>
  <c r="B1535" i="1"/>
  <c r="B1533" i="1"/>
  <c r="B1513" i="1"/>
  <c r="B1512" i="1"/>
  <c r="B1511" i="1"/>
  <c r="B1490" i="1"/>
  <c r="B1491" i="1" s="1"/>
  <c r="B1489" i="1"/>
  <c r="B1488" i="1"/>
  <c r="B1538" i="1" l="1"/>
  <c r="B1537" i="1"/>
  <c r="B1536" i="1"/>
  <c r="B1540" i="1" l="1"/>
  <c r="B1539" i="1"/>
  <c r="B1541" i="1"/>
  <c r="B1544" i="1" l="1"/>
  <c r="B1542" i="1"/>
  <c r="B1543" i="1"/>
</calcChain>
</file>

<file path=xl/sharedStrings.xml><?xml version="1.0" encoding="utf-8"?>
<sst xmlns="http://schemas.openxmlformats.org/spreadsheetml/2006/main" count="10864" uniqueCount="3341">
  <si>
    <t>Data</t>
  </si>
  <si>
    <t>Alarmes utilizados</t>
  </si>
  <si>
    <t>Ocorrência</t>
  </si>
  <si>
    <t>equipe</t>
  </si>
  <si>
    <t>Endereço</t>
  </si>
  <si>
    <t>Agência Validadora</t>
  </si>
  <si>
    <t>ABRIL</t>
  </si>
  <si>
    <t>MAIO</t>
  </si>
  <si>
    <t>JUNHO</t>
  </si>
  <si>
    <t>Videowall - TIXXI - Cam - 45</t>
  </si>
  <si>
    <t>AC 2 MT</t>
  </si>
  <si>
    <t>NOTURNA</t>
  </si>
  <si>
    <t>Av Padre Leonel Franca - Alt. Praça Sibélius - Sent. Lagoa</t>
  </si>
  <si>
    <t>total de ocorrencia registradas</t>
  </si>
  <si>
    <t>VideoWall - TIXX - 4398</t>
  </si>
  <si>
    <t>Enguiço UT</t>
  </si>
  <si>
    <t>Av Brasil - Alt. Marinha Mercante - Sent. Z. Oeste - P. Central</t>
  </si>
  <si>
    <t>total de ocorrencia capturadas</t>
  </si>
  <si>
    <t xml:space="preserve">Google maps </t>
  </si>
  <si>
    <t xml:space="preserve">Operação Policial </t>
  </si>
  <si>
    <t xml:space="preserve">Av. Dom João VI - Alt. Saída do túnel - Sent. Santa Cruz - Guaratiba </t>
  </si>
  <si>
    <t xml:space="preserve">CET-RIO </t>
  </si>
  <si>
    <t>Wazer - TIXXI - Cam - 493</t>
  </si>
  <si>
    <t>AC 2 VP</t>
  </si>
  <si>
    <t>Wazer - TIXXI - Cam - 4348</t>
  </si>
  <si>
    <t>AC VP xPoste</t>
  </si>
  <si>
    <t>Av Brasil - Caju - Alt. Estação BRT Vasco da Gama - Sent. Centro</t>
  </si>
  <si>
    <t>Google Maps - Tixxi</t>
  </si>
  <si>
    <t>DIURNA</t>
  </si>
  <si>
    <t>Avenida Brasil - Alt. Passarela 14 - Sent. Centro - Olaria</t>
  </si>
  <si>
    <t>CET-RIO</t>
  </si>
  <si>
    <t>total de ocorrencia recebidas</t>
  </si>
  <si>
    <t>Manutenção na via (COMLURB)</t>
  </si>
  <si>
    <t>Avenida Brasil - Alt. Passarela 35 - Ambos sentidos - Guadalupe</t>
  </si>
  <si>
    <t>TIXXI</t>
  </si>
  <si>
    <t xml:space="preserve">Google Maps </t>
  </si>
  <si>
    <t>Manutenção na via (SECONSERVA)</t>
  </si>
  <si>
    <t>Elevado Engenheiro Freyssinet - Sent. Lagoa - Rio Comprido</t>
  </si>
  <si>
    <t>AC ON x MT</t>
  </si>
  <si>
    <t>Av. Dom Helder Câmara - Alt. Rua Eng. Nazareth - Sent. Benfica - Abolição</t>
  </si>
  <si>
    <t>Av. Eng. Carlos de Carvalho - Alt. Av. Imperatriz Leopoldina - Sent. Av. Ayrton Senna - Barra Olímpica</t>
  </si>
  <si>
    <t>CICC</t>
  </si>
  <si>
    <t>Enguiço VP</t>
  </si>
  <si>
    <t>Avenida Brasil - Alt. Passarela 2 - Sent. Centro - Caju</t>
  </si>
  <si>
    <t>AC VP x MT</t>
  </si>
  <si>
    <t>Avenida Brasil - Alt. Passarela 5 - Sent. Z. Oeste - Benfica</t>
  </si>
  <si>
    <t>Avenida Brasil - Alt. Passarela 8 - Sent. Centro - Bonsucesso</t>
  </si>
  <si>
    <t>Wazer - TIXXI -Cam - 5580</t>
  </si>
  <si>
    <t>Rua Prefeito Olímpio de Melo - Alt. ALERJ - Ambos sentidos( Meio da Via )</t>
  </si>
  <si>
    <t xml:space="preserve">Tixxi - Cam 112 </t>
  </si>
  <si>
    <t xml:space="preserve">Av. Borges de Medeiros - Alt. Av. Epitácio Pessoa - Sent. Centro - Lagoa </t>
  </si>
  <si>
    <t xml:space="preserve">TIXXI </t>
  </si>
  <si>
    <t xml:space="preserve">Enguiço VP </t>
  </si>
  <si>
    <t xml:space="preserve">Linha Amarela - Alt. Acesso 8 - Sent. Barra da Tijuca - Bonsucesso </t>
  </si>
  <si>
    <t xml:space="preserve">LAMSA </t>
  </si>
  <si>
    <t>Tixxi - Cam 18</t>
  </si>
  <si>
    <t xml:space="preserve">AC TX x MT </t>
  </si>
  <si>
    <t xml:space="preserve">Av. Borges de Medeiros - Alt. R. Márioi Ribeiro - Sent. Leblon - Lagoa </t>
  </si>
  <si>
    <t xml:space="preserve">TIXXI - CET-RIO </t>
  </si>
  <si>
    <t>Google Maps - Tixxi - Cam 4209</t>
  </si>
  <si>
    <t xml:space="preserve">AC ON x VP </t>
  </si>
  <si>
    <t xml:space="preserve">Avenida Dom Hélder Câmara - Alt. Vto. de Cascadura - Sent. Del Castilho - Cascadura </t>
  </si>
  <si>
    <t xml:space="preserve">AC 2 VP </t>
  </si>
  <si>
    <t xml:space="preserve">Avenida Brasil - Alt. R. Petroria - Sent. Centro - Bangu </t>
  </si>
  <si>
    <t xml:space="preserve">CICC </t>
  </si>
  <si>
    <t>Google.maps</t>
  </si>
  <si>
    <t>Túnel Rebouças, 1º galeria - Santa Teresa - Sentido Lagoa</t>
  </si>
  <si>
    <t>Informação coletada com o CBMERJ</t>
  </si>
  <si>
    <t xml:space="preserve">Incêndio em Imóvel </t>
  </si>
  <si>
    <t>Av. São Francisco Xavier, Alt. UERJ - Maracanã</t>
  </si>
  <si>
    <t>CBMERJ</t>
  </si>
  <si>
    <t>Alarme Hexagon, Jarvis, Google.maps</t>
  </si>
  <si>
    <t>Av. das Américas, Alt. Golfe Olímpico - Barra da Tijuca - Sentido S. Conrado</t>
  </si>
  <si>
    <t>Av. Ayrton Senna, Alt. Ponte Santos Dumont - Sentido Orla</t>
  </si>
  <si>
    <t>Av. Ayrton Senna, Alt. Hospital Lourenço Jorge - Barra da Tijuca - Sentido Linha Amarela</t>
  </si>
  <si>
    <t>Google.maps, Tixxi</t>
  </si>
  <si>
    <t>Enguiço ON</t>
  </si>
  <si>
    <t>Av. Brasil, ALt. Passarela 14 - Olaria - Sentido Oeste</t>
  </si>
  <si>
    <t>Obra na via (LIGHT)</t>
  </si>
  <si>
    <t xml:space="preserve">R. das Laranjeiras, 125 - Laranjeiras </t>
  </si>
  <si>
    <t>CET-RIO, LIGHT</t>
  </si>
  <si>
    <t>Operação Policial</t>
  </si>
  <si>
    <t>Av. Rei Pelé, Alt. Museu do Índio - Maracanã - Sentido Meier</t>
  </si>
  <si>
    <t>Tixxi</t>
  </si>
  <si>
    <t>Linha Vermelha, Km 11 - Sentido Baixada</t>
  </si>
  <si>
    <t>AC 6 VP</t>
  </si>
  <si>
    <t xml:space="preserve">Transolímpica - Alt. Est. Marechal Fontenelle - Sent. Av. Brasil - Jardim Sulacap </t>
  </si>
  <si>
    <t xml:space="preserve">CCO Transolímpica </t>
  </si>
  <si>
    <t>Tixxi - Cam 6729</t>
  </si>
  <si>
    <t xml:space="preserve">Av. das Américas - Alt. Est. BRT Nova Barra - Sent. Barra da Tijuca - Recreio dos Bandeirantes </t>
  </si>
  <si>
    <t>Maps</t>
  </si>
  <si>
    <t>Av. Lucio Costa. Alt Posto 8 - Sent. São Conrado</t>
  </si>
  <si>
    <t>CET RIO</t>
  </si>
  <si>
    <t>Maps / Tixxi</t>
  </si>
  <si>
    <t>Enguiço CM</t>
  </si>
  <si>
    <t>Elevado do gasômetro - Sent. Centro</t>
  </si>
  <si>
    <t>Atropelamento</t>
  </si>
  <si>
    <t xml:space="preserve">AV LUIS CARLOS PRESTES,  ALT. BARRA SHOOPING </t>
  </si>
  <si>
    <t>AV DAS AMERICAS , 7907 - BRT AMERICAS PARQUES</t>
  </si>
  <si>
    <t>AC VP x BC</t>
  </si>
  <si>
    <t>AV BRASIL , 17515 - IRAJA - ALT. INSS DE IRAJA - SENTIDO CENTRO</t>
  </si>
  <si>
    <t>Av. Brasil, Caju - Alt. Acesso a Ponte Rio Niterói - Sent. Niterói.</t>
  </si>
  <si>
    <t>Maps - TIXXI - Cam 65</t>
  </si>
  <si>
    <t>AC UT x MT</t>
  </si>
  <si>
    <t>Av das Américas - Barra - Alt. Bosque Marapendi - Sent. Recreio</t>
  </si>
  <si>
    <t>CET RIO - TIXXI</t>
  </si>
  <si>
    <t>Maps - TIXXI - Cam 03</t>
  </si>
  <si>
    <t>Emguiço VP</t>
  </si>
  <si>
    <t>Av Presidente Vargas - P. Central - Alt. Central do Brasil - Sent. Praça da Bandeira.</t>
  </si>
  <si>
    <t>LINHA VERMELHA - ALT. KM 12 - SENT. CENTRO - CORDOVIL</t>
  </si>
  <si>
    <t xml:space="preserve">Google Maps / wase </t>
  </si>
  <si>
    <t>ac 3 VP</t>
  </si>
  <si>
    <t>LINHA AMARELA - ALT. VIADUTO DA GABINAL, SENT. BARRA - CIDADE DE DEUS</t>
  </si>
  <si>
    <t>OPVIA</t>
  </si>
  <si>
    <t>AVENIDA AYRTON SENNA - ALT. CIDADE DAS ARTES - SENT. ORLA - BARRA DA TIJUCA</t>
  </si>
  <si>
    <t xml:space="preserve">Google Maps / wase / Tixxi </t>
  </si>
  <si>
    <t>Atropelamento VP</t>
  </si>
  <si>
    <t>AVENIDA DAS AMÉRICAS - ALT. AV. ALFREDO BALTHAZAR DA SILVEIRA - SENT. SÃO CONRADO - RECREIO DOS BANDEIRANTES</t>
  </si>
  <si>
    <t>ELEVADO DAS BANDEIRAS - SENT. SÃO CONRADO - JOÁ</t>
  </si>
  <si>
    <t xml:space="preserve">AC UT x VP   </t>
  </si>
  <si>
    <t>AVENIDA ATLÂNTICA - ALT. AV. PRINCESA ISABEL - COPACABANA</t>
  </si>
  <si>
    <t xml:space="preserve">Manifestação </t>
  </si>
  <si>
    <t xml:space="preserve"> LINHA VERMELHA - ALT. KM 3.5 - SENT. CENTRO - CAJU</t>
  </si>
  <si>
    <t>TIxxi</t>
  </si>
  <si>
    <t>TÚNEL ANDRÉ REBOUÇAS - 1° GALERIA SENT. CENTRO - COSME VELHO</t>
  </si>
  <si>
    <t>Wazer - TIXXI - Cam - 4049</t>
  </si>
  <si>
    <t>Estrada do Monteiro - Alt. N° 648</t>
  </si>
  <si>
    <t>VideoWall - TIXXI - Cam 135</t>
  </si>
  <si>
    <t>Avenida Ayrton Senna - Acesso para Gardênia</t>
  </si>
  <si>
    <t>VideoWall - TIXXI</t>
  </si>
  <si>
    <t>Incêndio em Imóvel</t>
  </si>
  <si>
    <t>Avenida Ayrton Senna - N° 4260</t>
  </si>
  <si>
    <t xml:space="preserve">AC Envol. VP </t>
  </si>
  <si>
    <t xml:space="preserve">Estr. da Barra da Tijuca - Alt. Av. Armando Lombardi - Sent. Recreio dos Bandeirantes - Barra da Tijuca </t>
  </si>
  <si>
    <t xml:space="preserve">Enguiçio VP </t>
  </si>
  <si>
    <t xml:space="preserve">R. Voluntários da Pátria - Alt. R. Nelson Mandela - Botafogo </t>
  </si>
  <si>
    <t>Av. Ayrton Senna - Alt. Ponte Santos Dumont - Sent. Linha Amarela - Barra da Tijuca</t>
  </si>
  <si>
    <t>Wazer - TIXXI - Cam 4018</t>
  </si>
  <si>
    <t>AC MT x Poste</t>
  </si>
  <si>
    <t>Estrada dos Bandeirantes - N° 100 - Taquara - Sent. Tanque</t>
  </si>
  <si>
    <t>CBMERJ COR - TIXXI</t>
  </si>
  <si>
    <t>Wazer - Google Maps</t>
  </si>
  <si>
    <t>Capotamento VP</t>
  </si>
  <si>
    <t>Av. Infante Dom Henrique - Alt. Museu Carmen Miranda - Sent. Centro</t>
  </si>
  <si>
    <t>GM - Wazer</t>
  </si>
  <si>
    <t>Wazer - Google Maps - TIXXI - Cam 3212</t>
  </si>
  <si>
    <t>Av Ayrton Senna - Alt. Ponte Santos Drumont - Sent. Orla</t>
  </si>
  <si>
    <t>TIXXI - Wazer - Google Maps</t>
  </si>
  <si>
    <t xml:space="preserve">Wazzer - Google Maps - TIXXI - Cam </t>
  </si>
  <si>
    <t>OperaçãoPolicial</t>
  </si>
  <si>
    <t>Rua Humaitá - Alt. N° 425 - Sent. Gávea</t>
  </si>
  <si>
    <t>TIXXI - Cam 112</t>
  </si>
  <si>
    <t>Acesso Viaduto Saint Hilaire - Sent. Centro</t>
  </si>
  <si>
    <t>Ocorrência CBMERJ</t>
  </si>
  <si>
    <t>Ponte Santos Drumont - P. Lateral - Sent. Linha Amarela</t>
  </si>
  <si>
    <t>Wazer - CET RIO</t>
  </si>
  <si>
    <t>Wazer - TIXXI - Cam 421</t>
  </si>
  <si>
    <t>Av Brigadeiro Trompowski - Alt. Av Horácio de Macedo</t>
  </si>
  <si>
    <t>Wazer - TIXXI</t>
  </si>
  <si>
    <t>Wazer - TIXXI - Cam - 7183</t>
  </si>
  <si>
    <t>Av Geremário Dantas - Alt. Estrada do Timdiba</t>
  </si>
  <si>
    <t>TIXXI - Cam - 5217</t>
  </si>
  <si>
    <t>Rua araújo de Porto Alegre - Alt. Av Graça Aranha</t>
  </si>
  <si>
    <t>Google.maps / Tixxi</t>
  </si>
  <si>
    <t>Manutenção na via (LIGHT)</t>
  </si>
  <si>
    <t>Av. Geremário Dantas x Estr. dos Três Rios - Freguesia</t>
  </si>
  <si>
    <t>Alarme Hexagon, Google.maps</t>
  </si>
  <si>
    <t>AC TX x MT</t>
  </si>
  <si>
    <t>Av. Brasil, Alt. Vila Militar - Sentido Centro</t>
  </si>
  <si>
    <t>Elevado 31 de Março, Alt. Sambódromo - Sentido Sto Cristo</t>
  </si>
  <si>
    <t>Av. Prudente de Moraes, 830- Ipanema</t>
  </si>
  <si>
    <t>Estr. do Tindiba, 673 - Taquara</t>
  </si>
  <si>
    <t>AC 2 VPs</t>
  </si>
  <si>
    <t>R. Adelaide Badajos, 15 - Osvaldo Cruz</t>
  </si>
  <si>
    <t>R. Vinte de Abril - Centro</t>
  </si>
  <si>
    <t>Av. Emb. Abelardo Bueno, Alt. BRT Minha Praia - Barra Olímpica</t>
  </si>
  <si>
    <t>Google Maps</t>
  </si>
  <si>
    <t>Operação Lei Seca</t>
  </si>
  <si>
    <t>Avenida Salvador Allende - Alt. N° 6300 - P. lateral - Sent. Transolímpica.</t>
  </si>
  <si>
    <t>Google Maps - CET RIO</t>
  </si>
  <si>
    <t>AC 3 VPs</t>
  </si>
  <si>
    <t>Avenida Brasil - P. Central - Alt. Hospital Municipal Albert Schweitzer - Sent. Z. Oeste</t>
  </si>
  <si>
    <t>Google Maps - TIXXI - Cam 5330</t>
  </si>
  <si>
    <t>Av Borgues de Medeiros - Alt. N° 1627 - Sent. Gávea.</t>
  </si>
  <si>
    <t>Av. Brasil - Alt. Batan - P. Central - Sent. Z. Oeste</t>
  </si>
  <si>
    <t xml:space="preserve">Enguiço vp </t>
  </si>
  <si>
    <t>LINHA AMARELA - ALT. SAÍDA 07 - SENT. FUNDÃO - BONSUCESSO</t>
  </si>
  <si>
    <t xml:space="preserve">Tixxi </t>
  </si>
  <si>
    <t>AC CM X 2VP</t>
  </si>
  <si>
    <t xml:space="preserve"> TRANSOLÍMPICA - ALT. R. SAMPAIO CORRÊA - SENT. RECREIO DOS BANDEIRANTES - CURICICA</t>
  </si>
  <si>
    <t>ELEVADO DAS BANDEIRAS - TABLADO SUPERIOR - SENT. SÃO CONRADO - JOÁ</t>
  </si>
  <si>
    <t>CET</t>
  </si>
  <si>
    <t>Google maps / Tixxi</t>
  </si>
  <si>
    <t>ENguiço Tx</t>
  </si>
  <si>
    <t>ELEVADO DO GASÔMETRO - ALT. INTO - SENT. CENTRO - CAJU</t>
  </si>
  <si>
    <t>MANUTENÇÃO NA VIA (ÁGUAS DO RIO)</t>
  </si>
  <si>
    <t>RUA TEIXEIRA SOARES - ALT. R. PARÁ - - MARACANÃ</t>
  </si>
  <si>
    <t>Google maps / TIxxi</t>
  </si>
  <si>
    <t>ATROPELAMENTO MT</t>
  </si>
  <si>
    <t>VIADUTO SAN TIAGO DANTAS - SENT. CENTRO - BOTAFOGO</t>
  </si>
  <si>
    <t>OPERAÇÃO POLICIAL</t>
  </si>
  <si>
    <t>AVENIDA REI PELÉ - ALT. MUSEU DO ÍNDIO - SENT. MÉIER - MARACANÃ</t>
  </si>
  <si>
    <t>AC UT x VP</t>
  </si>
  <si>
    <t xml:space="preserve">Rua Elias Da Silva - Piedade - Alt. Viaduto </t>
  </si>
  <si>
    <t>Av. Embaixador Abelardo Bueno, 1316 - Barra Olímpica</t>
  </si>
  <si>
    <t>INCÊNDIO EM IMÓVEL RESIDENCIAL</t>
  </si>
  <si>
    <t>RUA HENRIQUE DE ALBUQUERQUE - MARECHAL HERMES - N° 07</t>
  </si>
  <si>
    <t>AC VP X MT</t>
  </si>
  <si>
    <t>AVENIDA MARECHAL RONDON - SAMPAIO - ALT. N° 2500</t>
  </si>
  <si>
    <t>QUEDA MT</t>
  </si>
  <si>
    <t>AVENIDA DAS AMÉRICAS - BARRA DA TIJUCA - ALT. PONTE DA JOATINGA - SENT. SÃO CONRADO</t>
  </si>
  <si>
    <t>AVENIDA TRINTA E UM DE MARÇO - ALT. AV. PRESIDENTE VARGAS - SENT. SANTO CRISTO - CIDADE NOVA</t>
  </si>
  <si>
    <t>AVENIDA BRASIL - ALT. EST. BRT  VIGÁRIO GERAL  - SENT. CENTRO - CORDOVIL</t>
  </si>
  <si>
    <t>Queda MT</t>
  </si>
  <si>
    <t xml:space="preserve"> PRAIA DE BOTAFOGO - ALT. R. VISC. DE OURO PRETO - BOTAFOGO</t>
  </si>
  <si>
    <t>Google Maps - TIXXI</t>
  </si>
  <si>
    <t>Ponte Presidente Costa e Silva - Alt. Vão Central - Sent. Niteroi</t>
  </si>
  <si>
    <t>ECOVIAS</t>
  </si>
  <si>
    <t>TIXXI - Cam 7156</t>
  </si>
  <si>
    <t>Estrada do Tindiba - Sent. Pechincha</t>
  </si>
  <si>
    <t>TIXXI - Cam 471</t>
  </si>
  <si>
    <t>AC VP x Poste Informativo</t>
  </si>
  <si>
    <t>Av Salvador Allende - Alt. Rua Abrahão Jabour - Sent. Av das Américas</t>
  </si>
  <si>
    <t>TIXXI - CAM 116</t>
  </si>
  <si>
    <t>AC Envol. VP</t>
  </si>
  <si>
    <t>Av Borgues de Medeiros - Alt. Posto BR - Sent. Rebouças</t>
  </si>
  <si>
    <t>AC 3 VPS</t>
  </si>
  <si>
    <t>Avenida das Américas - Alt. BRT Bosque Marapendi - Sent. São Conrado - Barra da Tijuca</t>
  </si>
  <si>
    <t>Avenida Brasil - Alt. Posto Vagão - Sent. Centro - Realengo</t>
  </si>
  <si>
    <t>Estrada do Monteiro - Alt. Park Shopping - Sent. Guaratiba - Campo Grande</t>
  </si>
  <si>
    <t>Av. Ayrton Senna - Alt. Ponte Santos Dumont - Sent. Orla - Barra da Tijuca</t>
  </si>
  <si>
    <t>Linha Vermelha - Alt. KM 2 - Sent. Centro - Caju</t>
  </si>
  <si>
    <t xml:space="preserve">Manutenção na via </t>
  </si>
  <si>
    <t>Avenida Meriti - Alt. Av. Padre Roser - Sent. Vicente de Carvalho - Vila da Penha</t>
  </si>
  <si>
    <t>GMSUBTRAN</t>
  </si>
  <si>
    <t>Ponte da Joatinga - Sent. São Conrado - Barra da Tijuca</t>
  </si>
  <si>
    <t>Ponte Rio Niterói - Alt. Vão Central - Sent. Niterói - Caju</t>
  </si>
  <si>
    <t>ECOPONTE</t>
  </si>
  <si>
    <t>Av. Armando Lombardi - Alt. Mergulhão - Sent. São Conrado - Barra da Tijuca</t>
  </si>
  <si>
    <t>Estrada do Galeão - Alt. N° 646 - Cacuia</t>
  </si>
  <si>
    <t>Av. Nilo Peçanha - Alt. R. Debret - Centro</t>
  </si>
  <si>
    <t xml:space="preserve">Av. Salvador Allende - Alt. Est. BRT Ilha Pura - Sent. Transolímpica - Barra Olímpica </t>
  </si>
  <si>
    <t>Atropelamento envolv. ON</t>
  </si>
  <si>
    <t>Av. Vicente de Carvalho - Alt. N° 1096 - Sent. Penha - Vila Cosmos</t>
  </si>
  <si>
    <t xml:space="preserve">Av. Amaro Cavalcanti - Alt. R. Dois de Fevereiro - Sent. Engenho de Dentro - Encantado </t>
  </si>
  <si>
    <t>R. Edgard Werneck - Alt. N° 1622 - Sent. Taquara - Cidade de Deus</t>
  </si>
  <si>
    <t>Av. Ayrton Senna - Alt. Espaço Hall - Sent. Orla - Barra da Tijuca</t>
  </si>
  <si>
    <t>R. Olívia Maia - Alt. Praça Magno - Sent. Irajá - Madureira</t>
  </si>
  <si>
    <t>Túnel André Rebouças - Primeira Galeria - Sent. Centro.</t>
  </si>
  <si>
    <t>Google Maps - Alarme HXG - Tixxi</t>
  </si>
  <si>
    <t>AC UT x 2 VP</t>
  </si>
  <si>
    <t>Linha Vermelha  - Alt. Km 1,5 - Sent. Centro - Caju</t>
  </si>
  <si>
    <t>Linha Vermelha - Alt. Km 10 - Sent. Baixada - Galeão</t>
  </si>
  <si>
    <t>Enguiço TX</t>
  </si>
  <si>
    <t>Túnel Rebouças - 1ª Galeria - Sent. Centro - Cosme Velho</t>
  </si>
  <si>
    <t>CAM - 4395</t>
  </si>
  <si>
    <t xml:space="preserve">AC VP x Mureta </t>
  </si>
  <si>
    <t xml:space="preserve">Av. Brasil - Alt. Est. BRT Lobo Júnior - Sent. Z. Oeste - Penha </t>
  </si>
  <si>
    <t xml:space="preserve">Google Maps - Tixxi </t>
  </si>
  <si>
    <t>Elevado Engenheiro Freyssinet - Sent. Centro - Rio Comprido</t>
  </si>
  <si>
    <t>Google Maps - Tixxi - Alarme HXG</t>
  </si>
  <si>
    <t>AC 3 VP</t>
  </si>
  <si>
    <t>Rua Uranos - Alt. N° 1469 - Sent. Bonsucesso - Olaria</t>
  </si>
  <si>
    <t>Avenida Brasil - Alt. Passarela 9 - Sent. Z. Oeste - Bonsucesso</t>
  </si>
  <si>
    <t>Avenida Brasil - Alt. Taigo - Sent. Santa Cruz - Santíssimo</t>
  </si>
  <si>
    <t>Linha Vermelha - Alt. Km 7 - Sent. Centro - Cidade Universitária</t>
  </si>
  <si>
    <t xml:space="preserve">Linha Vermelha - Alt. Km 1,5 - Sent. Centro - São Cristóvão - </t>
  </si>
  <si>
    <t>Avenida das Américas - Alt. BRT Pedra de Itaúna - Sent. São Conrado - Barra da Tijuca</t>
  </si>
  <si>
    <t>Avenida Marechal Rondon - Alt. R. São Paulo - Sampaio</t>
  </si>
  <si>
    <t>Avenida Salvador Allende - Alt. BRT Tapebuias - Sent. Transolímpica - Barra de Tijuca</t>
  </si>
  <si>
    <t>VP x MT</t>
  </si>
  <si>
    <t>Av. das Américas, Alt. BRT Guimar de Novaes - Recreio</t>
  </si>
  <si>
    <t>3 VPs</t>
  </si>
  <si>
    <t>Av. Ayrton Senna, Alt. Ponte Santos Dumont - Barra da Tijuca</t>
  </si>
  <si>
    <t>Estr. da Barra da Tijuca, Alt. Av. Fidelfo de Azevedo - Itanhangá</t>
  </si>
  <si>
    <t>CBMERJ, CET-RIO</t>
  </si>
  <si>
    <t>BRT x VP</t>
  </si>
  <si>
    <t>Av. das Américas, Alt. BRT Pontões/Barra Sul - Recreio</t>
  </si>
  <si>
    <t>Ocorrência Policial</t>
  </si>
  <si>
    <t>Av. Radial Oeste, Alt. R. Gal Canabarro - Maracanã</t>
  </si>
  <si>
    <t>PMERJ</t>
  </si>
  <si>
    <t>Ocorrência coletada com o CBMERJ</t>
  </si>
  <si>
    <t>R. Augusto de Vasconcelos, 680 - Campo Grande</t>
  </si>
  <si>
    <t>CM x ON x MT</t>
  </si>
  <si>
    <t>R. Mal Rondon, Alt. R. Mal Bittencourt - Sampaio</t>
  </si>
  <si>
    <t>ON x MT</t>
  </si>
  <si>
    <t>R. Marmiari, Alt. CMS Alexander Fleming - Senador Camará</t>
  </si>
  <si>
    <t>TIXXI - Cam 4666</t>
  </si>
  <si>
    <t>Estrada Marechal Alencastro - Alt. Praça Claudio de Souza - Sent. Deodoro</t>
  </si>
  <si>
    <t>TIXXI - Cam 324</t>
  </si>
  <si>
    <t>Rua Pompeu Loureiro x Rua Bolivar</t>
  </si>
  <si>
    <t>TIXXI - Cam 7323</t>
  </si>
  <si>
    <t>Enguiço MT</t>
  </si>
  <si>
    <t>Estrada Intendente Magalhães x Rua Jambeiro</t>
  </si>
  <si>
    <t>TIXX</t>
  </si>
  <si>
    <t xml:space="preserve">Google Maps / Tixxi </t>
  </si>
  <si>
    <t>ESTRADA DOS BANDEIRANTES - ALT. R. SOLDADO JOSÉ COSTA - SENT. BARRA DA TIJUCA - TAQUARA</t>
  </si>
  <si>
    <t>Manutenção na via (SMARTLUZ)</t>
  </si>
  <si>
    <t>AVENIDA PADRE LEONEL FRANCA - ALT. PRAÇA SIBÉLIUS - SENT. LAGOA - GÁVEA</t>
  </si>
  <si>
    <t xml:space="preserve"> LINHA VERMELHA - ALT. KM 12 - SENT. BAIXADA - CORDOVIL</t>
  </si>
  <si>
    <t>AVENIDA BRASIL - BATAN - SENT. CENTRO - REALENGO</t>
  </si>
  <si>
    <t xml:space="preserve"> TÚNEL SANTA BÁRBARA - SENT. LARANJEIRAS - SANTA TERESA</t>
  </si>
  <si>
    <t>TÚNEL SANTA BÁRBARA - SENT. LARANJEIRAS - SANTA TERESA</t>
  </si>
  <si>
    <t>LINHA VERMELHA - ALT. KM 17 - SENT. BAIXADA - PAVUNA</t>
  </si>
  <si>
    <t>Av. das Américas - Alt. Est. BRT Interlagos - Sent. São Conrado - Barra da Tijuca</t>
  </si>
  <si>
    <t>Transolímpica - Alt. BRT Outeiro Santo - Sent. Recreio - Taquara</t>
  </si>
  <si>
    <t>VIA-RIO</t>
  </si>
  <si>
    <t>Av. Marechal Alencastro - Alt. Parque Radical - Ambos sentidos - Deodoro</t>
  </si>
  <si>
    <t>Google Maps - TIxxi</t>
  </si>
  <si>
    <t>AC VTR X VP</t>
  </si>
  <si>
    <t>Rua Conde de Bonfim - Alt. R. Alves de Brito - Sent. Centro - Tijuca</t>
  </si>
  <si>
    <t>Av. Brasil - Alt. Passarela 32 - Sent. Z. Oeste - Guadalupe</t>
  </si>
  <si>
    <t>Av. Brasil - Alt. Passarela 32 - Sent. Centro - Guadalupe</t>
  </si>
  <si>
    <t xml:space="preserve">Viaduto dos Aviadores - Sent. Centro - Praça da Bandeira </t>
  </si>
  <si>
    <t>Av. Ayrton Senna - Alt. Espaço Hall - Sent. Orla - Gardênia Azul</t>
  </si>
  <si>
    <t>Incêndio ON</t>
  </si>
  <si>
    <t>Av. Nuta James - Alt. Condado do Caiscais - Barra da Tijuca</t>
  </si>
  <si>
    <t>AC envolv. VP</t>
  </si>
  <si>
    <t>Av. das Américas - Alt. Est. BRT Nova Barra - Sent. Barra - Recreio dos Bandeirantes</t>
  </si>
  <si>
    <t>Av. Ayrton Senna - Alt. UPTOWN - Sent. Orla - Gardênia Azul</t>
  </si>
  <si>
    <t>Linha Vermelha - Alt. KM 13 - Sent. Baixada - Cordovil</t>
  </si>
  <si>
    <t xml:space="preserve">Av. Salvador Allende - Alt. Est. BRT Catedral do Recreio - Sent. Transolímpica - Recreio dos Bandeirantes </t>
  </si>
  <si>
    <t>Av. Ayrton Senna - Alt. Assaí - Sent. Linha Amarela - Gardênia Azul</t>
  </si>
  <si>
    <t>Linha Vermelha - Alt. Km 8 - Sent. Baixada - Cidade Universitária</t>
  </si>
  <si>
    <t>Túnel Rebouças, Alt 2º Galeria - Sentido Lagoa</t>
  </si>
  <si>
    <t>Av. Borges de Medeiros, Alt. R. Maria Angélica - Sentido Rebouças</t>
  </si>
  <si>
    <t>UT x 4 VPs</t>
  </si>
  <si>
    <t>Av. Brasil, Alt. Passarela 5 - Manguinhos - Sentido Centro</t>
  </si>
  <si>
    <t>Linha Verrmelha, Km 10 - Sentido Baixada</t>
  </si>
  <si>
    <t>VP x Mureta</t>
  </si>
  <si>
    <t>Túnel Rebouças, Alt 2º Galeria - Sentido Centro</t>
  </si>
  <si>
    <t>Queda de MT</t>
  </si>
  <si>
    <t>Av. Brasil, Alt. Passarela 15 - Senti Centro</t>
  </si>
  <si>
    <t>Av. Brasil, Alt. Passarela 8 - Sentido Oeste</t>
  </si>
  <si>
    <t>Estr. da Posse, 1.206 - Campo Grande - Sentido Guaratiba</t>
  </si>
  <si>
    <t>2 MTs</t>
  </si>
  <si>
    <t>Estr. do Campinho. 4.591 - Inhoaíba - Sent. Campo Grande</t>
  </si>
  <si>
    <t xml:space="preserve">Av. de Santa Cruz, Alt. Cavalo de Aço - Senador Camará </t>
  </si>
  <si>
    <t>Incêndio imóvel Residencial</t>
  </si>
  <si>
    <t>R. Estácio de Sá, 67 - Estácio</t>
  </si>
  <si>
    <t>Estr. Guandu do Sena, 1.440 - Bangu</t>
  </si>
  <si>
    <t>Av. Brig. Delamare, 55 - Mal. Hermes</t>
  </si>
  <si>
    <t>R. Nepomuceno, Alt. R. Limites - Realengo</t>
  </si>
  <si>
    <t>Av. Areia Branca, 1.370 - Santa Cruz</t>
  </si>
  <si>
    <t>R. Dias da Cruz, 371 - Méier - Sentido Centro</t>
  </si>
  <si>
    <t>R. Ibipoara, 46 - Santa Cruz</t>
  </si>
  <si>
    <t>Av. Lúcio Costa, Alt. Ilha 9 - Barra da Tijuca</t>
  </si>
  <si>
    <t>Av. Dom João VI, Alt. BRT Magarça - Guaratiba - Sent. Barra</t>
  </si>
  <si>
    <t>Av. Pastor Martin Luther King, Alt. Nova América - Del Castilho, Sentido Pavuna</t>
  </si>
  <si>
    <t>Estr. do Cabuçu, 4356 - Campo Gande</t>
  </si>
  <si>
    <t>R. Manhuaçu, Alt. Bar Ortega - Vargem Grande</t>
  </si>
  <si>
    <t>Av. Rodrigues Alves, Alt. R. Prof. Pereira Reis - Sto. Cristo</t>
  </si>
  <si>
    <t>Enguiço CR</t>
  </si>
  <si>
    <t>AVENIDA BRASIL - ALT. PASSARELA 08 - SENT. CENTRO - BONSUCESSO</t>
  </si>
  <si>
    <t xml:space="preserve"> ELEVADO ENGENHEIRO FREYSSINET - SENT. LAGOA - RIO COMPRIDO</t>
  </si>
  <si>
    <t>AVENIDA BRASIL - ALT. VIADUTO DE DEODORO - SENT. Z. OESTE - DEODORO</t>
  </si>
  <si>
    <t>AVENIDA BRASIL - ALT. VIADUTO - SENT. CENTRO - DEODORO</t>
  </si>
  <si>
    <t>AVENIDA BRASIL - ALT. VIADUTO DEODORO - SENT. CENTRO - DEODORO</t>
  </si>
  <si>
    <t>AVENIDA BRASIL - ALT. PASSARELA 08 - SENT. Z. OESTE - BONSUCESSO</t>
  </si>
  <si>
    <t>LINHA VERMELHA - ALT. KM 11 - SENT. BAIXADA - GALEÃO</t>
  </si>
  <si>
    <t>Wazer - TIXXI - Cam 482</t>
  </si>
  <si>
    <t>Av. Ministro Ivan Lins - Alt. Ponte da Joatinga - Sent. Recreio</t>
  </si>
  <si>
    <t>Linha Vermelha - Alt. Km 11 - Sent. Centro - Galeão</t>
  </si>
  <si>
    <t>Av. Brasil - Alt. Linha Amarela - Sent. Centro - Bonsucesso</t>
  </si>
  <si>
    <t>Elevado Eng. Freyssinet - Alt. Entrada do Túnel Rebouças - Sent. Lagoa - Rio Comprido</t>
  </si>
  <si>
    <t>Queda de carga na via</t>
  </si>
  <si>
    <t>Av. Brasil - Alt. Av. Lobo Júnior - Sent. Z. Oeste - Penha</t>
  </si>
  <si>
    <t>Elevado Eng. Freyssinet - Sent. Lagoa - Rio Comprido</t>
  </si>
  <si>
    <t>Estr. do Mato Alto - Alt. N° 509 - Campo Grande</t>
  </si>
  <si>
    <t>Linha Vermelha - Alt. KM 1,5 - Sent. Centro - Caju</t>
  </si>
  <si>
    <t>Linha Amarela - Alt. Saída 8 - Sent. Barra - Bonsucesso</t>
  </si>
  <si>
    <t>LAMSA</t>
  </si>
  <si>
    <t>Linha Vermelha - Alt. Km 11 - Sent. Baixada - Galeão</t>
  </si>
  <si>
    <t>Linha Vermelha - Alt. kM 16 - Sent. Centro - Cordovil</t>
  </si>
  <si>
    <t>AC CM x VP</t>
  </si>
  <si>
    <t>Av. Brasil - Alt. Passarela 15 - Sent. Z. Oeste - Penha</t>
  </si>
  <si>
    <t>Av. Embaixador Abelardo Bueno - Alt. Rio II - Sent. Av. Salvador Allende - Barra Olímpica</t>
  </si>
  <si>
    <t>Atropelamento envolv. BRT</t>
  </si>
  <si>
    <t>Av. Vicente de Carvalho - Alt. R. Soldado Servino Mengarda - Sent. Penha - Vila da Penha</t>
  </si>
  <si>
    <t>CICC/CBMERJ</t>
  </si>
  <si>
    <t>Google Maps - Tixxi - CAM 69</t>
  </si>
  <si>
    <t xml:space="preserve">AC 2 VP x MT </t>
  </si>
  <si>
    <t xml:space="preserve">Av. Rei Pelé - Alt. Vto Oduvaldo Cozzi - Sent. Méier - Maracanã </t>
  </si>
  <si>
    <t>Google Maps - Tixxi - Cam 3212</t>
  </si>
  <si>
    <t xml:space="preserve">Av. Ayrton Senna - Alt. Ponte Santos Dumont - Sent. Orla - Barra da Tijuca </t>
  </si>
  <si>
    <t xml:space="preserve">AC VP x MT </t>
  </si>
  <si>
    <t xml:space="preserve">Transolímpica - Alt. Est. BRT Marechal Fontenelle - Sent. Av. Brasil - Vila Militar </t>
  </si>
  <si>
    <t>Linha Vermelha - Alt. Km 14 - Sent. Centro - Cordovil</t>
  </si>
  <si>
    <t>Rua São Clemente - Alt. R. Sorocaca - Botafogo</t>
  </si>
  <si>
    <t>AC 2 VP x MT</t>
  </si>
  <si>
    <t>Estr. dos Bandeirantes - Alt. Estr. do Guerenguê - Sent. Curicica - Taquara</t>
  </si>
  <si>
    <t>Av. Ayrton Senna - Alt. Giro do Cebolinha - Sent. Orla - Gardenia Azul</t>
  </si>
  <si>
    <t>Viaduto Alim Pedro - Sent. Guaratiba - Campo Grande</t>
  </si>
  <si>
    <t>Elevado do Gasômetro - Alt. INTO - Sent. Av. Brasil - Caju</t>
  </si>
  <si>
    <t>AC VP x 2 MT</t>
  </si>
  <si>
    <t xml:space="preserve"> LINHA VERMELHA - ALT. KM 8 - SENT. CENTRO - GALEÃO</t>
  </si>
  <si>
    <t>LIinha Vermelha - Alt. Km 13 - Sent. Centro - Cordovil</t>
  </si>
  <si>
    <t>Estr. dos Açudes - Alt. N° 41 - Alto da Boa Vista</t>
  </si>
  <si>
    <t>Av. Brasil - Alt. Passarela 17 -  Sent. Centro - Penha</t>
  </si>
  <si>
    <t>Linha Vermelha - Alt. Km 12 - Sent. Centro - Galeão</t>
  </si>
  <si>
    <t>Av. Brasil - Alt. Viaduto Ataulfo Alves - Sent. Z. Oeste - Benfica</t>
  </si>
  <si>
    <t>AC CR x VP</t>
  </si>
  <si>
    <t>Av. Brasil - Alt. Canal do Cunha - Sent. Z. Oeste - Benfica</t>
  </si>
  <si>
    <t>Atropelamento MT</t>
  </si>
  <si>
    <t>RUA MÁRIO RIBEIRO - ALT. HOSPITAL MUNICIPAL MIGUEL COUTO - SENT. LAGOA - LEBLON</t>
  </si>
  <si>
    <t>Cet-RIO</t>
  </si>
  <si>
    <t>Google Maps - Tixxi - Cam 58</t>
  </si>
  <si>
    <t xml:space="preserve">Enguiço UT </t>
  </si>
  <si>
    <t xml:space="preserve">Av. Ayrton Senna - Alt. Via Parque - Sent. Linha Amarela - Barra da Tijuca </t>
  </si>
  <si>
    <t>Google Maps - Tixxi - Cam 778</t>
  </si>
  <si>
    <t xml:space="preserve">Av. Francisco Bicalho - Alt. R. Idalina Sena - Sent. Praça da Bandeira - Santo Cristo </t>
  </si>
  <si>
    <t>Tixxi - Cam - 4580</t>
  </si>
  <si>
    <t xml:space="preserve">Av. Francisco Bicalho - Alt. Linha férrea - Sent. Av. Brasil - Praça da Bandeira </t>
  </si>
  <si>
    <t>Maps - Tixxi - Cam - 432 - 07:46</t>
  </si>
  <si>
    <t>Linha Vermelha, Alt. Km 7.5 - Cidade Universitária - Sent. Centro</t>
  </si>
  <si>
    <t xml:space="preserve">Maps  </t>
  </si>
  <si>
    <t>Elevado do Gasômetro - Alt. INTO - Sent. Centro</t>
  </si>
  <si>
    <t>Drone</t>
  </si>
  <si>
    <t>Linha Vermelha - Alt. Fundão - Sent. Baixada.</t>
  </si>
  <si>
    <t>Wazer - TIXXI - Cam 1083</t>
  </si>
  <si>
    <t>Ocorrência PMERJ</t>
  </si>
  <si>
    <t>Rua Bela, 909</t>
  </si>
  <si>
    <t>Google Maps - Tixxi Cam 335</t>
  </si>
  <si>
    <t xml:space="preserve"> RUA CONDE DE BONFIM - ALT. RUA ABELARDO CHACRINHA BARBOSA - SENT. PRAÇA DA BANDEIRA - TIJUCA</t>
  </si>
  <si>
    <t>RUA ARTUR RIOS - ALT. R. FRANCISCO MOTA - SENT. BANGU - SENADOR VASCONCELOS</t>
  </si>
  <si>
    <t>ESTRADA DOS BANDEIRANTES - ALT. ESTR. CEL. PEDRO CORRÊA  - SENT. JACAREPAGUÁ - CURICICA</t>
  </si>
  <si>
    <t>AVENIDA AYRTON SENNA - ALT. CIDADE DAS ARTES - SENT. SÃO CONRADO - BARRA DA TIJUCA</t>
  </si>
  <si>
    <t>Transolímpica - Alt. Est. BRT Marechal Fontenelle - Sent. Recreio - Sulacap</t>
  </si>
  <si>
    <t>VIA RIO</t>
  </si>
  <si>
    <t xml:space="preserve">Av. das Américas - Alt. Est. Guignard - Sent. Barra - Recreio dos Bandeirantes </t>
  </si>
  <si>
    <t>Linha Amarela - Alt. Saída 2 - Sent. Fundão - Água Santa</t>
  </si>
  <si>
    <t>Av. Brasil - Alt. Passarela 4 - Sent. Centro - Benfica</t>
  </si>
  <si>
    <t>Concentração de manifestantes</t>
  </si>
  <si>
    <t>Rua da Ajuda - Alt. Alerj - Centro</t>
  </si>
  <si>
    <t>Rua Boa Vista - Alt. R. Jorn. Guima - Sent. Itanhangá - Alto da Boa Vista</t>
  </si>
  <si>
    <t>Av. Salvador Allende - Alt. BRT Asa Branca - Sent. Recreio - Barra Olímpica</t>
  </si>
  <si>
    <t>Túnel Zuzu Angel - Sent. Lagoa - Rocinha</t>
  </si>
  <si>
    <t>Atropelamento envolv. MT</t>
  </si>
  <si>
    <t>Rua Real Grandeza - Alt. Cemitério - Sent. Humaitá - Botafogo</t>
  </si>
  <si>
    <t>Av. Trinta e Um de Março - Alt. R. Dr. Ladgen - Sent. Laranjeiras - Catumbi</t>
  </si>
  <si>
    <t>Av. Ayrton Senna - Alt. Espaço Hall - Sent. Linha Amarela - Gardenia Azul</t>
  </si>
  <si>
    <t>Av. Ayrton Senna - Alt. Cidade das Artes - Sent. Orla - Barra da Tijuca</t>
  </si>
  <si>
    <t>Linha Vermelha - Alt. Km 12 - Sent. Baixada - Galeão</t>
  </si>
  <si>
    <t>Av. Francisco Bicalho - Alt. Detran - Sent. Centro - Santo Cristo</t>
  </si>
  <si>
    <t>Estr. de Jacarepaguá - Alt. N° 7153 - Freguesia (Jacarepagua)</t>
  </si>
  <si>
    <t>Av. Marechal Fontenelle - Alt. N° 3610 - Sent. Bangu - Jardim Sulacap</t>
  </si>
  <si>
    <t>Av. Lúcio Costa - Alt. Av. Érico Veríssimo - Sent. São Conrado - Barra da Tijuca</t>
  </si>
  <si>
    <t>Av. Nelson Cardoso - Alt. Est. BRT Aracy Cabral - Sent. Madureira - Taquara</t>
  </si>
  <si>
    <t>Google Maps - Tixxi - Cam 1010</t>
  </si>
  <si>
    <t xml:space="preserve">Av. Francisco Bicalho - Alt. Elevado da Perimetral - Sent. Av. Brasil - Santo Cristo </t>
  </si>
  <si>
    <t xml:space="preserve">Av. Brasil - Alt. BRT Baixa do Sapateiro - Sent. Centro - Bonsucesso </t>
  </si>
  <si>
    <t>Google Maps - Tiixi - Cam - 5916</t>
  </si>
  <si>
    <t xml:space="preserve">Ponte Rio - Niterói - Alt. Subida da Ponte - Sent. Niterói - Caju </t>
  </si>
  <si>
    <t>Google Mapas - Tixxi - Cam - 216</t>
  </si>
  <si>
    <t xml:space="preserve">Av. Brasil - Alt. Subida da Ponte - Sent. Niterói - Caju </t>
  </si>
  <si>
    <t>Tixxi - Cam - 112</t>
  </si>
  <si>
    <t xml:space="preserve">AC 3 VP </t>
  </si>
  <si>
    <t xml:space="preserve">Viaduto Saint Hilaire - Sent. Lagoa - Jardim Botânico </t>
  </si>
  <si>
    <t>Tixxi - Cam - 92</t>
  </si>
  <si>
    <t xml:space="preserve">Atropelamento VP </t>
  </si>
  <si>
    <t xml:space="preserve">Av. Brasil - Alt. Passarela 4 - Sent. Centro - São Cristóvão </t>
  </si>
  <si>
    <t>Google Maps - Tixxi - Cam 4412</t>
  </si>
  <si>
    <t xml:space="preserve">Enguiço CM </t>
  </si>
  <si>
    <t xml:space="preserve">Av. Brasil - Alt. BRT Fazenda Botafogo - Sent. Centro - Coelho Neto </t>
  </si>
  <si>
    <t>Tixxi - Cam 58</t>
  </si>
  <si>
    <t>Av. Ayrton Senna - Alt. Via Parque - Sent. Linha Amarela - Barra da Tijuca</t>
  </si>
  <si>
    <t>Google Maps - Tixxi - Cam 138</t>
  </si>
  <si>
    <t>Av. Pastor Martin Luther King Jr. - Alt. Estr. Adhemar Bebiano - Sent. Pavuna - Engenho da Rainha</t>
  </si>
  <si>
    <t>Av. Brasil - Alt. Fiocruz - Sent. Centro - Maré</t>
  </si>
  <si>
    <t>Av. Francisco Bicalho - Alt. Leopoldina - Sent. Rodoviária - Centro</t>
  </si>
  <si>
    <t>Linha Vermelha - Alt. Km 6,5 - Sent. Centro - Cidade Universitária</t>
  </si>
  <si>
    <t xml:space="preserve">Av. Ayrton Senna - Alt. Ponte Santos Dumont - Sent. Linha Amarela - Barra da Tijuca </t>
  </si>
  <si>
    <t>Linha Vermelha - Alt. Km 7 - Sent. Baixada - Cidade Universitária</t>
  </si>
  <si>
    <t xml:space="preserve">Ponte Rio - Niterói - Santo Cristo </t>
  </si>
  <si>
    <t>Google Maps - Tixxi - Cam 571</t>
  </si>
  <si>
    <t xml:space="preserve">Óleo na via </t>
  </si>
  <si>
    <t xml:space="preserve">Av. Cesário de Melo - Alt. R. Artur Rios - Sent. Estr. da Caroba - Campo Grande </t>
  </si>
  <si>
    <t xml:space="preserve">ECOPONTE </t>
  </si>
  <si>
    <t>TIXXI - Cam 360</t>
  </si>
  <si>
    <t>Rua São Francisco Xavier x Rua Mariz e Barros</t>
  </si>
  <si>
    <t>TIXX , O.P. CICC</t>
  </si>
  <si>
    <t>TIXXI - Cam 373</t>
  </si>
  <si>
    <t>Av Dom Helder Camara - Alt. Rua Moreira - Sent. Cascadura</t>
  </si>
  <si>
    <t>TIXXI - OP. CICC</t>
  </si>
  <si>
    <t xml:space="preserve">Googles Maps </t>
  </si>
  <si>
    <t xml:space="preserve"> AUTOESTRADA GRAJAÚ-JACAREPAGUÁ - ALT. KM 6,5 - SENT. JPA - JACAREPAGUÁ</t>
  </si>
  <si>
    <t xml:space="preserve">Googles Maps - TIXXI </t>
  </si>
  <si>
    <t xml:space="preserve">AVENIDA AYRTON SENNA - ALT. HOSPITAL MUNICIPAL LOURENÇO JORGE - SENT. ORLA - BARRA </t>
  </si>
  <si>
    <t>Manutrenção na via ( COMLURB)</t>
  </si>
  <si>
    <t>AVENIDA BRASIL - ALT. VIADULTO DA ILHA SENT. Z. OESTE - MARÉ</t>
  </si>
  <si>
    <t xml:space="preserve">Buraco na via </t>
  </si>
  <si>
    <t>AVENIDA ARMANDO LOMBARDI - ALT. METRÔ JARDIM OCEÂNICO - SENT. SÃO CONRADO - BARRA DA TIJUCA</t>
  </si>
  <si>
    <t>SECONSERVA</t>
  </si>
  <si>
    <t>AVENIDA AYRTON SENNA - ALT. HOSPITAL MUNICIPAL LOURENÇO JORGE - SENT. LINHA AMARELA - BARRA DA TIJUCA</t>
  </si>
  <si>
    <t xml:space="preserve"> LINHA VERMELHA - ALT. KM 8 - SENT. BAIXADA - CIDADE UNIVERSITÁRIA</t>
  </si>
  <si>
    <t>AVENIDA MONSENHOR FÉLIX - ALT. R. PEREIRA DE ARAÚJO - IRAJÁ</t>
  </si>
  <si>
    <t>Operador CICC</t>
  </si>
  <si>
    <t>AVENIDA BRASIL - ALT. PASSARELA 14 - OLARIA</t>
  </si>
  <si>
    <t>AVENIDA ARMANDO LOMBARDI - ALT. PONTE ESTAIADA DO METRÔ - SENT. RECREIO - BARRA DA TIJUCA</t>
  </si>
  <si>
    <t>Google Maps - TIXXI - Alarme HXG</t>
  </si>
  <si>
    <t>Linha Vermelha, alt. Km 3 - Sent. Baixada - Caju</t>
  </si>
  <si>
    <t>Rua Cosme Velho - Alt. N° 123 - Sent. Laranjeiras - Cosme Velho</t>
  </si>
  <si>
    <t xml:space="preserve">Elevado Eng. Freyssinet - Sent. Linha Vermelha - Rio Comprido </t>
  </si>
  <si>
    <t>Linha Vermelha - Alt. KM 9 - Sent. Baixada - Galeão</t>
  </si>
  <si>
    <t>Av. Brasil - Alt. Passarela 10 - Sent. Centro - Maré</t>
  </si>
  <si>
    <t>Linha Amarela - Alt. Acesso 8 - Sent. Barra - Bonsucesso</t>
  </si>
  <si>
    <t>Av. Brasil - Alt. Passarela 6 - Sent. Z. Oeste - Benfica</t>
  </si>
  <si>
    <t>AC VTR x VP</t>
  </si>
  <si>
    <t>Av. Francisco Bicalho - Alt. Linha Férrea - Sent. Av. Brasil - Santo Cristo</t>
  </si>
  <si>
    <t>AC ON x TX</t>
  </si>
  <si>
    <t>Av. Maracanã - Alt. Praça Varnhagen - Sent. Centro - Tijuca</t>
  </si>
  <si>
    <t>Google Maps - TIXXI - Cam 21</t>
  </si>
  <si>
    <t xml:space="preserve">Viaduto dos Fuzileiros - Sent. Centro - Praça da Bandeira </t>
  </si>
  <si>
    <t xml:space="preserve">Linha Vermelha - Alt. KM 4 - Sent. Centro - Galeão </t>
  </si>
  <si>
    <t>Semáforo apagado</t>
  </si>
  <si>
    <t>Av. Marechal Rondon - Alt. R. Mal. Bittencourt - Riachuelo</t>
  </si>
  <si>
    <t>Av. Marechal Rondon - Alt. R. Sousa Dantas - São Francisco Xavier</t>
  </si>
  <si>
    <t>Elevado Eng. Freyssinet - Sent, Lagoa - Rio Comprido</t>
  </si>
  <si>
    <t>AC ON x TX x 2 VP</t>
  </si>
  <si>
    <t>Rua Barata Ribeiro - Alt. N° 450 - Copacabana</t>
  </si>
  <si>
    <t>Linha Amarela - Alt. Túnel da Covanca - Sent. Fundão - Água Santa</t>
  </si>
  <si>
    <t>Av. Brasil - Alt. Arena da Juventude - Sent. Centro - Deodoro</t>
  </si>
  <si>
    <t>Transolímpica - Alt. Est. BRT Leila Diniz - Sent. Deodoro - Curicica</t>
  </si>
  <si>
    <t xml:space="preserve">Elevado Eng. Rufino Pizarro - Sent. Lagoa - Cidade Nova </t>
  </si>
  <si>
    <t>Estr. da Água Grande - Alt. Praça São João Berchmans - Sent. Cordovil - Irajá</t>
  </si>
  <si>
    <t>Av. Epitácio Pessoa - Alt. Parque da Catacumba - Sent. Ipanema - Lagoa</t>
  </si>
  <si>
    <t>Av. Ayrton Senna - Alt. Ponte Santos Dumont - Sent. Linha Amarela</t>
  </si>
  <si>
    <t>Rua São Francisco Xavier - Alt. R. Santos Mello - São Francisco Xavier</t>
  </si>
  <si>
    <t>Av. Pastor Martin Luther King Jr. - Alt. R. Eng. Mario Carvalho - Sent. Irajá - Vicente de Carvalho</t>
  </si>
  <si>
    <t>Rua Real Grandeza - Alt. Cemintério - Sent. Copacabana - Botafogo</t>
  </si>
  <si>
    <t>Av. Salvador Allende - Alt. Est. BRT Catedral do Recreio - Sent. Recreio - Barra da Tijuca</t>
  </si>
  <si>
    <t>Transolímpica - Alt. Est. BRT Outeiro Santo - Sent. Recreio - Taquara</t>
  </si>
  <si>
    <t>Avenida Presidente Vagas - Alt. R. do Santana - Sent. Praça da Bandeira - Centro</t>
  </si>
  <si>
    <t>Av. Salvador Allende - Alt. Est. BRT Minha Praia - Sent. Transolímpica - Barra da Tijuca</t>
  </si>
  <si>
    <t>Av. Brasil - Alt. Passarela 8 - Sent. Centro - Bonsucesso</t>
  </si>
  <si>
    <t>Estrada Intendente Magalhães - Alt. N° 991 - Sent. Cascadura - Vila Valqueire</t>
  </si>
  <si>
    <t>Av. Vicente de Carvalho - Alt. N° 1100 - Sent. Penha - Vila Kosmos</t>
  </si>
  <si>
    <t>Av. Lucio Costa - Alt. N° 2630 - Sent. Recreio - Barra da Tijuca</t>
  </si>
  <si>
    <t>Atropelamento envolv. VP</t>
  </si>
  <si>
    <t>Rua Ulisses Guimarães - Alt. CASS - Cidade Nova</t>
  </si>
  <si>
    <t xml:space="preserve">Av. Ayrton Senna - Alt. Nº 3600 - Sent. Orla - Barra da Tijuca </t>
  </si>
  <si>
    <t xml:space="preserve">Linha Amarela - Alt. Saída 7 - Sent. Z. Oeste - Bonsucesso </t>
  </si>
  <si>
    <t xml:space="preserve">Av. Dom João VI - Alt. Est. BRT Embrapa - Sent. Santa Cruz - Guaratiba </t>
  </si>
  <si>
    <t>Tixxi CAM 135</t>
  </si>
  <si>
    <t>Operação PMERJ</t>
  </si>
  <si>
    <t>Av. Ayrton Senna - Giro do Cebolinha</t>
  </si>
  <si>
    <t>TIXXI- Cam 555</t>
  </si>
  <si>
    <t>Av. Santa Cruz x Rua Silva Cardoso</t>
  </si>
  <si>
    <t>TIXXi - CAM 135</t>
  </si>
  <si>
    <t>TIXXI - CAM 1122</t>
  </si>
  <si>
    <t>Av Don Helder Câmara x Rua Cerqueira  Daltro - Sent. Cavalcante</t>
  </si>
  <si>
    <t>TIXXI - Cam  135</t>
  </si>
  <si>
    <t>Manutenção ( SMARTLUZ )</t>
  </si>
  <si>
    <t>Av Ayrton Senna - Alt. Gardênia Azul - Sent. Linha Amarela</t>
  </si>
  <si>
    <t>Tixxi / Maps</t>
  </si>
  <si>
    <t>Av. Rodrigues Alves - Alt. R. Garcia Pires</t>
  </si>
  <si>
    <t>Linha Vermelha - Alt. Km 15 - Sent. Baixada</t>
  </si>
  <si>
    <t>Av. das Américas - Alt. N° 4666 - Sent. Recreio</t>
  </si>
  <si>
    <t>Estrada rio do A - Alt. Estrada Rio SP</t>
  </si>
  <si>
    <t>Av. Francisco Bicalho - Alt. Leopoldina - Sent. Rodoviária</t>
  </si>
  <si>
    <t>Elevado Eng. Freyssinet - Sent. Lagoa</t>
  </si>
  <si>
    <t>Manutenção na Via (IGUÁ)</t>
  </si>
  <si>
    <t>Av. Ayrton Senna - Alt. N° 4190 - Sent. Linha Amarela</t>
  </si>
  <si>
    <t>Evento Colégio Militar</t>
  </si>
  <si>
    <t xml:space="preserve">Rua São Francisco Xavier - Alt. Colégio Militar </t>
  </si>
  <si>
    <t>AC CM x UT x 2 VP</t>
  </si>
  <si>
    <t xml:space="preserve">Av. Brasil - Alt. Passarela 28 - Sent. Centro - Irajá </t>
  </si>
  <si>
    <t>Rua Afonso Pena - Alt. R Dr. Satamini</t>
  </si>
  <si>
    <t>Linha Vermelha - Alt. Km 0 - Sent. Baixada</t>
  </si>
  <si>
    <t>Google Maps  - Tixxi cam 5820</t>
  </si>
  <si>
    <t xml:space="preserve">Enguiço ON </t>
  </si>
  <si>
    <t>ESTRADA DA ÁGUA GRANDE - ALT. PRAÇA SÃO JOÃO BERCHMANS - SENT. CORDOVIL - VISTA ALEGRE</t>
  </si>
  <si>
    <t>Google Maps  - Tixxi cam 782</t>
  </si>
  <si>
    <t>Ac Envol VP</t>
  </si>
  <si>
    <t>ELEVADO DO GASÔMETRO - ALT. ACESSO PARA A AV. RODRIGUES ALVES - SENT. CENTRO - CAJU</t>
  </si>
  <si>
    <t>RUA GOIÁS - ALT. N° 1016 - SENT. MÉIER - QUINTINO BOCAIUVA</t>
  </si>
  <si>
    <t>Google Maps - Tixxi Cam 804</t>
  </si>
  <si>
    <t>AVENIDA PASSOS - ALT. R. LUIS DE CAMÕES - CENTRO</t>
  </si>
  <si>
    <t>ELEVADO ENGENHEIRO FREYSSINET - SENT. LAGOA - RIO COMPRIDO</t>
  </si>
  <si>
    <t>Engiuço CR</t>
  </si>
  <si>
    <t>AVENIDA BRASIL - ALT. DA PASSARELA 28  - SENT. Z.OESTE. - COELHO NETO</t>
  </si>
  <si>
    <t>Google Maps - Tixxi Cam 4525</t>
  </si>
  <si>
    <t>LINHA VERMELHA - ALT. KM 5 - SENT. CENTRO - MARÉ</t>
  </si>
  <si>
    <t>AC 4 VP</t>
  </si>
  <si>
    <t>TÚNEL ANTÔNIO REBOUÇAS - 1ª GALERIA - SENT. LAGOA - COSME VELHO</t>
  </si>
  <si>
    <t>Google Maps - Tixxi Cam 58</t>
  </si>
  <si>
    <t>AVENIDA AYRTON SENNA - ALT. AEROTOWN - SENT. ORLA - BARRA DA TIJUCA</t>
  </si>
  <si>
    <t>AVENIDA BRASIL - ALT. DA PASSARELA 23  - SENT. Z.OESTE. - IRAJÁ</t>
  </si>
  <si>
    <t>AC CM x 2 VP</t>
  </si>
  <si>
    <t>AVENIDA BRASIL - ALT. STAND DE TIRO – SENT. CENTRO - DEODORO</t>
  </si>
  <si>
    <t>ELEVADO DAS BANDEIRAS - SENT. BARRA - JOÁ</t>
  </si>
  <si>
    <t>AVENIDA BRASIL - ALT. DA PASSARELA 27  - SENT. Z.OESTE. - IRAJÁ</t>
  </si>
  <si>
    <t>AC 2 CM x ON</t>
  </si>
  <si>
    <t>PONTE RIO - NITERÓI - ALT. GRANDE CURVA - SENT. NITERÓI - CAJU</t>
  </si>
  <si>
    <t>Ecoponte</t>
  </si>
  <si>
    <t>Tixxi Cam 45</t>
  </si>
  <si>
    <t>AC CM x VP x MT</t>
  </si>
  <si>
    <t>AVENIDA PADRE LEONEL FRANCA - ALT. PRAÇA SIBELIUS - SENT. BARRA DA TIJUCA - GÁVEA</t>
  </si>
  <si>
    <t>Google Maps - Tixxi Cam 3574</t>
  </si>
  <si>
    <t>AVENIDA PASTOR MARTIN LUTHER KING JÚNIOR - ALT. AV. VICENTE DE CARVALHO - IRAJÁ - VICENTE DE CARVALHO</t>
  </si>
  <si>
    <t>LINHA VERMELHA - ALT. KM10 - BAIXADA - GALEÃO</t>
  </si>
  <si>
    <t>Tixxi - Cam 44</t>
  </si>
  <si>
    <t xml:space="preserve">R. Jardim Botânico - Alt. R. Pacheco Leão - Sent. Gávea - Jardim Botânico </t>
  </si>
  <si>
    <t>Tixxi - Cam 5702</t>
  </si>
  <si>
    <t xml:space="preserve">R. das Laranjeiras - Alt. R. Pereira Nunes da Silva - Laranjeiras </t>
  </si>
  <si>
    <t>Google Maps  - Tixxi cam 138</t>
  </si>
  <si>
    <t>ELEVADO ENGENHEIRO FREYSSINET - SENT. TÚNEL REBOUÇAS. - RIO COMPRIDO</t>
  </si>
  <si>
    <t>Google Maps - Tixxi 2341</t>
  </si>
  <si>
    <t>AVENIDA DAS AMÉRICAS - ALT. BRT SALVADOR ALLENDE - SENT. SÃO CONRADO - BARRA DA TIJUCA</t>
  </si>
  <si>
    <t>TRANSOLÍMPICA - ALT. EST. BRT COLÔNIA - SENT. RECREIO - TAQUARA</t>
  </si>
  <si>
    <t>AVENIDA BRASIL - ALT. POSTO VAGÃO - SENT. CENTRO - REALENGO</t>
  </si>
  <si>
    <t>Tixxi cam 4499</t>
  </si>
  <si>
    <t xml:space="preserve">AC 2 MT </t>
  </si>
  <si>
    <t>ELEVADO DO GASÔMETRO - ALT. PASSARELA 0 - SENT. CENTRO - CAJU</t>
  </si>
  <si>
    <t>Google Maps - Tixxi cam 161</t>
  </si>
  <si>
    <t>LINHA VERMELHA - ALT. KM 1 - SENT. CENTRO - CAJU</t>
  </si>
  <si>
    <t>LINHA AMARELA - ALT. CIDADE DE DEUS - SENT. BARRA - JACAREPAGUÁ</t>
  </si>
  <si>
    <t>Google Maps - Tixxi cam 3212</t>
  </si>
  <si>
    <t>AVENIDA AYRTON SENNA - ALT. Nº3383 - SENT. LINHA AMARELA - BARRA DA TIJUCA</t>
  </si>
  <si>
    <t>Google Maps - Tixxi cam 468</t>
  </si>
  <si>
    <t>AVENIDA AYRTON SENNA - ALT. CIDADE DA ARTE - SENT. SÃO CONRADO - BARRA DA TIJUCA</t>
  </si>
  <si>
    <t>Google Maps - Tixxi cam 92</t>
  </si>
  <si>
    <t>Obra na via (Telefonia)</t>
  </si>
  <si>
    <t>AVENIDA BRASIL - ALT. PASSARELA 5 - SENT. Z. OESTE - BENFICA</t>
  </si>
  <si>
    <t>AVENIDA BRASIL - ALT. PASSARELA 7 - SENT. CENTRO - BONSUCESSO</t>
  </si>
  <si>
    <t xml:space="preserve">Av. Rodrigues Alves - Alt. R. Cordeiro da Graça - Sent. Centro - Santo Cristo </t>
  </si>
  <si>
    <t xml:space="preserve">CCO MPE </t>
  </si>
  <si>
    <t xml:space="preserve">Av. Ayrton Senna - Alt. Nº 5250 - Sent. Linha Amarela - Barra da Tijuca </t>
  </si>
  <si>
    <t>Tixxi - Cam 3212</t>
  </si>
  <si>
    <t xml:space="preserve">Av. Ayrton Senna - Alt. Nº 3419 - Sent. Orla - Barra da Tijuca </t>
  </si>
  <si>
    <t>Google Maps - Tixxi cam 4479</t>
  </si>
  <si>
    <t xml:space="preserve">Viaduto Eng. Noronha - Alt. Túnel Santa Bárbara - Sent. Centro - Laranjeiras </t>
  </si>
  <si>
    <t>Google Maps - Tixxi cam 127</t>
  </si>
  <si>
    <t xml:space="preserve">AC VP x Poste </t>
  </si>
  <si>
    <t xml:space="preserve">Av. Armando Lombardi - Alt. Ponte Estaiada - Sent. Recreio - Barra da Tijuca </t>
  </si>
  <si>
    <t>Google Maps - Tixxi cam 234</t>
  </si>
  <si>
    <t xml:space="preserve">AC CR x VP </t>
  </si>
  <si>
    <t xml:space="preserve">Av. Brasil - Alt. Passarela 6 - Sent. Centro - Manguinhos </t>
  </si>
  <si>
    <t>Av. Dom João VI - Alt. Est. BRT CTEX - Sent. Recreio</t>
  </si>
  <si>
    <t>Av. Maracanã x Rua São Francisco Xavier - Sent Centro</t>
  </si>
  <si>
    <t>Linha Vermelha - Alt. Km 9 - Cidade Universitária - Sent. Centro</t>
  </si>
  <si>
    <t xml:space="preserve">Av. Olof Palme - Sent. Trnsolímpica </t>
  </si>
  <si>
    <t>Linha Vermelha - Alt. Km 11 - Galeão - Sent. Baixada</t>
  </si>
  <si>
    <t>Avenida Presidente Antônio Carlos - Alt. Av. Franklin Roosevelt - Sent. Candelária</t>
  </si>
  <si>
    <t>Google Maps - Tixxi cam 60</t>
  </si>
  <si>
    <t>Av Lucio Costa - Alt. Posto 8 - Sent. Recreio</t>
  </si>
  <si>
    <t>AC ON x 2 VP</t>
  </si>
  <si>
    <t>Linha Vermelha - Alt. KM 13,5 - Sent. Baixada</t>
  </si>
  <si>
    <t>TIXXI - CET RIO</t>
  </si>
  <si>
    <t>TIXXI CAM 4431</t>
  </si>
  <si>
    <t>Enguiço BRT</t>
  </si>
  <si>
    <t>Av. Brasil - Alt. Vigário Geral</t>
  </si>
  <si>
    <t>TIXXI Cam 260</t>
  </si>
  <si>
    <t>Rua Voluntários da Pátria x Rua Nelson Mandela</t>
  </si>
  <si>
    <t>AVENIDA BRASIL - ALT. PASSARELA 09 - SENT. Z. OESTE - BONSUCESSO</t>
  </si>
  <si>
    <t>LINHA VERMELHA - ALT. KM12 - SENT. BAIXADA - GALEÃO</t>
  </si>
  <si>
    <t>Google Mpas - Tixxi Cam 4413</t>
  </si>
  <si>
    <t xml:space="preserve"> AVENIDA BRASIL - ALT. PASSARELA 10 - SENT. Z. OESTE - BONSUCESSO</t>
  </si>
  <si>
    <t>Google Maps - Tixxi Cam 410</t>
  </si>
  <si>
    <t xml:space="preserve"> AVENIDA EMBAIXADOR ABELARDO BUENO - ALT. REDE SARAH - SENT. AV. SALVADOR ALLENDE - BARRA DA TIJUCA</t>
  </si>
  <si>
    <t>Google Maps - Tixxi Cam 153</t>
  </si>
  <si>
    <t>AVENIDA BRASIL - ALT. PASSARELA 28 - SENT. Z. OESTE - COELHO NETO</t>
  </si>
  <si>
    <t xml:space="preserve">CBMERJ </t>
  </si>
  <si>
    <t>Google Maps - Tixxi Cam 3146</t>
  </si>
  <si>
    <t>AVENIDA SALVADOR ALLENDE - ALT. EST. BRT  MORRO DO OUTEIRO - SENT. TRANSOLIMPICA - BARRA DA TIJUCA</t>
  </si>
  <si>
    <t>Google Maps - Tixxi Cam 3356</t>
  </si>
  <si>
    <t>ESTRADA DOS BANDEIRANTES - ALT. N° 14890 - SENT. CURICICA - VARGEM PEQUENA</t>
  </si>
  <si>
    <t>Google Mpas - Tixxi Cam 118</t>
  </si>
  <si>
    <t>AVENIDA EPITÁCIO PESSOA - ALT. CORTE DO CANTAGALO - SENT. IPANEMA - LAGOA</t>
  </si>
  <si>
    <t xml:space="preserve"> AVENIDA BRASIL - ALT. ESTR. JOÃO PAULO - SENT. Z. OESTE - BARROS FILHO</t>
  </si>
  <si>
    <t>ELEVADO DO GASÔMETRO - ALT. PASSARELA 0 - SENT. Z. OESTE - CAJU</t>
  </si>
  <si>
    <t>Google Maps - Tixxi Cam 4077</t>
  </si>
  <si>
    <t>ESTRADA DOS BANDEIRANTES - ALT. ESTR. CEL. PEDRO CORRÊA - SENT. VARGEM PEQUENA - CURICICA</t>
  </si>
  <si>
    <t>AVENIDA DE SANTA CRUZ - ALT. N° 7474 - SENT. BANGU - SENADOR CÂMARA</t>
  </si>
  <si>
    <t xml:space="preserve">Tixxi - Cam 167 </t>
  </si>
  <si>
    <t>Linha Vermelha - Alt. Washington Luiz</t>
  </si>
  <si>
    <t>TIXXI 92 - 173</t>
  </si>
  <si>
    <t>Av Brasil - Alt. Benfica - Sent. Centro</t>
  </si>
  <si>
    <t>Renan Lannes</t>
  </si>
  <si>
    <t>RUA LINO TEIXEIRA - CRUZAMENTO COM RUA ÁLVARES DE AZEVEDO</t>
  </si>
  <si>
    <t>Tixxi - Cam 1751</t>
  </si>
  <si>
    <t>AC TX x VP</t>
  </si>
  <si>
    <t>Av. Edson Passos nº 3000 - Sent. Itanhangá</t>
  </si>
  <si>
    <t>Tixxi e CiCC</t>
  </si>
  <si>
    <t>TXXI - Cam 432 - 421</t>
  </si>
  <si>
    <t>Linha Vermelha - Alt. Fundão - Sent. Centro</t>
  </si>
  <si>
    <t>TIXXI - Cam 432 - 421</t>
  </si>
  <si>
    <t>Linha Vermelha - Alt. Fundão - Sent. Baixada</t>
  </si>
  <si>
    <t>TIXXI - Cam 161</t>
  </si>
  <si>
    <t>Linha Vermelha - Alt. KM 01 - Sent. Centro</t>
  </si>
  <si>
    <t>TIXXI - Cam 7140</t>
  </si>
  <si>
    <t>Av Geremário Dantas x Rua Candido Figueiredo - Cruzamento</t>
  </si>
  <si>
    <t>Google Maps - Tixxi Cam 218</t>
  </si>
  <si>
    <t xml:space="preserve"> ELEVADO DO GASÔMETRO - SENT. CENTRO - CAJU</t>
  </si>
  <si>
    <t>Google Maps - TIxxi Cam 1762</t>
  </si>
  <si>
    <t>AVENIDA EDISON PASSOS - ALT. N° 3253 - ALTO DA BOA VISTA</t>
  </si>
  <si>
    <t>Google Maps - Tixxi Cam 3211</t>
  </si>
  <si>
    <t>AVENIDA AYRTON SENNA - ALT. EST BRT LOURENÇO JORGE - SENT. ORLA - BARRA DA TIJUCA</t>
  </si>
  <si>
    <t>Google Maps - Tixxi Cam 4422</t>
  </si>
  <si>
    <t>AVENIDA BRASIL - ALT. EST BRT JARDIM GUADALUPE - SENT. Z. OESTE - GUADALUPE</t>
  </si>
  <si>
    <t>AVENIDA BRASIL - ALT. MOCIDADE - SENT. Z. OESTE - PADRE MIGUEL</t>
  </si>
  <si>
    <t>Google Maps - Tixxi Cam 756</t>
  </si>
  <si>
    <t>LINHA AMARELA - ALT. ACESSO 7 - SENT. BARRA - BONSUCESSO</t>
  </si>
  <si>
    <t>Tixxi Cam 824</t>
  </si>
  <si>
    <t>AC envolv. UT</t>
  </si>
  <si>
    <t>AVENIDA BEIRA MAR - ALT. RUA DO RUSSEL - SENT. CENTRO - GLÓRIA</t>
  </si>
  <si>
    <t>Google Maps - Tixxi Cam 2437</t>
  </si>
  <si>
    <t>AC VP x MURETA</t>
  </si>
  <si>
    <t>TRANSOLÍMPICA - ALT. EST BRT LEILA DINIZ - SENT. RECREIO DOS BANDEIRANTES - CURICICA</t>
  </si>
  <si>
    <t>LINHA VERMELHA - ALT. KM 14 - SENT. BAIXADA - CORDOVIL</t>
  </si>
  <si>
    <t>PONTE RIO - NITERÓI - CAJU</t>
  </si>
  <si>
    <t>Google Maps - Tixxi Cam 432</t>
  </si>
  <si>
    <t>LINHA VERMELHA - ALT. KM 7 - SENT. BAIXADA - CIDADE UNIVERSITÁRIA</t>
  </si>
  <si>
    <t>Google Maps - Tixxi Cam 4479</t>
  </si>
  <si>
    <t xml:space="preserve">Viaduto Engenheiro Noronha - Alt. Túnel Santa Bárbara - Sent. Centro - Laranjeiras </t>
  </si>
  <si>
    <t>Google Maps - Tixxi Cam 22</t>
  </si>
  <si>
    <t xml:space="preserve">AC TX x VP </t>
  </si>
  <si>
    <t xml:space="preserve">Av. Rei Pelé - Alt. Maracanã - Sent. Vila Isabel - Maracanã </t>
  </si>
  <si>
    <t>Google Maps - Tixxi Cam 5127</t>
  </si>
  <si>
    <t xml:space="preserve">AC UT x VP </t>
  </si>
  <si>
    <t xml:space="preserve">R. Equador - Alt. Av. Prof. Pereira Reis - Sent. Rodoviária - Santo Cristo </t>
  </si>
  <si>
    <t>TIXXI / MAPS</t>
  </si>
  <si>
    <t>Viaduto do Pracinhas - Sent. Centro</t>
  </si>
  <si>
    <t>Manutenção na Via (LIGHT)</t>
  </si>
  <si>
    <t>Av. Ayrton Senna - Alt. N° 2541 - Sent. Orla</t>
  </si>
  <si>
    <t>Av. Presidente Vargas - Alt. Viaduto dos Fuzileiros - Sent. Candelária</t>
  </si>
  <si>
    <t>Av. Ayrton Senna - Alt. Giro do Cebolinha - Sent. Orla</t>
  </si>
  <si>
    <t>Rua José do Patrocínio - Alt. N° 306</t>
  </si>
  <si>
    <t>Rua São Clemente, Alt. N° 172</t>
  </si>
  <si>
    <t>Av. Rei Pelé, Alt R. Gen Canabrro - Sent. Centro</t>
  </si>
  <si>
    <t>MAPS</t>
  </si>
  <si>
    <t>Linha Amarela, Alt. Saída 1 B - Sent. Fundão</t>
  </si>
  <si>
    <t>Linha Vermelha, Alt. KM 10.5 - Sent. Centro</t>
  </si>
  <si>
    <t xml:space="preserve">AC VP x 2 MT </t>
  </si>
  <si>
    <t xml:space="preserve">Túnel Antônio Rebouças - Alt. 2ª Galeria - Sent. Centro - Rio Comprido </t>
  </si>
  <si>
    <t>Manutenção na via</t>
  </si>
  <si>
    <t xml:space="preserve">Linha Vermelha, Alt. KM 7 - Sent. Baixada - Cidade Universitária </t>
  </si>
  <si>
    <t>Google Maps - Tixxi Cam 185</t>
  </si>
  <si>
    <t xml:space="preserve">Av. Pastor Martin Luther King Júnior - Alt. R. César Múzio - Sent. Inhaúma - Vicente de Carvalho </t>
  </si>
  <si>
    <t xml:space="preserve">Autoestrada Fernando Mac Dowell - Alt. R. Eng. Amandino de Carvalho - Sent. Gávea - São Conrado </t>
  </si>
  <si>
    <t xml:space="preserve">CET -RIO </t>
  </si>
  <si>
    <t xml:space="preserve">Queda MT </t>
  </si>
  <si>
    <t xml:space="preserve">A. Francisco Bicalho - Alt. Viaduto dos Pracinhas - Sent. Túnel Rebouças - Praça da Bandeira </t>
  </si>
  <si>
    <t>Tixxi Cam 432</t>
  </si>
  <si>
    <t>Linha Vermelha - Alt. Hospital Universitário</t>
  </si>
  <si>
    <t>Google Maps / Globocop</t>
  </si>
  <si>
    <t>VIADUTO DE DEODORO - SENT. CENTRO - DEODORO</t>
  </si>
  <si>
    <t>Google Maps / Tixxi - Cam 98</t>
  </si>
  <si>
    <t xml:space="preserve"> AVENIDA TRINTA E UM DE MARÇO - ALT. TÚNEL SANTA BÁRBARA - SENT. LARANJEIRAS - CIDADE NOVA</t>
  </si>
  <si>
    <t>Google Maps / Tixxi - Cam 826</t>
  </si>
  <si>
    <t xml:space="preserve"> AVENIDA ALFRED AGACHE - ALT. 3° COMAR - CENTRO</t>
  </si>
  <si>
    <t>Google Maps / Tixxi - Cam 893</t>
  </si>
  <si>
    <t>AC VP x 3 MT</t>
  </si>
  <si>
    <t xml:space="preserve"> TUNEL ANTÔNIO REBOUÇAS - ALT. 2° GALERIA - SENT. CENTRO - HUMAITÁ</t>
  </si>
  <si>
    <t>Google Maps / Tixxi - Cam 1410</t>
  </si>
  <si>
    <t xml:space="preserve"> AVENIDA PADRE LEONEL FRANCA - ALT.TÚNEL ACÚSTICO RAFAEL MASCARENHAS - SENT. SÃO CONRADO - GÁVEA</t>
  </si>
  <si>
    <t>Google Maps / Tixxi - Cam 173</t>
  </si>
  <si>
    <t>AVENIDA BRASIL - ALT. PASSARELA 4 - SENT. CENTRO - BENFICA</t>
  </si>
  <si>
    <t>AVENIDA AYRTON SENNA - ALT. PONTE SANTOS DUMONT - SENT. ORLA - BARRA DA TIJUCA</t>
  </si>
  <si>
    <t>Google / Tixxi - Cam 22</t>
  </si>
  <si>
    <t>AVENIDA REI PELÉ - ALT. PORTÃO 2 - SENT. CENTRO - MARACANÃ</t>
  </si>
  <si>
    <t>Google Maps / Tixxi - Cam 4416</t>
  </si>
  <si>
    <t>AC CM x UT</t>
  </si>
  <si>
    <t>AVENIDA BRASIL - ALT. DA  PASSARELA  6  - SENT. CENTRO. - BENFICA</t>
  </si>
  <si>
    <t>Google Maps  / Tixxi - Cam 791</t>
  </si>
  <si>
    <t>AVENIDA TRINTA E UM DE MARÇO - ALT. R. FREI CANECA - SENT. BOTAFOGO - CATUMBI</t>
  </si>
  <si>
    <t>Google Maps / Tixxi - Cam 649</t>
  </si>
  <si>
    <t>AVENIDA DAS AMÉRICAS - ALT. CIDADE DAS ARTES - SENT. LINHA AMARELA - BARRA DA TIJUCA</t>
  </si>
  <si>
    <t>Google Maps / Tixxi - Cam 149</t>
  </si>
  <si>
    <t>AVENIDA DAS MISSÕES - ALT. VIADUTO TREVO DAS MISSÕES  - SENT. AV. BRASIL - CORDOVIL</t>
  </si>
  <si>
    <t>AVENIDA DAS AMÉRICAS - ALT. N° 489 - SENT. RECREIO - BARRA DA TIJUCA</t>
  </si>
  <si>
    <t>Incêndio VP</t>
  </si>
  <si>
    <t>AVENIDA DAS AMÉRICAS - ALT. EST. BRT PONTÕES / BARRA SUL - SENT. RECREIO - BARRA DA TIJUCA</t>
  </si>
  <si>
    <t>Google Maps / Tixxi - Cam 4335</t>
  </si>
  <si>
    <t>AVENIDA ATLÂNTICA - ALT. R. BARÃO DE IPANEMA - SENT. LEME - COPACABANA</t>
  </si>
  <si>
    <t>Google Maps / HxGN</t>
  </si>
  <si>
    <t>ESTRADA DOS BANDEIRANTES - ALT. EST. BRT RECANTO DAS PALMEIRAS - SENT. TAQUARA - JACAREPAGUÁ</t>
  </si>
  <si>
    <t xml:space="preserve">CET/RIO </t>
  </si>
  <si>
    <t>Google Maps / Tixxi - Cam 92</t>
  </si>
  <si>
    <t>AVENIDA BRASIL - ALT. VIADUTO DE BENFICA - SENT. Z OESTE - BENFICA</t>
  </si>
  <si>
    <t>TÚNEL ANDRÉ REBOUÇAS - ALT. PRIMEIRA GALERIA - SENT. LAGOA - COSME VELHO</t>
  </si>
  <si>
    <t>Google Maps / Tixxi - Cam 5672</t>
  </si>
  <si>
    <t xml:space="preserve"> ESTRADA DOS BANDEIRANTES &amp; ESTRADA MAL. MIGUEL SALAZAR M. DE MORAIS - TAQUARA</t>
  </si>
  <si>
    <t xml:space="preserve"> AVENIDA BRASIL - ALT. TERMINAL GENTILEZA - SENT. CENTRO - SÃO CRISTÓVÃO</t>
  </si>
  <si>
    <t>: LINHA AMARELA - ALT. SAÍDA 1B - SENT. BARRA - FREGUESIA JACAREPAGUÁ</t>
  </si>
  <si>
    <t>Google Maps / Tixxi - Cam 1015</t>
  </si>
  <si>
    <t xml:space="preserve"> RUA ARQUIAS CORDEIRO - ALT. R. PIAUÍ - ENGENHO DE DENTRO</t>
  </si>
  <si>
    <t xml:space="preserve"> AVENIDA BRASIL - ALT. ARENA DA JUVENTUDE SENT. CENTRO - VILA MILITAR</t>
  </si>
  <si>
    <t>Google Maps / HxGN / Tixxi - Cam 5673</t>
  </si>
  <si>
    <t>AVENIDA MARECHAL RONDON - ALT. R. HENRIQUE DIAS - ROCHA</t>
  </si>
  <si>
    <t>Google Maps / HxGN / Jarvis / Tixxi - Cam 6318</t>
  </si>
  <si>
    <t>RUA VISCONDE DE PIRAJÁ - ALT. AV. HENRIQUE DUMONT - IPANEMA</t>
  </si>
  <si>
    <t>Google Maps / HxGN / Tixxi - Cam 871</t>
  </si>
  <si>
    <t>Manutenção na via (Seconserva)</t>
  </si>
  <si>
    <t xml:space="preserve"> AVENIDA MINISTRO IVAN LINS - ALT. PRAÇA EUVALDO LODI - SENT. SÃO CONRADO - BARRA DA TIJUCA</t>
  </si>
  <si>
    <t xml:space="preserve">Google Maps / HxGN / Jarvis </t>
  </si>
  <si>
    <t>AC Envol. MT</t>
  </si>
  <si>
    <t xml:space="preserve"> RUA TEIXEIRA SOARES - ALT. R. PARÁ - MARACANÃ</t>
  </si>
  <si>
    <t>Google Maps / HxGN / JArvis / Tixxi - Cam 3700</t>
  </si>
  <si>
    <t>AVENIDA LÚCIO COSTA - ALT. RUA EMBAIXADOR EGBERTO MAFRA - SENT. RECREIO DOS BANDEIRANTES - BARRA DA TIJUCA</t>
  </si>
  <si>
    <t xml:space="preserve"> TÚNEL ACÚSTICO RAFAEL MASCARENHAS - SENT. LAGOA - GÁVEA</t>
  </si>
  <si>
    <t>Google Maps / HxGN / JArvis / Tixxi - Cam 5606</t>
  </si>
  <si>
    <t xml:space="preserve"> RUA VINTE E QUATRO DE MAIO - ALT. R. SÃO PAULO - SAMPAIO</t>
  </si>
  <si>
    <t xml:space="preserve">Google Maps / HxGN </t>
  </si>
  <si>
    <t xml:space="preserve"> AVENIDA PAULO DE FRONTIN - ALT. N° 610 - SENT. LAGOA - RIO COMPRIDO</t>
  </si>
  <si>
    <t>Google Maps / HxGN / JArvis / Tixxi - Cam 421</t>
  </si>
  <si>
    <t xml:space="preserve"> LINHA VERMELHA - ALT. KM 6 - SENT. BAIXADA - CIDADE UNIVERSITÁRIA</t>
  </si>
  <si>
    <t>LINHA AMARELA - ALT. SAÍDA 6 - SENT. FUNDÃO - DEL CASTILHO</t>
  </si>
  <si>
    <t>AVENIDA DAS AMÉRICAS - ALT. BRT SALVADOR ALLENDE - SENT. RECREIO - BARRA DA TIJUCA</t>
  </si>
  <si>
    <t>LINHA AMARELA - ALT. SAÍDA 7 - SENT. BARRA - BONSUCESSO</t>
  </si>
  <si>
    <t>AVENIDA DAS AMÉRICAS - ALT. N°12221 - SENT. RECREIO DOS BANDEIRANTES - BARRA DA TIJUCA</t>
  </si>
  <si>
    <t>AVENIDA DAS AMÉRICAS - ALT. N° 17552 - SENT. SANTA CRUZ - RECREIO DOS BANDEIRANTES</t>
  </si>
  <si>
    <t>Google Maps / HxGN / JArvis / Tixxi - Cam 774</t>
  </si>
  <si>
    <t>RUA ALMIRANTE BALTAZAR - ALT. R. JOSÉ EUGÊNIO - SÃO CRISTÓVÃO</t>
  </si>
  <si>
    <t>Google Maps / HxGN / JArvis / Tixxi - Cam 3719</t>
  </si>
  <si>
    <t>Atropelamento Envol. Vp</t>
  </si>
  <si>
    <t>ESTRADA INTENDENTE MAGALHÃES - ALT. ESTR. HENRIQUE DE MELO - SENT. SULACAP - OSVALDO CRUZ</t>
  </si>
  <si>
    <t xml:space="preserve">Transolímpica - Alt. Est. BRT Marechal Fontenelle - Sent. Av. Brasil - Jardim Sulacap </t>
  </si>
  <si>
    <t xml:space="preserve">Av. Ayrton Senna - Alt. Nº 3212 - Sent. Orla - Barra da Tijuca </t>
  </si>
  <si>
    <t>Google Maps - Tixxi cam 37</t>
  </si>
  <si>
    <t>ESTR. DO GALEÃO - ALT. BASE AÉREA DO GALEÃO - SENT. LINHA VERMELHA - GALEÃO</t>
  </si>
  <si>
    <t>Google Maps - Tixxi cam 4343</t>
  </si>
  <si>
    <t xml:space="preserve">AC BRT X VP </t>
  </si>
  <si>
    <t xml:space="preserve">Av. Brigadeiro Trompowski - Alt. Est. BRT Maré - Sent. Fundão - Maré </t>
  </si>
  <si>
    <t xml:space="preserve">Av. Brasil - Alt. Estr. Camboatá - Sent. Z.Oeste - Guadalupe </t>
  </si>
  <si>
    <t>AVENIDA BRASIL - ALT. PASSARELA 02 - SENT. CENTRO - SÃO CRISTÓVÃO</t>
  </si>
  <si>
    <t>Google Maps - Alarme HXG - Tixx</t>
  </si>
  <si>
    <t>AC UT x 3VP</t>
  </si>
  <si>
    <t>AVENIDA BRASIL - ALT. PASSARELA 24 - SENT. Z. OESTE - IRAJÁ</t>
  </si>
  <si>
    <t xml:space="preserve">Google Maps - Alarme HXG </t>
  </si>
  <si>
    <t>AVENIDA PADRE LEONEL FRANCA - ALT. ENTRE GALERIAS - SENT. SÃO CONRADO - GÁVEA</t>
  </si>
  <si>
    <t>AVENIDA FRANCISCO BICALHO - ALT. DETRAN - SENT. CENTRO - SÃO CRISTÓVÃO</t>
  </si>
  <si>
    <t>Google Maps - Jarvis</t>
  </si>
  <si>
    <t>AVENIDA ALBERICO DINIZ - ALT. R. LEOPOLDO GOTUZZO - SENT. BANGU - JARDIM SULACAP</t>
  </si>
  <si>
    <t>Poda de árvore</t>
  </si>
  <si>
    <t>RUA DONA MARIANA - ALT. R. VOLUNTÁRIOS DA PÁTRIA - BOTAFOGO</t>
  </si>
  <si>
    <t>Google Maps - Alarme HXG - Tixxi - Jarvis</t>
  </si>
  <si>
    <t>BOULEVARD 28 DE SETEMBRO - ALT. R. FELIPE CAMARÂO - SENT. MARACANÃ - VILA ISABEL</t>
  </si>
  <si>
    <t>PONTE RIO - NITERÓI - ALT. AV. BRASIL - SENT. NITERÓI - CAJU</t>
  </si>
  <si>
    <t>ELEVADO DO GASÔMETRO - ALT. RODOVIÁRIA - SENT. AV. BRASIL - CAJU</t>
  </si>
  <si>
    <t>Google Maps - Alarme HXG</t>
  </si>
  <si>
    <t>LINHA AMARELA - ALT. SAÍDA 8 - SENT. BARRA - MANGUINHOS</t>
  </si>
  <si>
    <t>LINHA AMARELA - ALT. SAÍDA 9 - SENT. BARRA - MANGUINHOS</t>
  </si>
  <si>
    <t>AVENIDA BRASIL - ALT. PASSARELA 02 - SENT. Z. OESTE - SÃO CRISTÓVÃO</t>
  </si>
  <si>
    <t>AVENIDA SALVADOR ALLENDE - ALT. BRT ASA BRANCA - SENT. RECREIO - BARRA DA TIJUCA</t>
  </si>
  <si>
    <t>LINHA VERMELHA - ALT. KM 4,5 - SENT. BAIXADA - MARÉ</t>
  </si>
  <si>
    <t>AC 6 VP x MT</t>
  </si>
  <si>
    <t>AVENIDA TRINTA E UM DE MARÇO - ALT. VTO. SÃO SEBASTIÃO - SENT. CENTRO - CATUMBI</t>
  </si>
  <si>
    <t>Google Maps - Tixxi cam 771</t>
  </si>
  <si>
    <t xml:space="preserve">Av. Rei Pelé - Alt. Viaduto Oduvaldo Cozzi - Sent. Méier - Maracanã </t>
  </si>
  <si>
    <t>Google Maps / HxGN / Jarvis / Tixxi - Cam 4499</t>
  </si>
  <si>
    <t>ELEVADO DO GASÔMETRO - ALT. TERMINAL INTERMODAL GENTILEZA  - SENT. CENTRO - CAJU</t>
  </si>
  <si>
    <t>Google Maps / HxGN / Jarvis / Tixxi - Cam - 572</t>
  </si>
  <si>
    <t>ESTRADA RIO SÃO PAULO - ALT. ESTR. RIO DO A - CAMPO GRANDE</t>
  </si>
  <si>
    <t>LINHA VERMELHA - ALT. KM5 - SENT. BAIXADA - MARÉ</t>
  </si>
  <si>
    <t>Google Maps / HxGN / Jarvis / Tixxi - Cam - 112</t>
  </si>
  <si>
    <t>VIADUTO SAINT HILAIRE - SENT. CENTRO - JARDIM BOTÂNICO</t>
  </si>
  <si>
    <t>TUNEL ANTÔNIO REBOUÇAS - 1° GALERIA - SENT. LAGOA - RIO COMPRIDO</t>
  </si>
  <si>
    <t>Google Maps / HxGN / Jarvis / Tixxi - Cam - 126</t>
  </si>
  <si>
    <t xml:space="preserve">Ocorrência CBMERJ </t>
  </si>
  <si>
    <t>PONTE DA JOATINGA - SENT. SÃO CONRADO - BARRA DA TIJUCA</t>
  </si>
  <si>
    <t>AVENIDA ALBERICO DINIZ - ALT. CFAP - SENT. CENTRO - JARDIM SULACAP</t>
  </si>
  <si>
    <t>Google Maps / HxGN / Jarvis / Tixxi - Cam - 1118</t>
  </si>
  <si>
    <t xml:space="preserve"> BOULEVARD 28 DE SETEMBRO - ALT. R. SÃO FRANCISCO XAVIER, - VILA ISABEL</t>
  </si>
  <si>
    <t>RUA MISSISSIPI - ALT. N° 95 - TANQUE</t>
  </si>
  <si>
    <t xml:space="preserve">Incêndio em imóvel comercial </t>
  </si>
  <si>
    <t>AVENIDA LÚCIO COSTA - BARRA DA TIJUCA - N° 3460 - SENT. RECREIO</t>
  </si>
  <si>
    <t>Google Maps / HxGN / Jarvis / Tixxi - Cam - 406</t>
  </si>
  <si>
    <t>AVENIDA EMBAIXADOR ABELARDO BUENO - ALT. EST. BRT PARQUE OLÍMPICO - SENT. TRANSOLÍMPICA - BARRA DA TIJUCA</t>
  </si>
  <si>
    <t>Google Maps / HxGN / Jarvis / Tixxi - Cam - 4480</t>
  </si>
  <si>
    <t>VIADUTO ENGENHEIRO NORONHA - SENT. CENTRO - LARANJEIRAS</t>
  </si>
  <si>
    <t>Google Maps / HxGN / Jarvis / Tixxi - Cam - 101</t>
  </si>
  <si>
    <t>AVENIDA TRINTA E UM DE MARÇO - ALT. AV. PRESIDENTE VARGAS - SENT. SANTO CRISTO - CATUMBI</t>
  </si>
  <si>
    <t xml:space="preserve"> AVENIDA BRASIL - ALT. PASSARELA 4 - SENT. CENTRO - SÃO CRISTÓVÃO</t>
  </si>
  <si>
    <t>LINHA AMARELA - ALT. SAÍDA 06 - SENT. FUNDÃO - DEL CASTILHO</t>
  </si>
  <si>
    <t>TIXXI - Cam 4525</t>
  </si>
  <si>
    <t>Linha Vermelha - Alt. Maré - Sent. Centro</t>
  </si>
  <si>
    <t>TIXXI - CET-RIO</t>
  </si>
  <si>
    <t>TIXXI - Cam 421</t>
  </si>
  <si>
    <t>Abordagem PMERJ</t>
  </si>
  <si>
    <t>TIXXI - Cam 583</t>
  </si>
  <si>
    <t>AC VP x Murete</t>
  </si>
  <si>
    <t>Viaduto Oscar de Brito - Sent. Centro</t>
  </si>
  <si>
    <t>TIXXI - Cam 432</t>
  </si>
  <si>
    <t>Linha Vermelha - Alt. Hospital do Fundão</t>
  </si>
  <si>
    <t>AC ON x UT</t>
  </si>
  <si>
    <t>Av Brasil - Alt. Realengo - Sent. Centro</t>
  </si>
  <si>
    <t>TXXI - CET RIO - OP. CICC</t>
  </si>
  <si>
    <t>TIXXI - Cam 3174</t>
  </si>
  <si>
    <t>Av. Salvador Allende - Sent. Av Abelardo Bueno - Alt. N° 1001</t>
  </si>
  <si>
    <t>TIXXI - Cam 1669</t>
  </si>
  <si>
    <t>Av Amaro Cavalcante - Sent. Centro</t>
  </si>
  <si>
    <t>TXXI</t>
  </si>
  <si>
    <t>TIXXI - Cam 188</t>
  </si>
  <si>
    <t>Av Ministro Edgard Romero - Alt. Estação BRT Otaviano</t>
  </si>
  <si>
    <t>Google Maps / HxGN / Jarvis / Tixxi - Cam - 5284</t>
  </si>
  <si>
    <t>RUA GOIÁS - ALT. EST. PIEDADE - SENT. CENTRO - PIEDADE</t>
  </si>
  <si>
    <t>Google Maps / HxGN / Jarvis / Tixxi - Cam - 178</t>
  </si>
  <si>
    <t>AVENIDA REI PELÉ - ALT. VTO. ODUVALDO COZZI - SENT. PRAÇA DA BANDEIRA - MARACANÃ</t>
  </si>
  <si>
    <t xml:space="preserve">AVENIDA TRINTA E UM DE MARÇO - ALT. R. DR. AGRA - SENT. LARANJEIRAS </t>
  </si>
  <si>
    <t>AVENIDA AYRTON SENNA - ALT. VIA SESC - SENT. ORLA - CIDADE DE DEUS</t>
  </si>
  <si>
    <t>Google Maps / HxGN / Jarvis / Tixxi - Cam - 4708</t>
  </si>
  <si>
    <t>PRAÇA PROFESSOR JOSÉ BERNARDINO - ALT. R. ALDO BONADEI - BARRA DA TIJUCA</t>
  </si>
  <si>
    <t>Google Maps / HxGN / Jarvis / Tixxi - Cam - 1015</t>
  </si>
  <si>
    <t>RUA ARQUIAS CORDEIRO - ALT. R. PIAUÍ - ENGENHO DE DENTRO</t>
  </si>
  <si>
    <t>Google Maps / HxGN / Jarvis / Tixxi - Cam - 5681</t>
  </si>
  <si>
    <t>AVENIDA MARECHAL RONDON - ALT. R. SOUSA DANTAS - SÃO FRANCISCO XAVIER</t>
  </si>
  <si>
    <t>AVENIDA PRESIDENTE VARGAS - ALT. R. CARMO NETO - SENT. CANDELÁRIA - CENTRO</t>
  </si>
  <si>
    <t>TÚNEL ANDRÉ REBOUÇAS - ALT. PRIMEIRA GALERIA - SENT. CENTRO - COSME VELHO</t>
  </si>
  <si>
    <t>AVENIDA AYRTON SENNA - ALT. GIRO DO CEBOLINHA - SENT. ORLA - JACAREPAGUÁ</t>
  </si>
  <si>
    <t>AC CM x MT</t>
  </si>
  <si>
    <t>AVENIDA BRASIL - VTO DE DEODORO - SENT. CENTRO - DEODORO</t>
  </si>
  <si>
    <t>Google Maps / HxGN / Jarvis / Tixxi - Cam - 4413</t>
  </si>
  <si>
    <t>AC CR x CM x MT</t>
  </si>
  <si>
    <t>AVENIDA BRASIL - ALT. PASSARELA 10 - SENT. CENTRO - MANGUINHOS</t>
  </si>
  <si>
    <t>AVENIDA BORGES DE MEDEIROS - ALT. R. PROF. ABELARDO LÓBO - SENT. GÁVEA - LAGOA</t>
  </si>
  <si>
    <t>Google Maps / HxGN / Jarvis / Tixxi - Cam - 352</t>
  </si>
  <si>
    <t>RUA TEODORO DA SILVA - ALT. R. SOUSA FRANCO - VILA ISABEL</t>
  </si>
  <si>
    <t>LINHA AMARELA - ALT. SAÍDA 7 - SENT. FUNDÃO - BONSUCESSO</t>
  </si>
  <si>
    <t>RUA PINHEIRO MACHADO - ALT. Nº99 - LARANJEIRAS</t>
  </si>
  <si>
    <t>AVENIDA BRASIL - ALT. CIAMPA - SENT. CENTRO - CAMPO GRANDE</t>
  </si>
  <si>
    <t>Google Maps / HxGN / Jarvis / Tixxi - Cam - 899</t>
  </si>
  <si>
    <t>AC VP x Poste</t>
  </si>
  <si>
    <t>AVENIDA SALVADOR ALLENDE - ALT. EST. BRT ILHA PURA - SENT. RECREIO - CAMORIM</t>
  </si>
  <si>
    <t>Google Maps / HxGN / Jarvis / Tixxi - Cam - 4416</t>
  </si>
  <si>
    <t>AC CM x ON</t>
  </si>
  <si>
    <t>TRANSOLÍMPICA - ALT. EST. BRT BOIUNA - SENT. RECREIO DOS BANDEIRANTES - TAQUARA</t>
  </si>
  <si>
    <t>Google Maps / HxGN / Jarvis / Tixxi - Cam - 65</t>
  </si>
  <si>
    <t>AVENIDA DAS AMÉRICAS - ALT. AV. EVANDRO LINS E SILVA - SENT. SÃO CONRADO - BARRA DA TIJUCA</t>
  </si>
  <si>
    <t>Google Maps / HxGN / Jarvis / Tixxi - Cam - 153</t>
  </si>
  <si>
    <t>AVENIDA BRASIL - ALT. PASSARELA 28 - SENT. Z. OESTE - BARROS FILHO</t>
  </si>
  <si>
    <t>Google Maps / HxGN / Jarvis / Tixxi - Cam - 4246</t>
  </si>
  <si>
    <t xml:space="preserve">AC2 VP </t>
  </si>
  <si>
    <t>AVENIDA AMARO CAVALCANTE - ALT. R. ADRIANO - MÉIER</t>
  </si>
  <si>
    <t>Google Maps / HxGN / Jarvis / Tixxi - Cam - 1411</t>
  </si>
  <si>
    <t>AVENIDA PADRE LEONEL FRANCA - ALT. ENTRADO TÚNEL RAFAEL MASCARENHAS - SENT. SÃO CONRADO - GÁVEA</t>
  </si>
  <si>
    <t xml:space="preserve">Drone </t>
  </si>
  <si>
    <t>Enguiço VTR</t>
  </si>
  <si>
    <t>AVENIDA FRANCISCO BICALHO - ALT. LINHA FÉRREA  - SENT. CENTRO - CIDADE NOVA</t>
  </si>
  <si>
    <t>AVENIDA BRASIL - BRT VASCO DA GAMA - SENT. Z OESTE - VASCO DA GAMA</t>
  </si>
  <si>
    <t xml:space="preserve"> AVENIDA BRASIL - BRT MARINHA MERCANTE - SENT. Z OESTE - OLARIA</t>
  </si>
  <si>
    <t>LINHA VERMELHA - ALT. KM 10 - SENT. BAIXADA - GALEÃO</t>
  </si>
  <si>
    <t>Google Maps / HxGN / Jarvis / Tixxi - Cam - 649</t>
  </si>
  <si>
    <t>AVENIDA AYRTON SENNA - ALT. CIDADE DA ARTES  - SENT. LINHA AMARELA - BARRA DA TIJUCA</t>
  </si>
  <si>
    <t>Google Maps / HxGN / Jarvis / Tixxi - Cam - 4831</t>
  </si>
  <si>
    <t>AC TX x 2 VP</t>
  </si>
  <si>
    <t>AVENIDA TRINTA E UM DE MARÇO - ALT. VTO. SÃO SEBASTIÃO - SENT. AV. PRESIDENTE VARGAS - CIDADE NOVA</t>
  </si>
  <si>
    <t xml:space="preserve"> AVENIDA DOM JOÃO VI - ALT. EST, BRT MATO ALTO - SENT. SANTA CRUZ - GUARATIBA</t>
  </si>
  <si>
    <t xml:space="preserve"> PRAÇA DA REPÚBLICA - ALT. AV. PRESIDENTE VARGAS - CENTRO</t>
  </si>
  <si>
    <t>Google Maps / HxGN / Jarvis / Tixxi - Cam - 3639</t>
  </si>
  <si>
    <t>AVENIDA PASTOR MARTIN LUTHER KING JÚNIOR - ALT. EST. ENGENHO DA RAINHA - SENT. PAVUNA - ENGENHO DA RAINHA</t>
  </si>
  <si>
    <t>Google Maps / Tixxi - Cam 7161</t>
  </si>
  <si>
    <t xml:space="preserve">Estr. do Tindiba - Alt. R. Mal. José Beviláqua - Sent. Av. Nelson Cardoso - Taquara </t>
  </si>
  <si>
    <t>Google Maps / Tixxi - Cam 4099</t>
  </si>
  <si>
    <t xml:space="preserve">Av. Ayrton Senna - Alt. Uptown - Sent. Linha Amarela - Barra da Tijuca </t>
  </si>
  <si>
    <t>Google Maps / Tixxi - Cam 7501</t>
  </si>
  <si>
    <t>Tixxi - Cam 507</t>
  </si>
  <si>
    <t xml:space="preserve">Estr. do Pau-Ferro - Alt. Av. Geremário Dantas - Sent. Linha Amarela - Pechincha </t>
  </si>
  <si>
    <t>Google Maps - Tixxi - Cam 173</t>
  </si>
  <si>
    <t xml:space="preserve">Av. Brasil - Alt. Passarela 4 - Sent. Z. Oeste - Caju </t>
  </si>
  <si>
    <t>Google Maps - Tixxi - Cam 432</t>
  </si>
  <si>
    <t xml:space="preserve">Linha Vermelha - Alt. KM 7 - Sent. Centro - Cidade Universitária </t>
  </si>
  <si>
    <t xml:space="preserve">AC ON x UT </t>
  </si>
  <si>
    <t xml:space="preserve">Túnel Zuzu Angel - Sent. Lagoa - Rocinha </t>
  </si>
  <si>
    <t>Google Maps - Tixxi - Cam 472</t>
  </si>
  <si>
    <t xml:space="preserve">AC CM x MT </t>
  </si>
  <si>
    <t xml:space="preserve">Av. das Américas - Alt. Est. BRT Dom Bosco - Sent. Santa Cruz - Recreio dos Bandeirantes </t>
  </si>
  <si>
    <t xml:space="preserve">Google Maps - Tixxi - Cam 894 </t>
  </si>
  <si>
    <t xml:space="preserve">Av. das Américas - Alt. Est. BRT Notre Dame - Sent. Santa Cruz - Recreio dos Bandeirantes </t>
  </si>
  <si>
    <t xml:space="preserve">Incêndio VP </t>
  </si>
  <si>
    <t xml:space="preserve">R. Doutor Satamini - Alt. R. Domício da Gama - Tijuca </t>
  </si>
  <si>
    <t>Google Maps - Tixxi - Cam 141</t>
  </si>
  <si>
    <t xml:space="preserve">Elevado Eng. Freyssinet - Alt. Saída do Túnel Rebouças - Sent. Centro - Rio Comprido </t>
  </si>
  <si>
    <t xml:space="preserve">Google Maps - Tixxi - Cam 7234 </t>
  </si>
  <si>
    <t xml:space="preserve">Av. Borges de Medeiros - Alt. R. Afrânio de Melo - Sent. Copacabana - Lagoa </t>
  </si>
  <si>
    <t>Google Maps - Tixxi - Cam 4439</t>
  </si>
  <si>
    <t xml:space="preserve">Av.Brasil - Alt. Passarela 19 - Sent. Centro - Cordovil  </t>
  </si>
  <si>
    <t>Google Maps - Tixxi - Cam 146</t>
  </si>
  <si>
    <t>Av. Brasil - Alt. Rua Paris</t>
  </si>
  <si>
    <t>Google Maps - Tixxi - Cam 1411</t>
  </si>
  <si>
    <t>AVENIDA PADRE LEONEL FRANCA</t>
  </si>
  <si>
    <t>TIXXI - 4583</t>
  </si>
  <si>
    <t>Viaduto do Gasômetro - Alt. Rodoviária - Sent. Av Brasil</t>
  </si>
  <si>
    <t>TIXXI - Cam 648</t>
  </si>
  <si>
    <t>Av das Américas - Alt. Cidae da Música -Sent. São Conrado</t>
  </si>
  <si>
    <t>Google Maps / HxGN / Jarvis / Tixxi - Cam - 99</t>
  </si>
  <si>
    <t>AVENIDA TRINTA E UM DE MARÇO - ALT. R. FREI CANECA - SENT. LARANJEIRAS - CIDADE NOVA</t>
  </si>
  <si>
    <t>Google Maps / HxGN / Jarvis / Tixxi - Cam - 7687</t>
  </si>
  <si>
    <t>TÚNEL ANDRÉ REBOUÇAS -ALT. 2° GALERIA SENT. LAGOA - COSME VELHO</t>
  </si>
  <si>
    <t xml:space="preserve">Google Maps / HxGN / Jarvis / Tixxi </t>
  </si>
  <si>
    <t>AUTOESTRADA FERNANDO MAC DOWELL - ALT. R. GEN. OLÍMPIO MOURÃO FILHO - SENT. GÁVEA - SÃO CONRADO</t>
  </si>
  <si>
    <t>AVENIDA AYRTON SENNA - ALT. PONTE SANTOS DUMONT - SENT. LINHA AMARELA - BARRA DA TIJUCA</t>
  </si>
  <si>
    <t>Google Maps / Drone</t>
  </si>
  <si>
    <t>AVENIDA FRANCISCO BICALHO - ALT. IML - SENT. CENTRO - SANTO CRISTO</t>
  </si>
  <si>
    <t>Google Maps / HxGN / Jarvis / Tixxi - Cam - 443</t>
  </si>
  <si>
    <t>AVENIDA PASTOR MARTIN LUTHER KING JÚNIOR - ALT. RUA MARINS LOUREIRO - SENT. IRAJÁ - VICENTE DE CARVALHO</t>
  </si>
  <si>
    <t>Google Maps / HxGN / Jarvis / Tixxi - Cam - 358</t>
  </si>
  <si>
    <t>AC VTR x PV</t>
  </si>
  <si>
    <t>AVENIDA PROFESSOR MANOEL DE ABREU - ALT. R. RAD. WALDIR AMARAL - SENT. TIJUCA - MARACANÃ</t>
  </si>
  <si>
    <t>TRANSOLÍMPICA - ALT. AV. MARECHAL FONTENELE - SENT. RECREIO DOS BANDEIRANTES - JARDIM SULACAP</t>
  </si>
  <si>
    <t>TRANSOLÍMPICA</t>
  </si>
  <si>
    <t>Google Maps / HxGN / Jarvis / Tixxi - Cam - 3619</t>
  </si>
  <si>
    <t>AVENIDA PASTOR MARTIN LUTHER KING JÚNIOR - ALT. TV. BUQUIRA -  SENT. INHAÚMA- ENGENHO DA RAINHA</t>
  </si>
  <si>
    <t>LINHA AMARELA - ALT. SAÍDA TÚNEL DA COVANCA- SENT. FUNDÃO - ÁGUA SANTA</t>
  </si>
  <si>
    <t>Google Maps / HxGN / Jarvis / Tixxi - Cam - 58</t>
  </si>
  <si>
    <t>AVENIDA AYRTON SENNA - ALT. VIA PARQUE - SENT. LINHA AMARELA - BARRA DA TIJUCA</t>
  </si>
  <si>
    <t>Google Maps / HxGN / Jarvis / Tixxi - Cam - 448</t>
  </si>
  <si>
    <t>AVENIDA SALVADOR ALLENDE - ALT. EST. BRT RIOCENTRO - SENT. TRANSOLÍMPICA - BARRA DA TIJUCA</t>
  </si>
  <si>
    <t>Google Maps / HxGN / Jarvis / Tixxi - Cam - 7712</t>
  </si>
  <si>
    <t>AVENIDA AYRTON SENNA - ALT. AV. TEN-CEL. MUNIZ DE ARAGÃO - SENT. JACAREPAGUÁ - BARRA DA TIJUCA</t>
  </si>
  <si>
    <t>Google Maps / HxGN / Jarvis / Tixxi - Cam - 705</t>
  </si>
  <si>
    <t>TRANSOLÍMPICA - ALT. RUA CORRÊA SEÁRA  - SENT. RECREIO DOS BANDEIRANTES - REALENGO</t>
  </si>
  <si>
    <t>Google Maps / HxGN / Jarvis / Tixxi - Cam - 3178</t>
  </si>
  <si>
    <t>AVENIDA DAS AMÉRICAS - ALT. AV. SALVADOR ALLENDE  - SENT. SANTA CRUZ - BARRA DA TIJUCA</t>
  </si>
  <si>
    <t>Google Maps / HxGN / Jarvis / Tixxi - Cam - 482</t>
  </si>
  <si>
    <t>AVENIDA MINISTRO IVAN LINS - ALT. RUA DEODATO DE MORAES - SENT. RECREIO DOS BANDEIRANTES - BARRA DA TIJUCA</t>
  </si>
  <si>
    <t>PONTE PRESIDENTE COSTA E SILVA - ALT. VÃO CENTRAL   SENT. NITERÓI - CENTRO</t>
  </si>
  <si>
    <t>PONTE PRESIDENTE COSTA E SILVA - ALT. PEDÁGIO - SENT. NITERÓI - EXTERNO</t>
  </si>
  <si>
    <t>Google Maps / HxGN / Jarvis / Tixxi - Cam - 453</t>
  </si>
  <si>
    <t>LINHA VERMELHA - ALT. KM20 - BAIXADA - SENT. BAIXADA - PAVUNA</t>
  </si>
  <si>
    <t>Google Maps / HxGN / Jarvis / Tixxi - Cam - 3141</t>
  </si>
  <si>
    <t>AVENIDA DAS AMÉRICAS - ALT. EST. BRT BOSQUE DA BARRA - SENT. SANTA CRUZ - BARRA DA TIJUCA</t>
  </si>
  <si>
    <t>Google Maps / HxGN / Jarvis / Tixxi - Cam - 484</t>
  </si>
  <si>
    <t>AVENIDA DAS AMÉRICAS - ALT. AV. ALFREDO BALTHAZAR DA SILVEIRA - SENT. SÃO CONRADO - BARRA DA TIJUCA</t>
  </si>
  <si>
    <t>TIXXII - Cam 4541</t>
  </si>
  <si>
    <t>Av Infante Dom Henrique - Alt. Rua Jardel Jercolis - Sent. Centro</t>
  </si>
  <si>
    <t>TIXXII - Cam 5217</t>
  </si>
  <si>
    <t>AC TX X VP</t>
  </si>
  <si>
    <t>Rua Araújo de Porto Alegre x Av Graça Aranha - Cruzamento</t>
  </si>
  <si>
    <t>TIXXI - Cam 510</t>
  </si>
  <si>
    <t>AC envol VP</t>
  </si>
  <si>
    <t>TransOlimpica - Alt. Av Salvador Allende - Sent. Recreio</t>
  </si>
  <si>
    <t>TIXXI - Via Rio</t>
  </si>
  <si>
    <t>TIXXI - Cam 6134</t>
  </si>
  <si>
    <t>Av Cesário de Melo x Rua Adolfo Lemos - Cruzamento</t>
  </si>
  <si>
    <t>TIXXI - CET - RIO</t>
  </si>
  <si>
    <t>TIXXI - Cam 906</t>
  </si>
  <si>
    <t>AC MT</t>
  </si>
  <si>
    <t>Av Abelardo Bueno x Av Ayrton Senna  - Sent. Orla - P. Central</t>
  </si>
  <si>
    <t>AVENIDA PRESIDENTE CASTELO BRANCO - ALT. EST. SÃO CRISTÓVÃO - SENT. MÉIER - MARACANÃ</t>
  </si>
  <si>
    <t>LINHA VERMELHA - ALT. KM 8,5 SENT. CENTRO - GALEÃO</t>
  </si>
  <si>
    <t>AVENIDA BRASIL - ALT. PASSARELA 11 - SENT. CENTRO - RAMOS</t>
  </si>
  <si>
    <t>AVENIDA AYRTON SENNA - ALT. ESPAÇO HALL - SENT. ORLA - JACAREPAGUÁ</t>
  </si>
  <si>
    <t>ELEVADO DO GASÔMETRO - ALT. BRT INTO – SENT. CENTRO - CAJU</t>
  </si>
  <si>
    <t>ELEVADO DO GASÔMETRO - ALT. TERMINAL GENTILEZA - SENT. AV. BRASIL - SANTO CRISTO</t>
  </si>
  <si>
    <t xml:space="preserve">Google Maps - Jarvis - Alarme HXG </t>
  </si>
  <si>
    <t>AVENIDA DAS AMÉRICAS - ALT. EST. BRT PONTAL - SENT. BARRA - RECREIO DOS BANDEIRANTES</t>
  </si>
  <si>
    <t>AVENIDA AYRTON SENNA - ALT. UPTOWN - SENT. ORLA - JACAREPAGUÁ</t>
  </si>
  <si>
    <t>LINHA VERMELHA - ALT. KM 11 - SENT. CENTRO - GALEÃO</t>
  </si>
  <si>
    <t>LINHA VERMELHA - ALT. KM 12 - SENT. BAIXADA - CORDOVIL</t>
  </si>
  <si>
    <t>LINHA AMARELA - ALT. TÚNEL DA COVANCA - SENT. FUNDÃO - FREGUESIA JACAREPAGUÁ</t>
  </si>
  <si>
    <t>Googls Maps</t>
  </si>
  <si>
    <t>VIADUTO PROCURADOR JOSÉ ALVES DE MORAIS - SENT. VILA ISABEL - SAMPAIO</t>
  </si>
  <si>
    <t>VIADUTO SAINT HILAIRE - SENT. TÚNEL REBOUÇAS</t>
  </si>
  <si>
    <t>TIXXI - CAM 112</t>
  </si>
  <si>
    <t>AV. BORGES DE MEDEIROS</t>
  </si>
  <si>
    <t>TIXXI - CAM 114</t>
  </si>
  <si>
    <t>AVENIDA AYRTON SENNA - ALT. BRT VIA PARQUE</t>
  </si>
  <si>
    <t>TIXXI - CAM 58</t>
  </si>
  <si>
    <t>AVENIDA MONSENHOR FÉLIX &amp; AVENIDA PASTOR MARTIN LUTHER KING JÚNIOR - IRAJÁ</t>
  </si>
  <si>
    <t>RUA MANUEL VITORINO - ALT. R. ASSIS CARNEIRO - ENCANTADO</t>
  </si>
  <si>
    <t>LINHA VERMELHA - ALT. KM 12 - SENT. BAIXADA - GALEÃO</t>
  </si>
  <si>
    <t>AVENIDA BRASIL - ALT. VIADUTO DE LUCAS - SENT. ZONA OESTE - PARADA DE LUCAS</t>
  </si>
  <si>
    <t>Google Maps - TIXXI - Alarme HGN</t>
  </si>
  <si>
    <t>AVENIDA BRASIL - ALT. PASSARELA 9 - SENT. CENTRO - BONSUCESSO</t>
  </si>
  <si>
    <t>RUA PAULO TAPAJÓS - ALT. N° 121 - RECREIO DOS BANDEIRANTES</t>
  </si>
  <si>
    <t>ESTRADA DE JACAREPAGUÁ - ALT. 5380 - SENT. FREGUESIA - JACAREPAGUÁ</t>
  </si>
  <si>
    <t>AVENIDA BRASIL - ALT. PASSARELA 23 - SENT. CENTRO - IRAJÁ</t>
  </si>
  <si>
    <t xml:space="preserve">Atropelamento MT </t>
  </si>
  <si>
    <t>RUA JOÃO VICENTE - ALT. Nº 1089 - BENTO RIBEIRO</t>
  </si>
  <si>
    <t>AC envolv. MT</t>
  </si>
  <si>
    <t>RUA DANTE - ALT. Nº 186 - CORDOVIL</t>
  </si>
  <si>
    <t>RUA ITABIRA - ALT. EST. TREM BRÁS DE PINA - BRÁS DE PINA</t>
  </si>
  <si>
    <t>AVENIDA PAULO DE FRONTIN - ALT. JOAQUIM PALHARES - RIO COMPRIDO</t>
  </si>
  <si>
    <t>TÚNEL SANTA BÁBARA - LARANJEIRAS</t>
  </si>
  <si>
    <t>ESTRADA ADHEMAR BEBIANO - ALT. Nº275 - ENGENHO DA RAINHA</t>
  </si>
  <si>
    <t>AVENIDA BRASIL - ALT. PASSARELA 8 - SENT. CENTRO - BONSUCESSO</t>
  </si>
  <si>
    <t>Manutenção na via (Comlurb)</t>
  </si>
  <si>
    <t>AVENIDA BRASIL - ALT. EST. BRT FAZENDA BOTAFOGO - SENT. Z. OESTE - COELHO NETO</t>
  </si>
  <si>
    <t>AVENIDA BRASIL - ALT. PASSARELA 21 - SENT. CENTRO - VIGÁRIO GERAL</t>
  </si>
  <si>
    <t>AVENIDA BRASIL - ALT. MOCIDADE - SENT. CENTRO - REALENGO</t>
  </si>
  <si>
    <t>Alarme HXG</t>
  </si>
  <si>
    <t>Atropelamento ON</t>
  </si>
  <si>
    <t>RUA SÃO JANUÁRIO - ALT. N° 220 - VASCO DA GAMA</t>
  </si>
  <si>
    <t>LINHA VERMELHA - ALT. KM 6 - SENT. BAIXADA - MARÉ</t>
  </si>
  <si>
    <t>Google Maps / HxGN / Jarvis / Tixxi - Cam - 588</t>
  </si>
  <si>
    <t>RUA FELIPE CARDOSO - ALT. PRAÇA SANTA CRUZ - SENT. GUARATIBA - SANTA CRUZ</t>
  </si>
  <si>
    <t>Google Maps / HxGN / Jarvis / Tixxi - Cam - 7138</t>
  </si>
  <si>
    <t>AVENIDA GEREMÁRIO DANTAS - ALT. ESTR. DA COVANCA - SENT. PRAÇA SECA - TANQUE</t>
  </si>
  <si>
    <t>Google Maps / HxGN / Jarvis / Tixxi - Cam - 5309</t>
  </si>
  <si>
    <t>AVENIDA AMARO CAVALCANTI - ALT. VIADUTO CASTRO ALVES - SENT. MADUREIRA - MÉIER</t>
  </si>
  <si>
    <t>Google Maps / HxGN / Jarvis / Tixxi - Cam - 4584</t>
  </si>
  <si>
    <t>Google Maps / HxGN / Jarvis / Tixxi - Cam - 432</t>
  </si>
  <si>
    <t>LINHA VERMELHA - ALT. KM7 - SENT. BAIXADA - CIDADE UNIVERSITÁRIA</t>
  </si>
  <si>
    <t>Google Maps / HxGN / Jarvis / Tixxi - Cam - 104</t>
  </si>
  <si>
    <t>ELEVADO ENG. RUFINO DE A. PIZARRO - SENT. CENTRO - SÃO CRISTÓVÃO</t>
  </si>
  <si>
    <t>Google Maps / HxGN / Jarvis / Tixxi - Cam - 218</t>
  </si>
  <si>
    <t>Manuetenção na via (SMART LUZ)</t>
  </si>
  <si>
    <t>ELEVADO DO GASÔMETRO - SENT. CENTRO - CAJU</t>
  </si>
  <si>
    <t>SMART LUZ</t>
  </si>
  <si>
    <t>Google Maps / Tixxi - Cam - 4348</t>
  </si>
  <si>
    <t xml:space="preserve">AC UT x Mureta </t>
  </si>
  <si>
    <t>AVENIDA BRASIL - ALT. EST. BRT VASCO DA GAMA - SENT. CENTRO - VASCO DA GAMA</t>
  </si>
  <si>
    <t>Google Maps / HxGN / Jarvis / Tixxi - Cam - 715</t>
  </si>
  <si>
    <t>AVENIDA BRASIL - ALT. VILA MILITAR - SENT. SANTA CRUZ - DEODORO</t>
  </si>
  <si>
    <t>Google Maps / Tixxi - Cam - 234</t>
  </si>
  <si>
    <t xml:space="preserve">LINHA VERMELHA - ALT. KM 3 - SENT. CENTRO - CAJU </t>
  </si>
  <si>
    <t>Google Maps / HxGN / Jarvis / Tixxi - Cam - 4660</t>
  </si>
  <si>
    <t>AVENIDA BRASIL - ALT. EST. BRT LOBO JUNIOR - PENHA</t>
  </si>
  <si>
    <t xml:space="preserve">Av. Borges de Medeiros - Alt. Clube ADB </t>
  </si>
  <si>
    <t>Praia de Botafogo, Alt. N° 252 - Sent. Copacabana</t>
  </si>
  <si>
    <t>AC UT x BC</t>
  </si>
  <si>
    <t>Est. do Cabuçu, Alt. N° 1190</t>
  </si>
  <si>
    <t>Rua do Paraíso - Alt. N° 45 - Santa Teresa</t>
  </si>
  <si>
    <t>Google Maps / Tixxi - Cam - 432</t>
  </si>
  <si>
    <t xml:space="preserve">LINHA VERMELHA - ALT. FUNDÃO - SENT. BAIXADA </t>
  </si>
  <si>
    <t>Google Maps / HxGN / Jarvis / Tixxi - Cam - 3179</t>
  </si>
  <si>
    <t>AVENIDA SALVADOR ALLENDE - ALT. EST BRT TABEBUIAS  - SENT. ORLA - BARRA DA TIJUCA</t>
  </si>
  <si>
    <t>Google Maps / Ger. Júlio</t>
  </si>
  <si>
    <t>Av. Brasil - Alt. CIAGA - SENT. Z. OESTE</t>
  </si>
  <si>
    <t>Júlio</t>
  </si>
  <si>
    <t>Google Maps / HxGN / Jarvis / Tixxi - Cam - 4348</t>
  </si>
  <si>
    <t>AVENIDA BRASIL - ALT. BRT VASCO DA GAMA - SENT. Z.OESTE - SÃO CRISTÓVÃO</t>
  </si>
  <si>
    <t>Google Maps / HxGN / Jarvis / Tixxi - Cam - 783</t>
  </si>
  <si>
    <t>PRAÇA DINAH SILVEIRA DE QUEIRÓS - SANTO CRISTO</t>
  </si>
  <si>
    <t>Google Maps / HxGN / Jarvis / Tixxi - Cam - 3352</t>
  </si>
  <si>
    <t>AVENIDA DAS NAÇÕES UNIDAS - ALT. R. PROF. ALFREDO GOMES  - SENT. COPACABANA - BOTAFOGO</t>
  </si>
  <si>
    <t>Google Maps / HxGN / Jarvis / Tixxi - Cam - 44</t>
  </si>
  <si>
    <t>RUA JARDIM BOTÂNICO - ALT. RUA PACHECO LEÃO  - SENT. CENTRO - JARDIM BOTÂNICO</t>
  </si>
  <si>
    <t>Google Maps / HxGN / Jarvis / Tixxi - Cam - 6245</t>
  </si>
  <si>
    <t>RUA VISCONDE DE PIRAJÁ - ALT. R. MARIA QUITÉRIA - IPANEMA</t>
  </si>
  <si>
    <t>Google Maps / HxGN / Jarvis / Tixxi - Cam - 4317</t>
  </si>
  <si>
    <t>AC ON x VP</t>
  </si>
  <si>
    <t>AVENIDA BRASIL - ALT. TERMINAL GENTILEZA - SENT. CENTRO - SÃO CRISTÓVÃO</t>
  </si>
  <si>
    <t>Google Maps / HxGN / Jarvis / Tixxi - Cam - 895</t>
  </si>
  <si>
    <t>AVENIDA DAS AMÉRICAS - ALT. SAÍDA TÚNEL VICE-PRESIDENTE JOSÉ DE ALENCAR - SENT. BARRA DA TIJUCA - RECREIO DOS BANDEIRANTES</t>
  </si>
  <si>
    <t>DRONE</t>
  </si>
  <si>
    <t>Rua General Herculano Gomes</t>
  </si>
  <si>
    <t>Tixxi CAM 4431</t>
  </si>
  <si>
    <t>Av. Brasil - Alt. BRT VIgário Geral - Sent. Centro</t>
  </si>
  <si>
    <t>Tixxi CAM 329</t>
  </si>
  <si>
    <t>VP x TX</t>
  </si>
  <si>
    <t>ALt. Golfe CLube</t>
  </si>
  <si>
    <t>Google Maps - HxGN</t>
  </si>
  <si>
    <t>AVENIDA DAS AMÉRICAS - ALT. TÚNEL DA GROTA FUNDA - SENT BARRA - RECREIO DOS BANDEIRANTES</t>
  </si>
  <si>
    <t>AVENIDA BRASIL - BRT LOBO JUNIOR - SENT. CENTRO - OLARIA</t>
  </si>
  <si>
    <t>LINHA AMARELA - ALT. SAÍDA 4 - SENT. BARRA - INHAÚMA</t>
  </si>
  <si>
    <t>AVENIDA MARACANÃ - ALT. R. SÃO FRANCISCO XAVIER - MARACANÃ</t>
  </si>
  <si>
    <t>AVENIDA MARECHAL FONTENELE - ALT. ESTR. JAPORÉ - SENT. SULACAP - VILA VALQUEIRE</t>
  </si>
  <si>
    <t>AVENIDA RODRIGUES ALVES - ALT. RODOVIARIA - SENT CENTRO - SANTO CRISTO</t>
  </si>
  <si>
    <t>PRAIA DE BOTAFOGO - ALT. R. VISC. DE OURO PRETO - SENT. CENTRO - BOTAFOGO</t>
  </si>
  <si>
    <t>AVENIDA BRASIL - ALT. PASSARELA 2 - SENT. Z. OESTE - VASCO DA GAMA</t>
  </si>
  <si>
    <t>AVENIDA AYRTON SENNA - ALT. VILA DO PAN - SENT. LINHA AMARELA - JACAREPAGUÁ</t>
  </si>
  <si>
    <t>AVENIDA BRASIL - ALT. DA  PASSARELA 23   - SENT. CENTRO. - IRAJÁ</t>
  </si>
  <si>
    <t>Google Maps - Tixxi - Cam 4689</t>
  </si>
  <si>
    <t xml:space="preserve">Av. Salvador Allende - Alt. R.Abrahão Jabour - Sent. Recreio dos Bandeirantes - Barra da Tijuca </t>
  </si>
  <si>
    <t>Google Maps - Tixxi - Cam 4407</t>
  </si>
  <si>
    <t xml:space="preserve">Av. Brasil - Alt. Est. BRT Mercado São Sebastião - Sent. Z. Oeste - Brás de Pina </t>
  </si>
  <si>
    <t>Google Maps - Tixxi - Cam 1498</t>
  </si>
  <si>
    <t xml:space="preserve">R. Visconde de Santa Isabel - Alt. R. Alexandre Calaza - Sent. Engenho Novo - Vila Isabel </t>
  </si>
  <si>
    <t>Google Maps - Tixxi - Cam 421</t>
  </si>
  <si>
    <t>Google Maps - Tixxi - Cam 4413</t>
  </si>
  <si>
    <t xml:space="preserve">Av. Brasil - Alt; Est. BRT Rubens Vaz -  Sent. Centro - Ramos </t>
  </si>
  <si>
    <t xml:space="preserve">Enguiço CR </t>
  </si>
  <si>
    <t xml:space="preserve">Av. Brasil - Alt. Viaduto de Deodoro - Sent. Centro - Deodoro </t>
  </si>
  <si>
    <t>LINHA VERMELHA - ALT. KM 14 - SENT. CENTRO - CORDOVIL</t>
  </si>
  <si>
    <t>Incendio VP</t>
  </si>
  <si>
    <t>AV. REI PELÉ - ALT. AV. PROF. MANOEL DE ABREU - SENT. PRAÇA DA BANDEIRA -MARACANÃ</t>
  </si>
  <si>
    <t>AVENIDA BRASIL - ALT. PASSARELA 28 - SENT. CENTRO - COELHO NETO</t>
  </si>
  <si>
    <t>AVENIDA MARECHAL RONDON - ALT. R. MARECHAL BITTENCOURT - RIACHUELO</t>
  </si>
  <si>
    <t>Semáforo Apagado</t>
  </si>
  <si>
    <t>VIADUTO DOS FUZILEIROS - SENT. CENTRO - CIDADE NOVA</t>
  </si>
  <si>
    <t>AVENIDA BRASIL - ALT. PASSARELA 21 - SENT. Z. OESTE - VIGÁRIO GERAL</t>
  </si>
  <si>
    <t>AVENIDA SALVADOR ALLENDE - ALT. BRT CATEDRAL DO RECREIO - SENT. TRANSOLÍMPICA - BARRA DA TIJUCA</t>
  </si>
  <si>
    <t>Google Maps - Alarme HXG - Jarvis - Tixxi</t>
  </si>
  <si>
    <t>AVENIDA FRANCISCO BICALHO - ALT. UNIDOS DA TIJUCA - SENT. AV. BRASIL - SANTO CRISTO</t>
  </si>
  <si>
    <t>AVENIDA BRASIL - ALT. BRT LOBO JÚNIOR - SENT. CENTRO - PENHA</t>
  </si>
  <si>
    <t>RUA JARDIM BOTÂNICO - ALT. Nº767 -  SENT. HUMAITÁ - JARDIM BOTÂNICO</t>
  </si>
  <si>
    <t>Obra na via (Rio+)</t>
  </si>
  <si>
    <t>AVENIDA ALBERICO DINIZ - RUA PACIFÍCO PEREIRA - SENT. VILA VALQUEIRE - JARDIM SULACAP</t>
  </si>
  <si>
    <t>RIO+</t>
  </si>
  <si>
    <t>Google Maps / HxGN / Jarvis / Tixxi - Cam - 135</t>
  </si>
  <si>
    <t>AVENIDA AYRTON SENNA - ALT. GIRO DO CEBOLINHA - SENT. SENT. JACAREPAGUÁ - GARDÊNIA AZUL</t>
  </si>
  <si>
    <t>AVENIDA BRASIL - ALT. TRANSOLÍMPICA – SENT. SANTA CRUZ - DEODORO</t>
  </si>
  <si>
    <t>Google Maps / HxGN / Jarvis / Tixxi - Cam - 4522</t>
  </si>
  <si>
    <t>LINHA VERMELHA - ALT. KM 6 - BAIXADA - MARÉ</t>
  </si>
  <si>
    <t>LINHA VERMELHA - ALT. KM 8 -SENT, BAIXADA - GALEÃO</t>
  </si>
  <si>
    <t>Google Maps / HxGN / Jarvis / Tixxi - Cam - 3212</t>
  </si>
  <si>
    <t>Operção Policial</t>
  </si>
  <si>
    <t>Google Maps / HxGN / Jarvis / Tixxi - Cam - 4479</t>
  </si>
  <si>
    <t>Google Maps - Tixxi - Cam 684</t>
  </si>
  <si>
    <t xml:space="preserve">Túnel Antônio Rebouças - Alt. 2ª Galeria - Sent. Lagoa - Rio Comprido </t>
  </si>
  <si>
    <t>AVENIDA DOM JOÃO VI - ALT. BRT ILHA DE GUARATIBA - SENT. SANTA CRUZ - GUARATIBA</t>
  </si>
  <si>
    <t>LINHA VERMELHA - ALT. KM 8 - SENT. BAIXADA - CIDADE UNIVERSITÁRIA</t>
  </si>
  <si>
    <t>Google Maps / HxGN / Jarvis / Tixxi - Cam - 7740</t>
  </si>
  <si>
    <t>AVENIDA AYRTON SENNA - ALT. ESPAÇO HALL - SENT. ORLA - BARRA DA TIJUCA</t>
  </si>
  <si>
    <t>Google Maps / HxGN / Tixxi - Cam - 5697</t>
  </si>
  <si>
    <t>RUA DAS LARANJEIRAS - ALT. RUA ALICE</t>
  </si>
  <si>
    <t>Google Maps / CCO ECOPONTE</t>
  </si>
  <si>
    <t>OBRA NA VIA (ECOVIAS PONTE)</t>
  </si>
  <si>
    <t>PONTE RIO - NITEROI</t>
  </si>
  <si>
    <t>MAPS Google</t>
  </si>
  <si>
    <t>TIXXI - Cam 4246</t>
  </si>
  <si>
    <t>Rua Amaro Cavalcante Alt. Viaduto de Todos os Santos - Sent. Engenho de Dentro</t>
  </si>
  <si>
    <t>TIXXI - Cam 81</t>
  </si>
  <si>
    <t>Rua 24 de Maio Alt. Rua Barão do Bom Retiro - Sent. Meier</t>
  </si>
  <si>
    <t>TIXXI - Cam 7042</t>
  </si>
  <si>
    <t>AC MT x Árvore</t>
  </si>
  <si>
    <t>Rua Artur Rios - Alt. N° 334 - Sent. Santíssimo</t>
  </si>
  <si>
    <t>Google Maps / HxGN / Jarvis / Tixxi - Cam - 173</t>
  </si>
  <si>
    <t>AVENIDA BRASIL - ALT. PASSARELA 04 - SENT. CENTRO - BENFICA</t>
  </si>
  <si>
    <t>TIXXI - Cam 2453</t>
  </si>
  <si>
    <t>Obra na calha BRT</t>
  </si>
  <si>
    <t>Transolímpica - Alt. Estação BRT Ventura - Sent. Av Brasil</t>
  </si>
  <si>
    <t>TIXXI - ViaRio</t>
  </si>
  <si>
    <t>TIXXI - Cam 302</t>
  </si>
  <si>
    <t>Rua Marques de Olinda - Alt. Praio de Botafogo</t>
  </si>
  <si>
    <t>TIXXI - Cam 018</t>
  </si>
  <si>
    <t>Evento Cultural (Junina na Lagoa)</t>
  </si>
  <si>
    <t>Av. Borges de Medeiros - Parque dos Patins</t>
  </si>
  <si>
    <t>TIXXI - Cam 6904</t>
  </si>
  <si>
    <t>Avenida Paulo de Frontin x Rua João Paulo - Cruzamento</t>
  </si>
  <si>
    <t>TÚNEL ANDRÉ REBOUÇAS - 1ª GALERIA - SENT. CENTRO - COSME VELHO</t>
  </si>
  <si>
    <t>RUA BARÃO DE SÃO FRANCISCO - ALT. R. TORRES HOMEM - VILA ISABEL</t>
  </si>
  <si>
    <t>AVENIDA BRASIL - VTO. BARROS FILHO - SENT. Z OESTE - BARROS FILHO</t>
  </si>
  <si>
    <t>RUA SANTA CLARA - ALT. R. TONELERO - COPACABANA</t>
  </si>
  <si>
    <t>Obra na via (Águas do Rio)</t>
  </si>
  <si>
    <t>AVENIDA NILO PEÇANHA - ALT. R. DEBRET - CENTRO</t>
  </si>
  <si>
    <t>RUA CÂNDIDO BENÍCIO - ALT. R. DOUTOR BERNARDINO - SENT. TAQUARA - PRAÇA SECA</t>
  </si>
  <si>
    <t>RUA SÃO CLEMENTE - ALT. R. DAS PALMEIRAS - BOTAFOGO</t>
  </si>
  <si>
    <t>Evento - UNISUAM</t>
  </si>
  <si>
    <t>AVENIDA PARIS - FACULDADE UNISUAM - BONSUCESSO</t>
  </si>
  <si>
    <t>AVENIDA PRESIDENTE VARGAS - ALT. Nº2560 - SENT. PRAÇA DA BANDEIRA - CENTRO</t>
  </si>
  <si>
    <t>AVENIDA BRÁZ DE PINA - ALT. EST. BRT GUAPORÉ - SENT. MADUREIRA - PENHA CIRCULAR</t>
  </si>
  <si>
    <t>AVENIDA PASTOR MARTIN LUTHER KING JÚNIOR - ALT. METRO DEL CASTILHO - SENT. INHAÚMA - DEL CASTILHO</t>
  </si>
  <si>
    <t>LINHA VERMELHA - ALT. KM7 - SENT. BAIXADA - GALEÃO</t>
  </si>
  <si>
    <t>AVENIDA DOM HELDER CÂMARA - ALT. R. FERREIRA LEITE - SENT. CASCADURA - ABOLIÇÃO</t>
  </si>
  <si>
    <t>AVENIDA REI PELÉ - ALT. VTO. ODULVADO COZZI - SENT. MÉIER - MARACANÃ</t>
  </si>
  <si>
    <t>LINHA VERMELHA - ALT. KM 2 - SENT. CENTRO - CAJU</t>
  </si>
  <si>
    <t>Drone - Tixxi</t>
  </si>
  <si>
    <t>SÃO FRANCISCO XAVIER - ALT. UERJ - SENT. CENTRO - SÃO FRANCISCO XAVIER</t>
  </si>
  <si>
    <t>TUNEL ANTÔNIO REBOUÇAS - ALT. PRIMEIRA GALERIA - SENT. LAGOA - RIO COMPRIDO</t>
  </si>
  <si>
    <t>AVENIDA PROFESSOR MANOEL DE ABREU - ALT. AV. REI PELÉ - SENT. TIJUCA - MARACANÃ</t>
  </si>
  <si>
    <t>AC envolv. ON</t>
  </si>
  <si>
    <t>TRANSOLÍMPICA - ALT. ESTR. DO RIO GRANDE - SENT. DEODORO - TAQUARA</t>
  </si>
  <si>
    <t>VIARIO</t>
  </si>
  <si>
    <t>Rua Mário Ribeiro cruzamento com Av. Borges de Medeiros</t>
  </si>
  <si>
    <t>AVENIDA BORGES DE MEDEIROS</t>
  </si>
  <si>
    <t>TIXXI - Cam 3636</t>
  </si>
  <si>
    <t>Av. Pastor Marques Lutherking Jr</t>
  </si>
  <si>
    <t>RUA TEIXEIRA SOARES - ALT. Nº139 - SENT. CENTRO - MARACANÃ</t>
  </si>
  <si>
    <t>AVENIDA RODRIGUES ALVES - ALT. RODOVIÁRIA - SENT. CENTRO - SAÚDE</t>
  </si>
  <si>
    <t>LINHA AMARELA - ALT. SAÍDA 05 - SENT.  BARRA - DEL CASTILHO</t>
  </si>
  <si>
    <t>AVENIDA BRASIL - ALT. VIADUTO BATAN - SENT. CENTRO - REALENGO</t>
  </si>
  <si>
    <t>Poste com risco de queda</t>
  </si>
  <si>
    <t>RUA SÃO LUIZ GONZAGA - ALT. R. CAPITÃO FÉLIX - SENT. MARIA DA GRAÇA - BENFICA</t>
  </si>
  <si>
    <t>RIO ONIBUS</t>
  </si>
  <si>
    <t>AVENIDA BRASIL - ALT. PASSARELA 5 - SENT. CENTRO - BENFICA</t>
  </si>
  <si>
    <t>RUA SÃO LUIZ GONZAGA - ALT. R. ANA NERI - SENT. MARIA DA GRAÇA - BENFICA</t>
  </si>
  <si>
    <t>AUTOESTRADA FERNANDO MAC DOWELL - ALT. ESTR. DAS CANOAS - SENT.  LAGOA - SÃO CONRADO</t>
  </si>
  <si>
    <t>AVENIDA BORGES DE MEDEIROS - ALT. RUA JOSÉ JOAQUIM SEABRA - SENT. TÚNEL REBOUÇAS - LAGOA</t>
  </si>
  <si>
    <t>RUA GENERAL LUÍS MENDES DE MORAIS - ALT. PRAÇA DINAH SILVEIRA DE QUEIRÓS - SENT. SÃO CRISTÓVÃO - SANTO CRISTO</t>
  </si>
  <si>
    <t>Tixxi - Cam - 302</t>
  </si>
  <si>
    <t xml:space="preserve">Bolsão de água na via </t>
  </si>
  <si>
    <t>RUA MUNIZ BARRETO - ALT. R. MARQUÊS DE OLINDA - BOTAFOGO</t>
  </si>
  <si>
    <t>AVENIDA BRASIL - ALT. DA PASSARELA 6- SENT. CENTRO. - MARÉ</t>
  </si>
  <si>
    <t>Google Maps / Tixxi - Cam 4285</t>
  </si>
  <si>
    <t xml:space="preserve">R. MARQUÊS DE SÃO VICENTE - ALT. R. PROF. MANUEL FERREIRA - SENT. JARDIM BOTÂNICO - GÁVEA </t>
  </si>
  <si>
    <t>Google Maps - Tixxi - Cam 899</t>
  </si>
  <si>
    <t xml:space="preserve">AV. SALVADOR ALLENDE - ALT. EST. BRT ILHA PURA - SENT. ORLA - BARRA DA TIJUCA </t>
  </si>
  <si>
    <t>LINHA VERMELHA - ALT. KM 10 - SENT. CENTRO - GALEÃO</t>
  </si>
  <si>
    <t>TÚNEL ACÚSTICO RAFAEL MASCARENHAS - SENT. LAGOA - GÁVEA</t>
  </si>
  <si>
    <t>Google Maps / HxGN / Jarvis / Tixxi - Cam - 1696</t>
  </si>
  <si>
    <t xml:space="preserve"> AVENIDA REI PELÉ - ALT. PORTÃO 3 - SENT. MÉIER - MARACANÃ</t>
  </si>
  <si>
    <t>Google Maps / Tixxi - Cam - 3212</t>
  </si>
  <si>
    <t>Av. Ayrton Senna - Alt. Ponte Santos Dumount</t>
  </si>
  <si>
    <t>Google Maps / HxGN / Jarvis / Tixxi - Cam - 1031</t>
  </si>
  <si>
    <t>RUA VINTE E QUATRO DE MAIO - ALT. R. CÔNEGO TOBIAS - SAMPAIO</t>
  </si>
  <si>
    <t>Google Maps / Tixxi - Cam - 1031</t>
  </si>
  <si>
    <t>Rua Cândido Benício - Alt. BRT Ipase - Sent. Madureira</t>
  </si>
  <si>
    <t>Google Maps / Tixxi - Cam - 6904</t>
  </si>
  <si>
    <t>RUA JOÃO PAULO I - CRUZAMENTO COM AV. PAULO DE FRONTIN - RIO COMPRIDO</t>
  </si>
  <si>
    <t>AVENIDA JOÃO RIBEIRO - ALT. AV. PASTOR MARTIN LUTHER KING JR - SENT. INHAÚMA - TOMÁS COELHO</t>
  </si>
  <si>
    <t>AVENIDA MINISTRO EDGARD ROMERO - ALT. AV. VICENTE DE CARVALHO - SENT. IRAJÁ - VAZ LOBO</t>
  </si>
  <si>
    <t>AVENIDA VINTE DE JANEIRO - ALT. TERMINAL 2 - SENT. AEROPORTO GALEÃO - GALEÃO</t>
  </si>
  <si>
    <t>AC CM X ON</t>
  </si>
  <si>
    <t>RUA PADRE TELÊMACO - ALT. N° 172 - SENT. MÉIER - CASCADURA</t>
  </si>
  <si>
    <t>AVENIDA PRESIDENTE VARGAS - ALT. N° 2560 - SENT. PRAÇA DA BANDEIRA - CIDADE NOVA</t>
  </si>
  <si>
    <t>AC ON X MT</t>
  </si>
  <si>
    <t>ESTRADA DOS BANDEIRANTES - ALT. EST. BRT SANTA EFIGENIA - SENT. BARRA DA TIJUCA - TAQUARA</t>
  </si>
  <si>
    <t>Evento - Espaço Hall</t>
  </si>
  <si>
    <t>AVENIDA AYRTON SENNA - ALT. ESPAÇO HALL - SENT. L. AMARELA - GARDÊNIA AZUL</t>
  </si>
  <si>
    <t>AVENIDA PRESIDENTE CASTELO BRANCO - ALT. R. GENERAL CANABARRO - SENT. CENTRO - MARACANÃ</t>
  </si>
  <si>
    <t>Google Maps - Tixxi - Cam 4445</t>
  </si>
  <si>
    <t>Túnel Santa Bárbara - Alt. Sáida do túnel - Sent. Centro - Santa Teresa</t>
  </si>
  <si>
    <t>Google Maps - Tixxi - Cam 357</t>
  </si>
  <si>
    <t xml:space="preserve">Boulevard 28 Setembro - Alt. R. Gonzaga Bastos - Vila Isabel </t>
  </si>
  <si>
    <t xml:space="preserve">Linha Amarela - Alt. Saída 9D - Sent. Barra da Tijuca - Bonsucesso </t>
  </si>
  <si>
    <t>Google Maps - Tixxi - Cam 375</t>
  </si>
  <si>
    <t xml:space="preserve">Av. Dom Hélder Câmara - Alt. R. Domingos de Barros - Sent. Benfica - Del Castilho </t>
  </si>
  <si>
    <t>AC 2 VP seguido de Capotamento</t>
  </si>
  <si>
    <t xml:space="preserve">A. Pastor Martin Luther King Júnior - Alt. Est. Metrô Inhaúma - Sent. Vicente de Carvalho - Inhaúma </t>
  </si>
  <si>
    <t xml:space="preserve">Subtran </t>
  </si>
  <si>
    <t>Google maps - Tixxi - Cam 4166</t>
  </si>
  <si>
    <t>AVENIDA MAESTRO PAULO E SILVA - ALT. COND. SOLAR DA ILHA - SENT. AEROPORTO - JARDIM CARIOCA</t>
  </si>
  <si>
    <t>Google maps - Tixxi - Cam 573</t>
  </si>
  <si>
    <t xml:space="preserve">Estr. Rio do A - Alt. R. Alfredo de Morais - Sent. Av. Brasil - Campo Grande </t>
  </si>
  <si>
    <t>Google maps - Tixxi - Cam 556</t>
  </si>
  <si>
    <t xml:space="preserve">Estr. Intendente Magalhães - Alt. Estr. Japoré - Sent. Jardim Sulacap - Marechal Hermes </t>
  </si>
  <si>
    <t>VIADUTO LOURENÇO DE ABREU JORGE - ALT. LOBO JUNIOR - SENT. PENHA - PENHA CIRCULAR</t>
  </si>
  <si>
    <t>AVENIDA AYRTON SENNA - ALT. UPTOWN - SENT. LINHA AMARELA - JACAREPAGUÁ</t>
  </si>
  <si>
    <t>Incêndio CM</t>
  </si>
  <si>
    <t>AVENIDA AYRTON SENNA - ALT. VIA PARQUE - SENT. ORLA - BARRA DA TIJUCA</t>
  </si>
  <si>
    <t>RUA CONSELHEIRO GALVÃO - ALT. AV. MINISTRO EDGARD ROMERO - SENT. CASCADURA - MADUREIRA</t>
  </si>
  <si>
    <t>AVENIDA BRASIL - ALT. PASSARELA 14 - SENT. Z. OESTE - OLARIA</t>
  </si>
  <si>
    <t>ESTRADA DO TINDIBA - ALT. R. CAVIANA - SENT. PECHINCHA - TAQUARA</t>
  </si>
  <si>
    <t>AVENIDA SALVADOR ALLENDE - ALT. EST. BRT ASA BRANCA - SENT. RECREIO - JACAREPAGUÁ</t>
  </si>
  <si>
    <t>AUTOESTRADA FERNANDO MAC DOWELL - ALT. TÚNEL DE SÃO CONRADO - SENT. BARRA - SÃO CONRADO</t>
  </si>
  <si>
    <t>RUA CÂNDIDO BENÍCIO - ALT. R. ANA TELES - SENT. PRAÇA SECA - CAMPINHO</t>
  </si>
  <si>
    <t>AVENIDA VISCONDE DE ALBUQUERQUE - ALT. AV. ATAULFO ALVES - SENT. GÁVEA - LEBLON</t>
  </si>
  <si>
    <t>AVENIDA AYRTON SENNA - ALT. GIRO DO CEBOLÃO - SENT. ORLA - BARRA DA TIJUCA</t>
  </si>
  <si>
    <t>LINHA AMARELA - ALT. SAÍDA 05 - SENT. FUNDÃO - DEL CASTILHO</t>
  </si>
  <si>
    <t>LINHA VERMELHA - ALT. KM 3 - SENT. CENTRO - MARÉ</t>
  </si>
  <si>
    <t xml:space="preserve">Google Maps / Jarvis / Tixxi </t>
  </si>
  <si>
    <t>AVENIDA MARECHAL RONDON - ALT. R. MAL. BITTENCOURT - ROCHA</t>
  </si>
  <si>
    <t xml:space="preserve">Google Maps / HXG / Tixxi </t>
  </si>
  <si>
    <t>AC UT x 3 VP x 2 MT</t>
  </si>
  <si>
    <t>AVENIDA BRASIL - ALT. PASSARELA 13 - SENT. CENTRO - MARÉ</t>
  </si>
  <si>
    <t>RUA UBATUBA - ALT. EST. GUILHERME DA SILVEIRA - PADRE MIGUEL</t>
  </si>
  <si>
    <t>LINHA VERMELHA - ALT. KM 12 - BAIXADA - CORDOVIL</t>
  </si>
  <si>
    <t>AVENIDA BRASIL - ALT. DA PASSARELA 32- SENT. Z.OESTE. - GUADALUPE</t>
  </si>
  <si>
    <t>Google Maps / Tixxi</t>
  </si>
  <si>
    <t>AVENIDA BRASIL - ALT. RESTAURANTE DOS MINEIROS - SENT. CENTRO - SANTÍSSIMO</t>
  </si>
  <si>
    <t>Google Maps / HXG / Tixxi  - Cam 81</t>
  </si>
  <si>
    <t>RUA VINTE E QUATRO DE MAIO - ALT. BURACO DO PADRE - ENGENHO NOVO</t>
  </si>
  <si>
    <t>LINHA AMARELA - ALT. TÚNEL DA COVANCA - SENT. BARRA DA TIJUCA - ÁGUA SANTA</t>
  </si>
  <si>
    <t>Google Maps / HXG / Tixxi  - Cam 7740</t>
  </si>
  <si>
    <t xml:space="preserve">Google Maps / HXG / Tixxi  </t>
  </si>
  <si>
    <t>RUA CÂNDIDO BENÍCIO - ALT. R. BARÃO - SENT. TANQUE - PRAÇA SECA</t>
  </si>
  <si>
    <t>TRANSOLÍMPICA - ALT. EST. MAGALHÃES BASTOS - SENT. DEODORO - MAGALHÃES BASTOS</t>
  </si>
  <si>
    <t>AC UT X 2 VP</t>
  </si>
  <si>
    <t>AVENIDA PRESIDENTE CASTELO BRANCO - ALT. EST. SÃO CRISTÓVÃO - SENT. CENTRO - MARACANÃ</t>
  </si>
  <si>
    <t>AVENIDA BRASIL - ALT. PASSARELA 32 - SENT. CENTRO - GUADALUPE</t>
  </si>
  <si>
    <t>Evento Cultural</t>
  </si>
  <si>
    <t>AVENIDA BORGES DE MEDEIROS - ALT. PARQUE DOS PATINS - LAGOA</t>
  </si>
  <si>
    <t>AVENIDA SALVADOR DE SÁ - ALT. R. CORREIA VASQUES - ESTÁCIO</t>
  </si>
  <si>
    <t>AVENIDA AMARO CAVALCANTI - ALT. LINHA AMARELA - SENT. PIEDADE - ENGENHO DE DENTRO</t>
  </si>
  <si>
    <t>PONTE RIO - NITERÓI - ALT. VÃO CENTRAL - SENT. NITERÓI - CAJU</t>
  </si>
  <si>
    <t>LINHA AMARELA - ALT. ACESSO 8 - SENT. FUNDÃO - BONSUCESSO</t>
  </si>
  <si>
    <t>AC CM X VP</t>
  </si>
  <si>
    <t>AVENIDA BRASIL - ALT. DA PASSARELA 5 - SENT. Z.OESTE. - BENFICA</t>
  </si>
  <si>
    <t>TIXXI Cam - 5606 / 5609</t>
  </si>
  <si>
    <t>Rua 24 de Maio - Alt. Rua São Paulo</t>
  </si>
  <si>
    <t>TIXXI Cam - 4425</t>
  </si>
  <si>
    <t>Av Brasil - Alt. Estação BRT Guadalupe - Sent. Centro - P. Central</t>
  </si>
  <si>
    <t>TIXXI - Operação Av. Brasil</t>
  </si>
  <si>
    <t>Google Maps - Tixxi - Cam 1665</t>
  </si>
  <si>
    <t xml:space="preserve">Manutenção na via (SECONSERVA) </t>
  </si>
  <si>
    <t xml:space="preserve">Viaduto Cristóvão Colombo - Alt. R. José dos Reis - Em ambos os sentidos - Pilares </t>
  </si>
  <si>
    <t>Google Maps - Tixxi - Cam 837</t>
  </si>
  <si>
    <t xml:space="preserve">Av. Princesa Isabel - Alt. R. felipe de Oliveira - Sent. Orla - Copacabana </t>
  </si>
  <si>
    <t>Google Maps - Tixxi - Cam 3645</t>
  </si>
  <si>
    <t xml:space="preserve">Av. Pastor Martin Luther King Jr - Alt. Estr. Adhemar Bebiano - Sent. Irajá - Engenho da Rainha </t>
  </si>
  <si>
    <t>Google Maps - Tixxi - Cam 112</t>
  </si>
  <si>
    <t xml:space="preserve">Av. Epitácio Pessoa - Al. Av. Borges de Medeiros - Sent. Centro - Lagoa </t>
  </si>
  <si>
    <t xml:space="preserve">Av. Salvador Allende - Alt. R. Abrahão Jabour - Sent. Recreio dos Bandeirantes - Barra da Tijuca </t>
  </si>
  <si>
    <t>Google Maps - Tixxi - Cam 4431</t>
  </si>
  <si>
    <t xml:space="preserve">Av. Brasil - Alt. Est. BRT Vigário Geral - Sent. Centro - Vigário Geral </t>
  </si>
  <si>
    <t>Google Maps - Tixxi - Cam 731</t>
  </si>
  <si>
    <t>AC CM x ON x UT</t>
  </si>
  <si>
    <t xml:space="preserve">Av. Brasil - Alt. Trevo das Missões - Cordovil - Sent. Z. Oeste </t>
  </si>
  <si>
    <t>Google Maps - Tixxi - Cam 482</t>
  </si>
  <si>
    <t xml:space="preserve">Av. Ministro Ivan Lins - Alt. Ponte da Joatinga - Sent. Recreio - Barra da Tijuca </t>
  </si>
  <si>
    <t>ESTRADA DO TINDIBA - ALT. N° 845 - SENT. FREGUESIA - TAQUARA</t>
  </si>
  <si>
    <t>AVENIDA PROFESSOR MANOEL DE ABREU - ALT. R. MAXWELL - SENT. CENTRO - VILA ISABEL</t>
  </si>
  <si>
    <t>AVENIDA FRANCISCO BICALHO - ALT. LEOPOLDINA - SENT. CENTRO - PRAÇA DA BANDEIRA</t>
  </si>
  <si>
    <t>LINHA VERMELHA - ALT. KM 14,5 - SENT. CENTRO - CORDOVIL</t>
  </si>
  <si>
    <t>AVENIDA PADRE LEONEL FRANCA - ALT. PRAÇA SIBELIUS - SENT. LAGOA - GÁVEA</t>
  </si>
  <si>
    <t>AVENIDA BRASIL - VTO. BATAN - SENT. CENTRO - REALENGO</t>
  </si>
  <si>
    <t>LINHA VERMELHA - ALT. KM 8 - SENT. CENTRO - GALEÃO</t>
  </si>
  <si>
    <t>RUA VINTE E QUATRO DE MAIO - ALT. N° 411 - RIACHUELO</t>
  </si>
  <si>
    <t>ESTRADA ADHEMAR BEBIANO - ALT. N° 275 - SENT. BENFICA - DEL CASTILHO</t>
  </si>
  <si>
    <t>ESTRADA DA GÁVEA - ALT. N° 479 - SENT. SÃO CONRADO - ROCINHA</t>
  </si>
  <si>
    <t>LARGO DO MACHADO - ALT. N° 30 - CATETE</t>
  </si>
  <si>
    <t>LINHA AMARELA - ALT. SAÍDA 8, SENT. BARRA. - BONSUCESSO</t>
  </si>
  <si>
    <t>AVENIDA SALVADOR ALLENDE - ALT. N° 1001 - SENT. RECREIO - JACAREPAGUÁ</t>
  </si>
  <si>
    <t>ESTRADA RIO SÃO PAULO - ALT. N° 590 - SENT. ESTR. RIO DO A - CAMPO GRANDE</t>
  </si>
  <si>
    <t>AVENIDA PRESIDENTE VARGAS - ALT. ESTÁCIO DE SÁ - SENT. PÇA DA BANDEIRA - CENTRO</t>
  </si>
  <si>
    <t>AC ON x VTR x VP</t>
  </si>
  <si>
    <t>PRAÇA TIRADENTES - ALT. R. DA CARIOCA - CENTRO</t>
  </si>
  <si>
    <t>AC ON X POSTE</t>
  </si>
  <si>
    <t>RUA BRASILINA - ALT. N° 08 - CASCADURA</t>
  </si>
  <si>
    <t>AVENIDA DAS AMÉRICAS - ALT. BOSQUE DA BARRA - SENT. RECREIO - BARRA DA TIJUCA</t>
  </si>
  <si>
    <t>AVENIDA BORGES DE MEDEIROS - ALT. RUA MARIA ANGÉLICA - SENT. GÁVEA - LAGOA</t>
  </si>
  <si>
    <t>AVENIDA MARECHAL FONTENELE - ALT. N° 5366 - SENT. SULACAP - REALENGO</t>
  </si>
  <si>
    <t>AVENIDA DAS AMÉRICAS - ALT. BARRA SHOPPING - SENT. SÃO CONRADO - BARRA DA TIJUCA</t>
  </si>
  <si>
    <t>RUA DO CATETE - ALT. LARGO DO MACHADO - CATETE</t>
  </si>
  <si>
    <t>RUA CAROLINA MACHADO - ALT. VIADUTO BENTO RIBEIRO - SENT. MARECHAL HERMES - BENTO RIBEIRO</t>
  </si>
  <si>
    <t>ESTRADA DA BARRA DA TIJUCA - ALT. PONTE VELHA - SENT. ITANHANGÁ - BARRA DA TIJUCA</t>
  </si>
  <si>
    <t>AVENIDA MARACANÃ &amp; RUA SÃO FRANCISCO XAVIER - MARACANÃ</t>
  </si>
  <si>
    <t>AVENIDA BRÁZ DE PINA - ALT. N° 1921 - SENT. PENHA - IRAJÁ</t>
  </si>
  <si>
    <t>AVENIDA DOM HELDER CÂMARA - ALT. N° 8197 - SENT. BENFICA - PIEDADE</t>
  </si>
  <si>
    <t>RUA ESTÁCIO DE SÁ - ALT. R. HÉLIO BELTRÃO - SENT. TIJUCA - ESTÁCIO</t>
  </si>
  <si>
    <t>Tixxi - Alarme HXG</t>
  </si>
  <si>
    <t>ESTRADA DOS BANDEIRANTES - ALT. EST. BRT MERCK - SENT. TAQUARA - CURICICA</t>
  </si>
  <si>
    <t>RUA VOLUNTÁRIOS DA PÁTRIA - ALT. N° 190 - BOTAFOGO</t>
  </si>
  <si>
    <t>AC VP x Mureta</t>
  </si>
  <si>
    <t>AVENIDA TRINTA E UM DE MARÇO - ALT. R. FREI CANECA - SENT. CENTRO - CATUMBI</t>
  </si>
  <si>
    <t>RUA MARIA ANGÉLICA - ALT. R. JARDIM BOTÂNICO - SENT. LAGOA - JARDIM BOTÂNICO</t>
  </si>
  <si>
    <t>AVENIDA MARECHAL FONTENELE - ALT. PARQUE SHOPPING - SENT. VALQUEIRE - JARDIM SULACAP</t>
  </si>
  <si>
    <t>AVENIDA PASTOR MARTIN LUTHER KING JÚNIOR - ALT. N° 11856 - SENT. BAIXADA - PAVUNA</t>
  </si>
  <si>
    <t>TRANSOLÍMPICA - ALT. EST. BRT BOIUNA - SENT. RECREIO - TAQUARA</t>
  </si>
  <si>
    <t>AVENIDA BRASIL - ALT. PASSARELA 6 - SENT. CENTRO - MANGUINHOS</t>
  </si>
  <si>
    <t>AVENIDA BRASIL - ALT. PASSARELA 20 - SENT. CENTRO - PARADA DE LUCAS</t>
  </si>
  <si>
    <t>RUA PARAÍBA &amp; RUA PARÁ &amp; RUA TEIXEIRA SOARES - PRAÇA DA BANDEIRA</t>
  </si>
  <si>
    <t>Alarme HXG - Tixxi</t>
  </si>
  <si>
    <t>ESTRADA DA BARRA DA TIJUCA - ALT. PRAÇA SENADOR MELO VIANA - SENT. BARRA - ITANHANGÁ</t>
  </si>
  <si>
    <t>TRANSOLÍMPICA - ALT. EST. BRT TRANSOLÍMPICA - SENT. RECREIO - TAQUARA</t>
  </si>
  <si>
    <t>AVENIDA AYRTON SENNA - ALT. UPTOWN - SENT. ORLA - BARRA DA TIJUCA</t>
  </si>
  <si>
    <t>AC ON X UT</t>
  </si>
  <si>
    <t>AVENIDA AYRTON SENNA - ALT. ESPAÇO HALL - SENT. ORLA - GARDÊNIA AZUL</t>
  </si>
  <si>
    <t>ESTRADA DO GABINAL - ALT. N° 1935 - SENT. FREGUESIA - GARDÊNIA AZUL</t>
  </si>
  <si>
    <t>TÚNEL SANTA BÁRBARA - SENT. CENTRO - SANTA TERESA</t>
  </si>
  <si>
    <t>AC CM X MT</t>
  </si>
  <si>
    <t>AUTOESTRADA FERNANDO MAC DOWELL - ALT. ROCINHA - SENT. BARRA - SÃO CONRADO</t>
  </si>
  <si>
    <t>AVENIDA BRASIL - ALT. VIADUTO DE LUCAS SENT. ZONA OESTE - PARADA DE LUCAS</t>
  </si>
  <si>
    <t>AVENIDA BRASIL - ALT. PASSARELA 06 - SENT. CENTRO - MANGUINHOS</t>
  </si>
  <si>
    <t>AVENIDA BRASIL - ALT. EST. BRT VASCO DA GAMA - SENT. CENTRO - SÃO CRISTÓVÃO</t>
  </si>
  <si>
    <t>ESTRADA DA ÁGUA GRANDE - ALT. N° 118 - SENT. VISTA ALEGRE - IRAJÁ</t>
  </si>
  <si>
    <t>TÚNEL ANDRÉ REBOUÇAS - 2ª GALERIA - SENT. CENTRO - COSME VELHO</t>
  </si>
  <si>
    <t>AUTOESTRADA GRAJAÚ-JACAREPAGUÁ - ALT. KM 4,5 - SENT. JPA - JACAREPAGUÁ</t>
  </si>
  <si>
    <t>AVENIDA AYRTON SENNA - PONTE SANTOS DUMONT - SENT. ORLA - BARRA DA TIJUCA</t>
  </si>
  <si>
    <t>AVENIDA DAS AMÉRICAS - ALT. NOVO LEBLON - SENT. SÃO CONRADO - BARRA DA TIJUCA</t>
  </si>
  <si>
    <t>LINHA AMARELA - ALT. SAÍDA 9D - SENT. BARRA. - BONSUCESSO</t>
  </si>
  <si>
    <t>AVENIDA PASTOR MARTIN LUTHER KING JÚNIOR - ALT. ESTR. ADHEMAR BEBIANO - SENT. PAVUNA - ENGENHO DA RAINHA</t>
  </si>
  <si>
    <t>AVENIDA ARMANDO LOMBARDI - ALT. JARDIM OCEÂNICO - SENT. SÃO CONRADO - BARRA DA TIJUCA</t>
  </si>
  <si>
    <t>AVENIDA EMBAIXADOR ABELARDO BUENO - ALT. ESTAÇÃO BRT REDE SARAH - SENT. TRANSOLÍMPICA - BARRA DA TIJUCA</t>
  </si>
  <si>
    <t>TUNEL ANTÔNIO REBOUÇAS - 1° GALERIA - SENT. CENTRO - RIO COMPRIDO</t>
  </si>
  <si>
    <t>AVENIDA SALVADOR ALLENDE - ALT. R. ABRAHÃO JABOUR - SENT. RECREIO - JACAREPAGUÁ</t>
  </si>
  <si>
    <t>AVENIDA BARTOLOMEU DE GUSMÃO - ALT. N° 875 - SENT. CENTRO - SÃO CRISTÓVÃO</t>
  </si>
  <si>
    <t>Google Maps - Tixxi - Cam 4099</t>
  </si>
  <si>
    <t>Google Maps - Tixxi - Cam 4254</t>
  </si>
  <si>
    <t xml:space="preserve">Av. Amaro Cavalcanti - Alt. R. Adriano - Sent. Piedade - Méier </t>
  </si>
  <si>
    <t>Google maps e Tixxi - 78</t>
  </si>
  <si>
    <t>AVENIDA REI PELÉ - ALT. Nº223 - SENT. MÉIER - MARACANÃ</t>
  </si>
  <si>
    <t>Google Maps - Tixxi - Cam 4246</t>
  </si>
  <si>
    <t xml:space="preserve">Av. Amaro Cavalcanti - Alt. R. Adriano - Sent. PIedade - Méier </t>
  </si>
  <si>
    <t>Google Maps - Tixxi - Cam 135</t>
  </si>
  <si>
    <t xml:space="preserve">Av. Ayrton Senna - Alt. Giro do Cebolinha - Sent. Orla - Gardênia Azul </t>
  </si>
  <si>
    <t>Google Maps - Tixxi - Cam 5609</t>
  </si>
  <si>
    <t xml:space="preserve">R. Vinte e Quatro de Maio - Alt. R. Alzira Valdetaro - Sampaio </t>
  </si>
  <si>
    <t xml:space="preserve">Av. Brasil - Alt. Passarela 32 - Sent. Centro - Guadalupe </t>
  </si>
  <si>
    <t>Google Maps - Tixxi - Cam 4425</t>
  </si>
  <si>
    <t xml:space="preserve">Av. Brasil - Alt. Est. BRT Guadalupe - Sent. Z. Oeste - Guadalupe </t>
  </si>
  <si>
    <t>AVENIDA PADRE LEONEL FRANCA - ALT. PRAÇA SIBÉLIUS - AMBOS OS SENTIDOS - GÁVEA</t>
  </si>
  <si>
    <t>RUA JOSÉ DO PATROCÍNIO - ALT. R. CARUARU - GRAJAÚ</t>
  </si>
  <si>
    <t>AVENIDA BRASIL - PASSARELA 9 - SENT. CENTRO - BONSUCESSO</t>
  </si>
  <si>
    <t>ESTRADA INTENDENTE MAGALHÃES - ALT. RUA ANDRADE ARAUJO - SENT. SULACAP - CAMPINHO</t>
  </si>
  <si>
    <t>AVENIDA BRASIL - ALT. PASSARELA 15 - SENT. Z. OESTE - PENHA</t>
  </si>
  <si>
    <t>TUNEL ANTÔNIO REBOUÇAS - 2° GALERIA - SENT. LAGOA - RIO COMPRIDO</t>
  </si>
  <si>
    <t>AVENIDA REI PELÉ - ALT. AV. PROF. MANOEL DE ABREU - SENT. CENTRO - MARACANÃ</t>
  </si>
  <si>
    <t>AVENIDA FRANCISCO BICALHO - ALT. DETRAN, SENT. CENTRO - SANTO CRISTO</t>
  </si>
  <si>
    <t>TÚNEL DA JOATINGA - SENT. SÃO CONRADO - JOÁ</t>
  </si>
  <si>
    <t>Manutenção na via (AEGEA)</t>
  </si>
  <si>
    <t>AVENIDA EPITÁCIO PESSOA - ALT. N° 4956 - SENT. T. REBOUÇAS - LAGOA</t>
  </si>
  <si>
    <t>AVENIDA PASTOR MARTIN LUTHER KING JR - ALT. EST. METRÔ VICENTE DE CARVALHO - SENT. IRAJÁ - TOMÁS COELHO</t>
  </si>
  <si>
    <t>BOULEVARD VINTE E OITO DE SETEMBRO - ALT. R. SOUSA FRANCO - VILA ISABEL</t>
  </si>
  <si>
    <t>AVENIDA ENGENHEIRO CARLOS CARVALHO - ALT. ESTR. CEL. PEDRO CORREIA - SENT. AV. SALVADOR ALLENDE - BARRA DA TIJUCA</t>
  </si>
  <si>
    <t>AVENIDA TRINTA E UM DE MARÇO - ALT. SAMBÓDROMO - SENT. SANTO CRISTO - CATUMBI</t>
  </si>
  <si>
    <t>AVENIDA ALFREDO BALTHAZAR DA SILVEIRA - ALT. TERMINAL RECREIO - SENT. BARRA - BARRA DA TIJUCA</t>
  </si>
  <si>
    <t>AVENIDA BRASIL - ALT. AV. LOBO JR. - SENT. CENTRO - PENHA</t>
  </si>
  <si>
    <t>AVENIDA BRASIL - ALT. PASSARELA 10 - SENT. Z. OESTE - BONSUCESSO</t>
  </si>
  <si>
    <t>AVENIDA SALVADOR ALLENDE - ALT. EST. BRT ASA BRANCA - SENT. TRANSOLIMPICA - JACAREPAGUÁ</t>
  </si>
  <si>
    <t>AVENIDA ERNANI CARDOSO - ALT. R. BAURU - CASCADURA</t>
  </si>
  <si>
    <t>RUA EDGARD WERNECK - ALT. AV. GEREMÁRIO DANTAS - SENT. CIDADE DE DEUS - PECHINCHA</t>
  </si>
  <si>
    <t>Google Maps - Tixxi CAM 92</t>
  </si>
  <si>
    <t>AVENIDA BRASIL - ALT. PASSARELA 5 - SENT. Z.OESTE - BENFICA</t>
  </si>
  <si>
    <t>Google Maps - Tixxi CAM 482</t>
  </si>
  <si>
    <t>Lei Seca</t>
  </si>
  <si>
    <t>AVENIDA MINISTRO IVAN LINS - ALT.  AV. ÉRICO VERÍSSIMO - SENT. - BARRA DA TIJUCA</t>
  </si>
  <si>
    <t>Google Maps - Tixxi CAM 54</t>
  </si>
  <si>
    <t>AC 2 VP X MT</t>
  </si>
  <si>
    <t>AVENIDA EMBAIXADOR ABELARDO BUENO - ALT. EST. CEL. PEDRO CORREIA - SENT. TRANSOLÍMPICA</t>
  </si>
  <si>
    <t>Google Maps - Tixxi CAM 85</t>
  </si>
  <si>
    <t>ENGUIÇO ON</t>
  </si>
  <si>
    <t>RUA DIAS DA CRUZ - ALT. R. ANA BARBOSA - MÉIER</t>
  </si>
  <si>
    <t xml:space="preserve">Transolímpica - Taquara - Alt. BRT Colônia - Sent. Deodoro </t>
  </si>
  <si>
    <t xml:space="preserve">Transolímpica </t>
  </si>
  <si>
    <t>Google Maps - Tixxi - Cam 4397</t>
  </si>
  <si>
    <t xml:space="preserve">Av. Brasil - Alt. Est. BRT Marinha Mercante - Sent. Z. Oeste - Penha </t>
  </si>
  <si>
    <t>Google Maps - Tixxi - Cam 6564</t>
  </si>
  <si>
    <t xml:space="preserve">R. General Herculano Gomes - Alt. R. Alm. Baltazar - Sent. Maracanã - São Cristóvão </t>
  </si>
  <si>
    <t>Google Maps - Tixxi - Cam 493</t>
  </si>
  <si>
    <t xml:space="preserve">R. Tirol - Alt. Estr. Jacarepaguá - Sent. Grajaú - Freguesia Jacarepaguá </t>
  </si>
  <si>
    <t>Google Maps - Tixxi - Cam 422</t>
  </si>
  <si>
    <t xml:space="preserve">Av. Brasil - Alt. Linha Amarela - Sent. Centro - Maré </t>
  </si>
  <si>
    <t>Google Maps - Tixxi - Cam 704</t>
  </si>
  <si>
    <t xml:space="preserve">Transolímpica - Alt. Est. BRT Padre João Cribbin - Sent. Barra da Tijuca - Magalhães Bastos </t>
  </si>
  <si>
    <t>Google Maps - Tixxi - Cam 6842</t>
  </si>
  <si>
    <t xml:space="preserve">Av. Presidente Vargas - Alt. R. Carmo Neto - Sent. Candelária - Centro </t>
  </si>
  <si>
    <t xml:space="preserve">Av. das Américas - Alt. Est. BRT Salvador Allende - Sent. Barra da Tijuca - Recreio dos Bandeirantes </t>
  </si>
  <si>
    <t>LINHA VERMELHA - ALT. KM 13 - SENT. CENTRO - GALEÃO</t>
  </si>
  <si>
    <t>ELEVADO DO GASÔMETRO - ALT. INTO – SENT. CENTRO - CAJU</t>
  </si>
  <si>
    <t>AVENIDA ARMANDO LOMBARDI - ALT. PONTE ESTAIADA - BARRA DA TIJUCA</t>
  </si>
  <si>
    <t>Semáforos apagados</t>
  </si>
  <si>
    <t>AVENIDA MARECHAL RONDON - R. VITOR MEIRELES E R. MAL. BITTENCOURT - SAMPAIO</t>
  </si>
  <si>
    <t>AVENIDA REI PELÉ &amp; AVENIDA PROFESSOR MANOEL DE ABREU - MARACANÃ</t>
  </si>
  <si>
    <t>TÚNEL VICE PRES. JOSÉ DE ALENCAR - SENT. SANTA CRUZ - BARRA DE GUARATIBA</t>
  </si>
  <si>
    <t>AVENIDA TRINTA E UM DE MARÇO - ALT. SAÍDA DO T. SANTA BARBARA - SENT. CENTRO - CATUMBI</t>
  </si>
  <si>
    <t>AVENIDA FRANCISCO BICALHO - ALT. N° 300 - SENT. CENTRO - SÃO CRISTÓVÃO</t>
  </si>
  <si>
    <t>PRAÇA BRIGADEIRO CLÓVIS TRAVASSOS - ALT. ASSAÍ - SENT. AV. DOM HELDER CÂMARA - PILARES</t>
  </si>
  <si>
    <t>AVENIDA BRASIL - ALT. VIADUTO DE BARROS FILHO - SENT. Z. OESTE - BARROS FILHO</t>
  </si>
  <si>
    <t>AVENIDA BRASIL - ALT. PASSSARELA 21 - SENT. CENTRO - VIGÁRIO GERAL</t>
  </si>
  <si>
    <t>LINHA VERMELHA - ALT. KM  12 - SENT. BAIXADA - GALEÃO</t>
  </si>
  <si>
    <t>ESTRADA DO GALEÃO - ALT. R. MACARI - SENT. RIBEIRA - JARDIM GUANABARA</t>
  </si>
  <si>
    <t>RUA AFONSO CAVALCANTI &amp; RUA LAURA DE ARAÚJO - CIDADE NOVA</t>
  </si>
  <si>
    <t>AC 2 ON</t>
  </si>
  <si>
    <t>TRANSOLÍMPICA - ALT. EST. BRT ASA BRANCA - SENT. RECREIO - CURICICA</t>
  </si>
  <si>
    <t>PONTE RIO - NITERÓI - ALT. RETA DO CAIS - SENT. NITERÓI - CAJU</t>
  </si>
  <si>
    <t>AVENIDA BRASIL - ALT. PASSARELA 05 - SENT. CENTRO - BENFICA</t>
  </si>
  <si>
    <t>TÚNEL ACÚSTICO RAFAEL MASCARENHAS - SENT. SÃO CONRADO - GÁVEA</t>
  </si>
  <si>
    <t>AVENIDA BRASIL - ALT. PASSARELA 22 - SENT. Z. OESTE - VIGÁRIO GERAL</t>
  </si>
  <si>
    <t>AVENIDA BRASIL - ALT. PASSARELA 21 - SENT. CENTRO - PARADA DE LUCAS</t>
  </si>
  <si>
    <t>Obra na via</t>
  </si>
  <si>
    <t>RUA GENERAL CANABARRO &amp; RUA IBITURUNA - MARACANÃ</t>
  </si>
  <si>
    <t>Linha Vermelha, KM07 - Sent. Centro</t>
  </si>
  <si>
    <t>Tixxi Cam 373</t>
  </si>
  <si>
    <t>Av. Dom Helder Câmara  Alt. Rua Ferreira Leite</t>
  </si>
  <si>
    <t>Google Maps - Tixxi - Cam 45</t>
  </si>
  <si>
    <t>Manutenção na via (CONCESSIONÁRIA)</t>
  </si>
  <si>
    <t xml:space="preserve">Av. Padre Leonel Franca - Alt. R. Artur Araripe - Sent. São Conrado - Gávea </t>
  </si>
  <si>
    <t xml:space="preserve">CCO TRANSOLÍMPICA </t>
  </si>
  <si>
    <t xml:space="preserve">Av. Brasil - Alt. Linha Amarela - Sent. Centro - Bonsucesso </t>
  </si>
  <si>
    <t>Google Maps - Tixxi - Cam 3170</t>
  </si>
  <si>
    <t xml:space="preserve">Av. Ayrton Senna - Alt. Terminal Alvorada - Sent. Orla - Barra da Tijuca </t>
  </si>
  <si>
    <t>Google Maps - Tixxi - Cam 4591</t>
  </si>
  <si>
    <t xml:space="preserve">AC Envolv. VP </t>
  </si>
  <si>
    <t xml:space="preserve">R. Francisco Eugênio - Alt. Av. Francisco Bicalho - São Cristóvão </t>
  </si>
  <si>
    <t>TIXXI - Cam 153</t>
  </si>
  <si>
    <t>AVENIDA BRASIL - ALT. ESTR. JOÃO PAULO</t>
  </si>
  <si>
    <t xml:space="preserve">Av. Brasil - Alt. Est. BRT Rubens Vaz - Sent. Z. Oeste - Maré </t>
  </si>
  <si>
    <t>Google Maps - Tixxi - Cam 3692</t>
  </si>
  <si>
    <t xml:space="preserve">Av. Martin Luther King Jr - Alt. Est. Metrô Acari - Sent. Pavuna - Acari </t>
  </si>
  <si>
    <t>Google Maps - Tixxi - Cam 510</t>
  </si>
  <si>
    <t xml:space="preserve">Transolímpica - Alt. Estr. dos Bandeirantes - Sent. Recreio dos Bandeirantes - Curicica </t>
  </si>
  <si>
    <t>Google Maps - Tixxi - Cam 4479</t>
  </si>
  <si>
    <t>Google Maps - Tixxi - Cam 3285</t>
  </si>
  <si>
    <t xml:space="preserve">Estr. do Galeão - Alt. Nº 4115 - Sent. Jardim Carioca - Galeão </t>
  </si>
  <si>
    <t xml:space="preserve">AC VP x Poste seguido de capotamento </t>
  </si>
  <si>
    <t xml:space="preserve">Av. de Santa Cruz - Alt. R. Malhôa - Sent. Campo Grande - Senador Vasconcelos </t>
  </si>
  <si>
    <t>Google Maps - Tixxi - Cam 756</t>
  </si>
  <si>
    <t xml:space="preserve">Linha Amarela - Alt. Saída 7 - Sent. Ilha do Fundão - Bonsucesso </t>
  </si>
  <si>
    <t>Google Maps - Tixxi - Cam 150</t>
  </si>
  <si>
    <t xml:space="preserve">Av. Presidente Vargas - Alt. Est. Metrô Cidade Nova - Sent. Candelária - Centro </t>
  </si>
  <si>
    <t>Google Maps - Tixxi - Cam 724</t>
  </si>
  <si>
    <t xml:space="preserve">Av. Brasil - Alt. R. Luís Coutinho Cavalcanti - Sent. Centro - Guadalupe </t>
  </si>
  <si>
    <t>Google Maps - Tixxi - Cam 3174</t>
  </si>
  <si>
    <t xml:space="preserve">Av. Salvador Allende - Alt. Est. BRT Minha Praia - Sent. Recreio dos Bandeirantes - Barra da Tijuca </t>
  </si>
  <si>
    <t>Google Maps - Tixxi - Cam 5681</t>
  </si>
  <si>
    <t xml:space="preserve">Av. Marechal Rondon - Alt. R. Sousa Dantas - São Francisco Xavier </t>
  </si>
  <si>
    <t xml:space="preserve">Linha Amarela - Alt. Saída 7 - Sent. Centro - Bonsucesso </t>
  </si>
  <si>
    <t xml:space="preserve">Av. Brasil - Alt. Passarela 9 - Sent. Centro - Bonsucesso </t>
  </si>
  <si>
    <t>AVENIDA BRASIL - ALT. TRANSOLIMPICA - SENT. CENTRO - DEODORO</t>
  </si>
  <si>
    <t>Google Maps - Tixxi - Cam 480</t>
  </si>
  <si>
    <t>ESTRADA DA BARRA DA TIJUCA - ALT. PONTE ESTAIADA DA BARRA - SENT. AV. ARMANDO LOMBARDI - ITANHANGÁ</t>
  </si>
  <si>
    <t>Google Maps - Tixxi - Cam 78</t>
  </si>
  <si>
    <t>AVENIDA PRESIDENTE CASTELO BRANCO - ALT. R. SÃO FRANCISCO XAVIER - SENT. MÉIER - MARACANÃ</t>
  </si>
  <si>
    <t>Google Maps - Tixxi - Cam 136</t>
  </si>
  <si>
    <t xml:space="preserve">AC UT x Animal </t>
  </si>
  <si>
    <t>AVENIDA AYRTON SENNA - ALT. UPTOWN BARRA - SENT. LINHA AMARELA - GARDÊNIA AZUL</t>
  </si>
  <si>
    <t xml:space="preserve"> AVENIDA BRASIL - ALT. DA PASSARELA 14- SENT. Z.OESTE. - OLARIA</t>
  </si>
  <si>
    <t>LINHA VERMELHA - ALT. KM 13 - SENT. BAIXADA - CORDOVIL</t>
  </si>
  <si>
    <t>AVENIDA EMBAIXADOR ABELARDO BUENO - ALT. TERMINAL CENTRO OLÍMPICO - SENT. LINHA AMARELA - BARRA DA TIJUCA</t>
  </si>
  <si>
    <t>Google maps - Tixxi / Cam 3212</t>
  </si>
  <si>
    <t xml:space="preserve"> AVENIDA AYRTON SENNA - ALT. PONTE SANTOS DUMONT - SENT. ORLA - JACAREPAGUÁ</t>
  </si>
  <si>
    <t>Google Maps - Tixxi - Cam 6586</t>
  </si>
  <si>
    <t xml:space="preserve">Av. Prof. Manoel de Abreu - Alt. R. Maxwell - Sent; Praça da Bandeira - Maracanã </t>
  </si>
  <si>
    <t>Google Maps - Tixxi - Cam 467</t>
  </si>
  <si>
    <t xml:space="preserve">Av. das Américas - Alt. Est. BRT Riomar - Sent. Recreio dos Bandeirantes - Barra da Tijuca </t>
  </si>
  <si>
    <t>Google Maps - Tixxi - Cam 114</t>
  </si>
  <si>
    <t xml:space="preserve">Av. Borges de Medeiros - Alt. R. Batista da Costa - Sent. Túnel Rebouças - Lagoa </t>
  </si>
  <si>
    <t xml:space="preserve">Av. Lúcio Costa - Alt. Ilha 5 - Sent. Recreio dos Bandeirantes - Barra da Tijuca </t>
  </si>
  <si>
    <t>Google Maps / Tixxi - Cam 5811</t>
  </si>
  <si>
    <t>AVENIDA MERITI - ALT. AV. SÃO FÉLIX - SENT. VILA DA PENHA - VISTA ALEGRE</t>
  </si>
  <si>
    <t>Google Maps / Tixxi - Cam 4343</t>
  </si>
  <si>
    <t>AVENIDA BRIGADEIRO TROMPOWSKI - DEBAIXO DA LINHA VERMELHA - SENT. FUNDÃO - CIDADE UNIVERSITÁRIA</t>
  </si>
  <si>
    <t xml:space="preserve">TIxxi </t>
  </si>
  <si>
    <t xml:space="preserve"> LINHA VERMELHA - ALT. KM 8 - SENT. BAIXADA - GALEÃO</t>
  </si>
  <si>
    <t>Google Maps / Tixxi - Cam 234</t>
  </si>
  <si>
    <t xml:space="preserve"> LINHA VERMELHA - ALT. KM 3 - SENT. BAIXADA - CAJU</t>
  </si>
  <si>
    <t>Google Maps / Tixxi - Cam 138</t>
  </si>
  <si>
    <t>Manutenção na via (CET-RIO)</t>
  </si>
  <si>
    <t xml:space="preserve"> ELEVADO ENGENHEIRO FREYSSINET - SENT. CENTRO - RIO COMPRIDO</t>
  </si>
  <si>
    <t>Google Maps / Tixxi - Cam 589</t>
  </si>
  <si>
    <t>RUA FELIPE CARDOSO - ALT. R. GEN. OLÍMPIO - SENT. AV. BRASIL - SANTA CRUZ</t>
  </si>
  <si>
    <t>Google Maps / Tixxi - Cam 500</t>
  </si>
  <si>
    <t>AVENIDA CESÁRIO DE MELO - ALT. EST. BRT SÃO JORGE - SENT. CAMPO GRANDE - INHOAÍBA</t>
  </si>
  <si>
    <t xml:space="preserve"> LINHA VERMELHA - ALT. KM 3 - SENT. CENTRO - CAJU</t>
  </si>
  <si>
    <t>Google Maps / Tixxi - Cam 1657</t>
  </si>
  <si>
    <t>AVENIDA MARACANÃ - CRUZAMENTO COM RUA MATA MACHADO  - SENT. CENTRO - MARACANÃ</t>
  </si>
  <si>
    <t>Google Maps / Tixxi - Cam 482</t>
  </si>
  <si>
    <t>Google Maps / Tixxi - Cam 169</t>
  </si>
  <si>
    <t>AVENIDA BRASIL - ALT. PASSARELA 2 SENT. CENTRO - VASCO DA GAMA</t>
  </si>
  <si>
    <t>AVENIDA BRASIL - ALT. R. PREF. OLÍMPIO DE MELO - SENT. CENTRO - BENFICA</t>
  </si>
  <si>
    <t>Google Maps / Tixxi - Cam 764</t>
  </si>
  <si>
    <t xml:space="preserve">R. Prefeito Olímpio de Melo - Benfica - Alt. R. Sen. Bernardo </t>
  </si>
  <si>
    <t xml:space="preserve">Av. Brasil - Alt. Av. Portuária - Sent. Z. Oeste - Manguinhos </t>
  </si>
  <si>
    <t>Google Maps - Tixxi - CAM 464</t>
  </si>
  <si>
    <t xml:space="preserve">Av. Salvador Allende - Alt. Est. BRT Olof Palme - Barra Olímpica - Sent. Curicica </t>
  </si>
  <si>
    <t>Google Maps - Tixxi - CAM 473</t>
  </si>
  <si>
    <t xml:space="preserve">Av. das Américas - Alt. Est. BRT Américas Park - Sent. Recreio dos Bandeirantes - Barra da TIjuca </t>
  </si>
  <si>
    <t>Google Maps - Tixxi - CAM 3212</t>
  </si>
  <si>
    <t>Google Maps - Tixxi - CAM 4597</t>
  </si>
  <si>
    <t xml:space="preserve">Av. Brasil - Alt. Est. BRT Benfica - Sent. Centro - Maré </t>
  </si>
  <si>
    <t>AVENIDA LÚCIO COSTA - ALT. POSTO 07 - SENT. SÃO CONRADO - BARRA DA TIJUCA</t>
  </si>
  <si>
    <t>RUA CÂNDIDO BENÍCIO - ALT. R. PINTO TELES - SENT. TAQUARA - PRAÇA SECA</t>
  </si>
  <si>
    <t>AVENIDA BRASIL - ALT. EST. BRT VASCO DA GAMA - SENT. Z. OESTE - SÃO CRISTÓVÃO</t>
  </si>
  <si>
    <t>Google Maps / Tixxi - Cam 147</t>
  </si>
  <si>
    <t xml:space="preserve">AC CM x 2 VP </t>
  </si>
  <si>
    <t>AVENIDA BRASIL - ALT. PASSARELA 13 - SENT Z. OESTE. - MARÉ</t>
  </si>
  <si>
    <t>Google Maps / Tixxi - Cam 216</t>
  </si>
  <si>
    <t>AVENIDA BRASIL - ALT. ACESSO PONTE RIO NITERÓI - SENT. NITERÓI - SÃO CRISTÓVÃO</t>
  </si>
  <si>
    <t>AVENIDA BRASIL - ALT. EST. BRT BENFICA - SENT. BAIXADA - BENFICA</t>
  </si>
  <si>
    <t>Google Maps / Tixxi - Cam 3212</t>
  </si>
  <si>
    <t>Google Maps / Tixxi - Cam 1926</t>
  </si>
  <si>
    <t xml:space="preserve"> RUA DUVIVIER - COPACABANA</t>
  </si>
  <si>
    <t>Google Maps / Tixxi - Cam 59</t>
  </si>
  <si>
    <t>AVENIDA AYRTON SENNA - ALT. EST. BRT AEROPORTO DE JACAREPAGUÁ - SENT. LINHA AMARELA - BARRA DA TIJUCA</t>
  </si>
  <si>
    <t>Google Maps / Tixxi - Cam 100</t>
  </si>
  <si>
    <t>Manutenção na via (SMART LUZ)</t>
  </si>
  <si>
    <t>AVENIDA TRINTA E UM DE MARÇO - SENT. LARANJEIRAS - CATUMBI</t>
  </si>
  <si>
    <t>Maps - Tixxi</t>
  </si>
  <si>
    <t xml:space="preserve"> AVENIDA DAS AMÉRICAS - ALT. N° 11889 - SENT. RECREIO - BARRA DA TIJUCA</t>
  </si>
  <si>
    <t>LARGO DOS LEÕES - ALT. Nº 40 - HUMAITÁ</t>
  </si>
  <si>
    <t xml:space="preserve">ENGUIÇO CM </t>
  </si>
  <si>
    <t>TÚNEL ACÚSTICO RAFAEL MASCARENHAS</t>
  </si>
  <si>
    <t>AC UT X TX X VP</t>
  </si>
  <si>
    <t>AVENIDA AYRTON SENNA - ALT. DESCIDA DA LINHA AMARELA - SENT. ORLA - CIDADE DE DEUS</t>
  </si>
  <si>
    <t>LAMSA - CET-RIO</t>
  </si>
  <si>
    <t>AVENIDA PRESIDENTE VARGAS - ALT. PÇA DA REPÚBLICA - SENT. CANDELÁRIA - CENTRO</t>
  </si>
  <si>
    <t>ENGUIÇO UT</t>
  </si>
  <si>
    <t xml:space="preserve"> AVENIDA FRANCISCO BICALHO - ALT. TREVO DAS FORÇAS ARMADAS - SENT. AV. BRASIL - SANTO CRISTO</t>
  </si>
  <si>
    <t>TRANSOLÍMPICA - ALT. EST. BRT PADRE JOÃO CRIBBIN - MAGALHÃES BASTOS</t>
  </si>
  <si>
    <t>AC ON X TX</t>
  </si>
  <si>
    <t>AVENIDA BRASIL - ALT. TREVO DAS MISSÕES - SENT. Z. OESTE - CORDOVIL</t>
  </si>
  <si>
    <t>BR T- CET-RIO</t>
  </si>
  <si>
    <t>Rua Felipe Cardoso, sentido Guaratiba</t>
  </si>
  <si>
    <t xml:space="preserve">Google Maps - Tixxi - CAM 234 </t>
  </si>
  <si>
    <t xml:space="preserve">Linha Vermelha - Alt. KM 3 - Sent. Centro - Caju </t>
  </si>
  <si>
    <t xml:space="preserve">Linha Vermelha - Alt. KM 1 - Sent. Centro - São Cristóvão </t>
  </si>
  <si>
    <t>Tixxi - CAM 5395</t>
  </si>
  <si>
    <t xml:space="preserve">AC 2 ON x VP </t>
  </si>
  <si>
    <t xml:space="preserve">Av. Presidente Vargas - Alt. Est. Metrô Cidade Nova - Sent. Praça da Bandeira - Cidade Nova </t>
  </si>
  <si>
    <t>Google Maps - Tixxi - CAM 434</t>
  </si>
  <si>
    <t xml:space="preserve">Av. Brasil - Alt. R. Tiboim - Sent. Centro - Penha </t>
  </si>
  <si>
    <t xml:space="preserve">Google Maps - Tixxi - CAM 434 </t>
  </si>
  <si>
    <t xml:space="preserve">Av. Brasil - Alt. R. do Alpiste - Sent. Z. Oeste - Penha </t>
  </si>
  <si>
    <t>Googles Maps - Tixxi - CAM 259</t>
  </si>
  <si>
    <t xml:space="preserve">Av. Borges de Medeiros - Alt. R. 2 - Sent. Gávea - Lagoa </t>
  </si>
  <si>
    <t>Google Maps - Tixxi - CAM 6610</t>
  </si>
  <si>
    <t xml:space="preserve">R. Manoel Vitorino - Alt. R. Assis Carneiro - Piedade </t>
  </si>
  <si>
    <t>Google Maps - Tixxi - CAM 178</t>
  </si>
  <si>
    <t xml:space="preserve">AC VP x Mureta seguido de capotamento </t>
  </si>
  <si>
    <t xml:space="preserve">Av. Presidente Castelo Branco - Alt. Viaduto Oduvaldo Cozzi - Sent. Méier - Maracanã </t>
  </si>
  <si>
    <t>Google Maps - Tixxi - CAM 715</t>
  </si>
  <si>
    <t xml:space="preserve">Tombamento VP </t>
  </si>
  <si>
    <t xml:space="preserve">Av. Brasil - Alt. Parque Olímpico de Deodoro - Sent. Santa Cruz - Vila Militar </t>
  </si>
  <si>
    <t>Google Maps - Tixxi - CAM 7237</t>
  </si>
  <si>
    <t xml:space="preserve">Ocorrência Policial </t>
  </si>
  <si>
    <t xml:space="preserve">Av. Presidente Vargas - Alt. Sambódromo - Sent. Candelária - Centro </t>
  </si>
  <si>
    <t>Google Maps - Tixxi - CAM 549</t>
  </si>
  <si>
    <t xml:space="preserve">Av. Brasil - Alt. Av. Dra Maria Estrela - Sent. Santa Cruz - Bangu </t>
  </si>
  <si>
    <t xml:space="preserve">RUA TEIXEIRA SOARES - MARACANÃ - ALT. GALETO BANDIERA - SENT. CENTRO </t>
  </si>
  <si>
    <t>Cet-Rio</t>
  </si>
  <si>
    <t>INCÊNDIO EM VP</t>
  </si>
  <si>
    <t xml:space="preserve">LINHA VERMELHA - GALEÃO - ALT. KM 9 - SENT. CENTRO </t>
  </si>
  <si>
    <t>Tixxi - CAM 482</t>
  </si>
  <si>
    <t>AVENIDA MINISTRO IVAN LINS - BARRA DA TIJUCA - ALT. PONTE DA JOATINGA - SENT. RECREIO</t>
  </si>
  <si>
    <t>TRANSOLÍMPICA - TAQUARA - ALT. EST. BRT COLÔNIA - SENT. RECREIO</t>
  </si>
  <si>
    <t>Av. Padre Leonel Franca sent. Barra da Tijuca</t>
  </si>
  <si>
    <t>Google Maps - Tixxi - CAM 7808</t>
  </si>
  <si>
    <t xml:space="preserve">Estr. do Monteiro - Alt. Estr. Iaraquã - Sent. Senador Vasconcelos - Campo Grande </t>
  </si>
  <si>
    <t>Goofle Maps - Tixxi -  CAM 5907</t>
  </si>
  <si>
    <t>ATROPELAMENTO VP</t>
  </si>
  <si>
    <t>Av. Brasil - Alt Cemitério do Caju - Sent. Centro - Caju</t>
  </si>
  <si>
    <t>Cet-rio</t>
  </si>
  <si>
    <t>Google Maps - Tixxi - CAM 114</t>
  </si>
  <si>
    <t xml:space="preserve">AC VP x Árvore </t>
  </si>
  <si>
    <t xml:space="preserve">Av. Lúcio Costa - Alt. Nº 3200 - Sent. Recreio - Barra da Tijuca </t>
  </si>
  <si>
    <t>Google Maps - Tixxi - CAM 2422</t>
  </si>
  <si>
    <t>AVENIDA SALVADOR ALLENDE - ALT. BRT MINHA PRAIA - SENT. RECREIO - BARRA DA TIJUCA</t>
  </si>
  <si>
    <t xml:space="preserve">R. Doutor Satamini - Alt. Est. Metrô Afonso Pena - Tijuca </t>
  </si>
  <si>
    <t>Google Maps - Tixxi - CAM 234</t>
  </si>
  <si>
    <t>LINHA VERMELHA - ALT. KM3 - SENT. BAIXADA - CAJU</t>
  </si>
  <si>
    <t>Google Maps - Tixxi - CAM 375</t>
  </si>
  <si>
    <t xml:space="preserve">Av. Dom Hélder Câmara - Alt. Estr. Adhemar Bebiano - Sent. Linha Amarela - Del Castilho </t>
  </si>
  <si>
    <t xml:space="preserve">Elevado Freyssinet - Sent. Centro - Rio Comprido </t>
  </si>
  <si>
    <t>Google Maps - Tixxi - CAM 135</t>
  </si>
  <si>
    <t xml:space="preserve">Av. Ayrton Senna - Alt. Giro do Cebolinha - Sent. Linha Amarela - Gardênia Azul </t>
  </si>
  <si>
    <t>Google Maps - Tixxi - CAM 4214</t>
  </si>
  <si>
    <t>AC VP x CR</t>
  </si>
  <si>
    <t xml:space="preserve">Av. Brasil - Alt. R. Eduardo Luís Lopes - Sent. Centro - Caju </t>
  </si>
  <si>
    <t>ESTRADA DO COLÉGIO - ALT. AV. PASTOR MARTIN LUTHER KING - SENT. IRAJÁ - COLÉGIO</t>
  </si>
  <si>
    <t>AC VP x Árvore</t>
  </si>
  <si>
    <t>AVENIDA BRASIL - ALT. PASSARELA 30 - SENT. CENTRO - GUADALUPE</t>
  </si>
  <si>
    <t>AVENIDA TRINTA E UM DE MARÇO - ALT. SAMBÓDROMO - SENT. SANTO CRISTO - SANTO CRISTO</t>
  </si>
  <si>
    <t>RUA DO RUSSEL - ALT. AV. BEIRA MAR - GLÓRIA</t>
  </si>
  <si>
    <t>ESTRADA DA ÁGUA GRANDE - ALT. R. FLORÂNIA - SENT. CORDOVIL - VISTA ALEGRE</t>
  </si>
  <si>
    <t>AVENIDA EPITÁCIO PESSOA - ALT. Nº 2030 - SENT. COPACABANA - LAGOA</t>
  </si>
  <si>
    <t>ESTRADA DA BARRA DA TIJUCA - ALT. MARINA BARRA CLUBE - SENT. ALTO DA BOA VISTA - BARRA DA TIJUCA</t>
  </si>
  <si>
    <t>AVENIDA DAS AMÉRICAS - ALT. ESTR. BENVINDO DE NOVAES - SENT. BARRA DA TIJUCA - RECREIO DOS BANDEIRANTES</t>
  </si>
  <si>
    <t>RUA VINTE E QUATRO DE MAIO - ALT. R. GREGÓRIO NEVES - ENGENHO NOVO</t>
  </si>
  <si>
    <t>AC ON x VP seguido de incêndio</t>
  </si>
  <si>
    <t>AVENIDA ALFREDO BALTHAZAR DA SILVEIRA - ALT. R. AGENOR RABELLO - RECREIO DOS BANDEIRANTES</t>
  </si>
  <si>
    <t>AVENIDA DOM JOÃO VI - ALT. Nº 753 - SENT. BARRA DA TIJUCA - GUARATIBA</t>
  </si>
  <si>
    <t>ELEVADO ENG. RUFINO DE A. PIZARRO - SENT. TUNEL REBOUÇAS - SÃO CRISTÓVÃO</t>
  </si>
  <si>
    <t>LINHA AMARELA - ALT. SAÍDA 9A - SENT. BARRA - BONSUCESSO</t>
  </si>
  <si>
    <t>ESTRADA DO PAU-FERRO - ALT. Nº 647 - SSENT. PECHINCHA - FREGUESIA JACAREPAGUÁ</t>
  </si>
  <si>
    <t>LINHA VERMELHA - ALT. KM 8 - SENT. CENTRO - CIDADE UNIVERSITÁRIA</t>
  </si>
  <si>
    <t>Evento Religioso</t>
  </si>
  <si>
    <t>RUA VISCONDE DE PIRAJÁ - IPANEMA</t>
  </si>
  <si>
    <t>MAPS - CAM 4591</t>
  </si>
  <si>
    <t>AV. FRANCISCO BICALHO - ALT. R. FRANCISCO EUGÊNIO - SENT. CENTRO</t>
  </si>
  <si>
    <t>MAPS - CAM 3740</t>
  </si>
  <si>
    <t>AV. FRANCISCO BICALHO - ALT. LINHA FÉRREA  - SENT. CENTRO</t>
  </si>
  <si>
    <t>MAPS - TIXXI - ALARMES</t>
  </si>
  <si>
    <t>ENGUIÇO CM</t>
  </si>
  <si>
    <t>TRANSOLÍPICA - ALT. VILA MILITAR  - SENT. RECREIO</t>
  </si>
  <si>
    <t>TRANSOLÍPICA - ALT. DO TÚNEL  - SENT. RECREIO</t>
  </si>
  <si>
    <t>CONCESSIONÁRIA</t>
  </si>
  <si>
    <t>ESTRADA DO GALEÃO - ALT. ESTR DAS CANÁRIAS - SENT. PORTUGUESA</t>
  </si>
  <si>
    <t>AV AUGUSTO SEVERO - ALT. PRAÇA PARIS - SENT. BOTAFOGO</t>
  </si>
  <si>
    <t xml:space="preserve">MAPS </t>
  </si>
  <si>
    <t>LINHA AMARELA - ALT. SAÍDA 9A - SENT. BARRA DA TIJUCA - MANGUINHOS</t>
  </si>
  <si>
    <t>AVENIDA BRASIL - ALT. DA PASSARELA 21A- SENT. CENTRO - VIGÁRIO GERAL</t>
  </si>
  <si>
    <t xml:space="preserve">QUEDA MT </t>
  </si>
  <si>
    <t>LINHA AMARELA - ALT. CIDADE DE DEUS - SENT. BARRA - CIDADE DE DEUS</t>
  </si>
  <si>
    <t>Alarme Hexagon</t>
  </si>
  <si>
    <t>ESTRADA MARECHAL ALENCASTRO - ALT. VIADUTO DE SÃO CRISTÓVÃO - SENT. AV. BRASIL - DEODORO</t>
  </si>
  <si>
    <t xml:space="preserve">AC ENVOL. UT </t>
  </si>
  <si>
    <t>AVENIDA AMARO CAVALCANTI - ALT. VIADUTO DE TODOS OS SANTOS - SENT. MEIER - TODOS OS SANTOS</t>
  </si>
  <si>
    <t>AVENIDA MINISTRO EDGARD ROMERO - ALT. Nº 217 - MADUREIRA</t>
  </si>
  <si>
    <t>OCORRÊNCIA CBMERJ</t>
  </si>
  <si>
    <t>ESTRADA DA CAROBA - ALT. Nº 1055 - SENT. AV. BRASIL - CAMPO GRANDE</t>
  </si>
  <si>
    <t>AVENIDA DAS AMÉRICAS - BARRA DA TIJUCA - ALT. EST. BRT BOSQUE MARAPENDI - SENT. SÃO CONRADO</t>
  </si>
  <si>
    <t>AV. BRASIL - ALT. CPOR - SENT. Z. OESTE</t>
  </si>
  <si>
    <t>MAPS TIXXI</t>
  </si>
  <si>
    <t>LINHA AMARELA - ALT. TUNEL DA COVANCA - SENT. FUNDÃO</t>
  </si>
  <si>
    <t>LINHA AMARELA - ALT. ACESSO 8 - SENT. FUNDÃO</t>
  </si>
  <si>
    <t>INCÊNDIO VP</t>
  </si>
  <si>
    <t>AV RODRIGO OTÁVIO - ALT PRAÇA SIBELIUS</t>
  </si>
  <si>
    <t>AC UT x TX x  VP</t>
  </si>
  <si>
    <t>AV BRASIL- ALT. INTO - SENT. Z. OESTE</t>
  </si>
  <si>
    <t xml:space="preserve">Linha Vermelha - Alt. KM 5,5 - Sent. Baixada - Cidade universitária </t>
  </si>
  <si>
    <t>Google Maps - Tixxi - CAM 58</t>
  </si>
  <si>
    <t xml:space="preserve">Av. Ayrton Senna - Alt. Est. BRT Aeroporto Jacarepaguá - Sent. Linha Amarela - Barra da Tijuca </t>
  </si>
  <si>
    <t xml:space="preserve">AC Envol. MT </t>
  </si>
  <si>
    <t xml:space="preserve">Elevado Eng. Freyssinet - Sent. Praça da Bandeira - Rio Comprido </t>
  </si>
  <si>
    <t>Google Maps - Tixxi - CAM 673</t>
  </si>
  <si>
    <t xml:space="preserve">TÚNEL ANDRÉ REBOUÇAS - ALT. PRIMEIRA GALERIA - SENT. CENTRO - COSME VELHO
</t>
  </si>
  <si>
    <t>Google Maps - Tixxi - CAM 3165</t>
  </si>
  <si>
    <t xml:space="preserve">Av. Embaixador Abelardo Bueno - Alt. Terminal Centro Olímpico - Sent. Av. Salvador Allende - Barra da Tijuca </t>
  </si>
  <si>
    <t>Google Maps - Tixxi - CAM 1400</t>
  </si>
  <si>
    <t xml:space="preserve">Av. das Nações Unidas - Alt. R. Prof. Alfredo Gomes - Sent. Copacabana  - Botafogo </t>
  </si>
  <si>
    <t>Google Maps - Tixxi - CAM 4833</t>
  </si>
  <si>
    <t xml:space="preserve">AC UT x Poste </t>
  </si>
  <si>
    <t xml:space="preserve">Rua da América - Alt. Praça Santo Cristo - Santo Cristo </t>
  </si>
  <si>
    <t>Google Maps - Tixxi - CAM 112</t>
  </si>
  <si>
    <t xml:space="preserve">Viaduto Saint Hilaire - Alt. Túnel Rebouças - Sent. Centro - Jardim Botânico </t>
  </si>
  <si>
    <t>Google Maps - Tixxi - CAM 2445</t>
  </si>
  <si>
    <t xml:space="preserve">Transolímpica - Alt. Est. BRT Marechal Fontenelle - Sent. Barra da Tijuca - Jardim Sulacap </t>
  </si>
  <si>
    <t>Waze - Tixxi</t>
  </si>
  <si>
    <t>Linha Amarela - Alt. Av dos democráticos - Sent. Fundão</t>
  </si>
  <si>
    <t>ENGUIÇO VP</t>
  </si>
  <si>
    <t>AVENIDA AYRTON SENNA - ALT. HOSP. LOURENÇO JORGE - SENT. L. AMARELA - BARRA DA TIJUCA</t>
  </si>
  <si>
    <t>AUTOESTRADA FERNANDO MAC DOWELL - ALT. GOLF VLUB - SENT. LAGOA - SÃO CONRADO</t>
  </si>
  <si>
    <t>ESTRADA DO PAU-FERRO - ALT. LINHA AMARELA - SENT. ESTR. DOS TRÊS RIOS - FREGUESIA JACAREPAGUÁ</t>
  </si>
  <si>
    <t>ESTRADA DO MENDANHA - ALT. WEST SHOPPING - SENT. GUARATIBA - CAMPO GRANDE</t>
  </si>
  <si>
    <t>AVENIDA DAS AMÉRICAS - ALT. EST. BRT PEDRA DE ITAÚNA - SENT. Z. OESTE - BARRA DA TIJUCA</t>
  </si>
  <si>
    <t xml:space="preserve">Ac 2 VP </t>
  </si>
  <si>
    <t>AVENIDA DAS AMÉRICAS - ALT. CIDADES DAS ARTES - SENT. SANTA CRUZ - BARRA DA TIJUCA</t>
  </si>
  <si>
    <t xml:space="preserve">AC VP x VTR seguido de capotamento </t>
  </si>
  <si>
    <t xml:space="preserve">L. Vermelha - Alt. KM 2,5 - Sent. Centro - Caju </t>
  </si>
  <si>
    <t xml:space="preserve">Av. Lúcio Costa - Alt. Reserva - Sent. Campo Grande - Recreio dos Bandeirantes </t>
  </si>
  <si>
    <t>Google Maps - Tixxi - CAM 5591</t>
  </si>
  <si>
    <t xml:space="preserve">AV. Vinte e Quatro de Maio - Alt. Nº 29 - São Francisco Xavier </t>
  </si>
  <si>
    <t>Google Maps - Tixxi - CAM 6130</t>
  </si>
  <si>
    <t xml:space="preserve">Av. Pastor Martin Luther King Jr - Alt. Est. Metrô Vicente de Carvalho - Sent. Irajá - Vicente de Carvalho </t>
  </si>
  <si>
    <t xml:space="preserve">Google Maps - Tixxi - CAM 4413 </t>
  </si>
  <si>
    <t>Google Maps - Tixxi - CAM 37</t>
  </si>
  <si>
    <t xml:space="preserve">Estr. do Galeão - Alt. Base Aérea - Sent. Linha Vermelha - Galeão </t>
  </si>
  <si>
    <t>Google Maps - Tixxi - CAM 45</t>
  </si>
  <si>
    <t xml:space="preserve">Av. Padre Leonel Franca - Alt. R. Prof. Manuel Ferreira - Em ambos os sentidos - Gávea </t>
  </si>
  <si>
    <t>Google Maps - Tixxi - CAM 7297</t>
  </si>
  <si>
    <t xml:space="preserve">Autoestrada Eng. Fernando Mac Dowell - Alt. R. Henrique Midosi - Sent, Gávea - São Conrado </t>
  </si>
  <si>
    <t>Manutenção na via (Concessionária)</t>
  </si>
  <si>
    <t xml:space="preserve">Ponte Rio - Niterói - Alt. Porto - Sent. Niterói - Caju </t>
  </si>
  <si>
    <t xml:space="preserve">CCO ECOPONTE </t>
  </si>
  <si>
    <t xml:space="preserve">Linha Amarela - Alt. Saída 9A - Sent. Fundão - Bonsucesso </t>
  </si>
  <si>
    <t>Google Maps - Tixxi - CAM 3646</t>
  </si>
  <si>
    <t>ENGUIÇO CR</t>
  </si>
  <si>
    <t>ESTRADA BENVINDO DE NOVAES - ALT. AMÉRICAS SHOPPING - SENT. ORLA - RECREIO DOS BANDEIRANTES</t>
  </si>
  <si>
    <t>SUBTRAN</t>
  </si>
  <si>
    <t>TRANSOLÍMPICA - ALT. EST. BRT LEILA DINIZ - SENT. RECREIO DOS BANDEIRANTES - CURICICA</t>
  </si>
  <si>
    <t>PRAÇA DA BANDEIRA &amp; RUA TEIXEIRA SOARES - SENT. CENTRO - PRAÇA DA BANDEIRA</t>
  </si>
  <si>
    <t>RUA VOLUNTÁRIOS DA PÁTRIA - ALT. N°402 - BOTAFOGO</t>
  </si>
  <si>
    <t>LINHA AMARELA - ALT. SAÍDA 07 - SENT FUNDÃO - BONSUCESSO</t>
  </si>
  <si>
    <t>TUNEL MARTIM DE SÁ - SENT. CENTRO - CATUMBI</t>
  </si>
  <si>
    <t xml:space="preserve">AUTOESTRADA FERNANDO MAC DOWELL - SÃO CONRADO - AGULHA DE SAÍDA DA ESTRADA DA GÁVEA </t>
  </si>
  <si>
    <t xml:space="preserve"> PONTE PRESIDENTE COSTA E SILVA - ALT. RETA DO CAIS - SENT. NITEROI - CAJU</t>
  </si>
  <si>
    <t>Goofle Maps - Tixxi - CAM 4404</t>
  </si>
  <si>
    <t>AVENIDA BRASIL - ALT. DA PASSARELA 7 - SENT. CENTRO. - BONSUCESSO</t>
  </si>
  <si>
    <t>AVENIDA AYRTON SENNA - ALT. Nº3383 - SENT. ORLA - BARRA DA TIJUCA</t>
  </si>
  <si>
    <t>Goofle Maps - Tixxi - CAM 4416</t>
  </si>
  <si>
    <t>PONTE PRESIDENTE COSTA E SILVA - ALT. RETA DO CAIS - SENT. NITEROI - CAJU</t>
  </si>
  <si>
    <t>Google Maps - Alarme HXG - Tixxi - Cam 1381</t>
  </si>
  <si>
    <t xml:space="preserve"> AVENIDA MINISTRO IVAN LINS - ALT. R. ARMANDO COELHO DE FREITAS - SENT. SÃO CONRADO - BARRA DA TIJUCA</t>
  </si>
  <si>
    <t>Google Maps - Alarme HXG - Tixxi - Cam1016</t>
  </si>
  <si>
    <t>RUA PROFESSOR ARLINDO RODRIGUES - ALT. CIDADE DO SAMBA - SENT. CENTRO - SANTO CRISTO</t>
  </si>
  <si>
    <t>Google Maps - Alarme HXG - Tixxi - Cam 5592</t>
  </si>
  <si>
    <t>RUA VINTE E QUATRO DE MAIO - ALT. R. GEN. RODRIGUES - ROCHA</t>
  </si>
  <si>
    <t>ESTRADA DA PEDRA - ALT Nº 2243 - SENT. GUARATIBA - SANTA CRUZ</t>
  </si>
  <si>
    <t>AC VP X POSTE</t>
  </si>
  <si>
    <t xml:space="preserve">AVENIDA PASTOR MARTIN LUTHER KING JÚNIOR - INHAÚMA - ALT. R. FRANCISCO SIQUEIRA - SENT. PAVUNA </t>
  </si>
  <si>
    <t>Google Maps - Alarme HXG - CAM 184</t>
  </si>
  <si>
    <t>AC CM X UT</t>
  </si>
  <si>
    <t>AVENIDA VICENTE DE CARVALHO - ALT. PRAÇA MARCO AURÉLIO -SENT. PENHA - PENHA CIRCULAR</t>
  </si>
  <si>
    <t>AC 2 VP X POSTE</t>
  </si>
  <si>
    <t>RUA MÁRIO RIBEIRO - ALT. Nº 410 - SENT. SÃO CONRADO - LAGOA</t>
  </si>
  <si>
    <t>Google Maps - Alarme HXG - CAM 377</t>
  </si>
  <si>
    <t>AVENIDA MARECHAL RONDON - ALT. R. ANTUNES GARCIA - SAMPAIO</t>
  </si>
  <si>
    <t>TRANSOLÍMPICA - ALT. EST. BRT PADRE JOÃO CRIBBIN - SENT. RECREIO - MAGALHÃES BASTOS</t>
  </si>
  <si>
    <t>Concessionária</t>
  </si>
  <si>
    <t>ESTRADA RIO DO A - ALT. R. CAMPOS ELÍSIOS - SENT. GUARATIBA - CAMPO GRANDE</t>
  </si>
  <si>
    <t>Google Maps - Alarme HXG - CAM 607</t>
  </si>
  <si>
    <t>AC ENVOL. CM</t>
  </si>
  <si>
    <t>AVENIDA MINISTRO IVAN LINS - ALT. DO LIMITADOR - SENT. SÃO CONRADO - BARRA DA TIJUCA</t>
  </si>
  <si>
    <t>Google Maps- CAM 660</t>
  </si>
  <si>
    <t>TUNEL ANTÔNIO REBOUÇAS - 1º GALERIA - SENT. CENTRO - RIO COMPRIDO</t>
  </si>
  <si>
    <t>Tixxi - Cam 002</t>
  </si>
  <si>
    <t>IÇAMENTO DE MATERIAL</t>
  </si>
  <si>
    <t>AVENIDA PRESIDENTE VARGAS - ALT. CANDELÁRIA - SENT. PRAÇA DA BANDEIRA - CENTRO</t>
  </si>
  <si>
    <t>Google Maps - Alarme HXG - CAM 298</t>
  </si>
  <si>
    <t xml:space="preserve">Av. Epitácio Pessoa - Alt. R Vinícius de Moraes - Sent. Gávea - Lagoa </t>
  </si>
  <si>
    <t xml:space="preserve">Google Maps - Alarme HXG - CAM 2412 </t>
  </si>
  <si>
    <t xml:space="preserve">Av. Salvador Allende - Alt. Est. BRT Riocentro - Sent. Transolímpica - Barra da Tijuca </t>
  </si>
  <si>
    <t xml:space="preserve">Linha Vermelha - Alt. KM 12- Sent. Baixada - Cordovil </t>
  </si>
  <si>
    <t>Google Maps - Alarme HXG - CAM 6696</t>
  </si>
  <si>
    <t xml:space="preserve">R. Humaitá - Alt. R. Vitório da Costa - Sent. Túnel Rebouças - Humaitá </t>
  </si>
  <si>
    <t>Google Maps - Alarme HXG - CAM 894</t>
  </si>
  <si>
    <t xml:space="preserve">Av. das Américas - Alt. Est. BRT Recanto das Garças - Sent. Barra da Tijuca - Recreio dos Bandeirantes </t>
  </si>
  <si>
    <t>Google Maps - Alarme HXG - CAM 6852</t>
  </si>
  <si>
    <t xml:space="preserve">R. Teodoro da Silva - Alt. R. Barão de São Francisco - Vila Isabel </t>
  </si>
  <si>
    <t xml:space="preserve">Google Maps - Alarme HXG - CAM 21 </t>
  </si>
  <si>
    <t xml:space="preserve">Av. Osvaldo Aranha - Alt. R. Joaquim Palhares - Sent. Maracanã - Praça da Bandeira </t>
  </si>
  <si>
    <t>Google Maps - Alarme HXG - CAM 7314</t>
  </si>
  <si>
    <t xml:space="preserve">Estr. Intendente Magalhães - Alt. R. Aladim - Em ambos os sentidos - Bento Ribeiro </t>
  </si>
  <si>
    <t>Google Maps - Alarme HXG - CAM 892</t>
  </si>
  <si>
    <t xml:space="preserve">Av. das Américas - Alt. Estr. Benvindo de Novaes - Sent. Barra da Tijuca - Recreio dos Bandeirantes </t>
  </si>
  <si>
    <t>Google Maps - Alarme HXG - CAM 3344</t>
  </si>
  <si>
    <t xml:space="preserve">Operação policial </t>
  </si>
  <si>
    <t xml:space="preserve">Estr. do Galeão - Alt. Nº 201 - Em ambos os sentidos - Portuguesa </t>
  </si>
  <si>
    <t>Google Maps - Alarme HXG - CAM 7825</t>
  </si>
  <si>
    <t xml:space="preserve">R. Conselheiro Galvão - Alt. Viaduto Pref. Negrão de Lima - Sent. Praça Seca - Madureira </t>
  </si>
  <si>
    <t>Google Maps - Alarme HXG - CAM 756</t>
  </si>
  <si>
    <t xml:space="preserve">Linha Amarela - Alt. Av. dos Democráticos - Sent. Fundão - Bonsucesso </t>
  </si>
  <si>
    <t>Google Maps - Alarme HXG - CAM 4413</t>
  </si>
  <si>
    <t>Manutenção na via (RIOLUZ)</t>
  </si>
  <si>
    <t>Google Maps - Alarme HXG - CAM 5603</t>
  </si>
  <si>
    <t xml:space="preserve">R. Vinte e Quatro de Maio - Alt. Vitor Meireles - Riachuelo </t>
  </si>
  <si>
    <t>Google Maps - Alarme HXG - CAM 3652</t>
  </si>
  <si>
    <t xml:space="preserve">Av. Pastor Martin Luther King Jr - Alt. Est. Metrô Irajá - Sent. Vicente de Carvalho - Irajá </t>
  </si>
  <si>
    <t>Externo - Tixxi</t>
  </si>
  <si>
    <t>ESTRADA DO PAU-FERRO - ALT. R. SIMPLÍCIO DE SÁ - SENT. PECHINCHA - FREGUESIA JACAREPAGUÁ</t>
  </si>
  <si>
    <t>Externo</t>
  </si>
  <si>
    <t>INCÊNDIO ON</t>
  </si>
  <si>
    <t>AVENIDA PARANAPUÃ - ALT. RUA DOUTOR MANOEL MARREIROS - TAUÁ</t>
  </si>
  <si>
    <t>Subprefeitura</t>
  </si>
  <si>
    <t>Google maps</t>
  </si>
  <si>
    <t>LINHA VERMELHA - ALT. KM 4,5 - SENT. CENTRO - MARÉ</t>
  </si>
  <si>
    <t>Google Maps - CAM  2337</t>
  </si>
  <si>
    <t xml:space="preserve">Av. das Américas - Alt. Est. BRT Pontões/Barrasul - Sent. Recreio dos Bandeirantes - Barra da Tijuca </t>
  </si>
  <si>
    <t>Google Maps - CAM 2170</t>
  </si>
  <si>
    <t xml:space="preserve">Av. Ayrton Senna - Alt. Est. BRT Aeroporto de Jacarepaguá - Sent. Linha Amarela - Barra da Tijuca </t>
  </si>
  <si>
    <t xml:space="preserve">TIXXi </t>
  </si>
  <si>
    <t xml:space="preserve">Av. das Américas - Alt. Est. BRT Santa Mônica Jardins - Sent. São Conrado - Barra da Tijuca </t>
  </si>
  <si>
    <t xml:space="preserve">Av. Lúcioo Costa - Alt. Posto 8 - Em ambos os sentidos - Barra da Tijuca </t>
  </si>
  <si>
    <t>Google Maps - CAM 724</t>
  </si>
  <si>
    <t xml:space="preserve">Av. Brasil - Alt. R. Marcos de Macedo - Sent. Z. Oeste - Guadalupe </t>
  </si>
  <si>
    <t>Google Maps - CAM 4428</t>
  </si>
  <si>
    <t xml:space="preserve">Av. Brasil - Alt. Est. BRT Irajá - Sent. Centro - Irajá </t>
  </si>
  <si>
    <t>Google Maps - CAM 5907</t>
  </si>
  <si>
    <t xml:space="preserve">Av. Brasil - Alt. Descida da Ponte - Sent. Z. Oeste - Caju </t>
  </si>
  <si>
    <t xml:space="preserve">Linha Vermelha - Alt. KM 10 - Sent. Centro - Galeão </t>
  </si>
  <si>
    <t>Google Maps - CAM 196</t>
  </si>
  <si>
    <t xml:space="preserve">Estr. dos Bandeirantes - Alt. R. André Rocha - Sent. Curicica - Taquara </t>
  </si>
  <si>
    <t>Google Maps - CAM 636</t>
  </si>
  <si>
    <t xml:space="preserve">AC CR x MT </t>
  </si>
  <si>
    <t xml:space="preserve">Av. Brasil - Alt. Est. BRT Guadalupe - Sent. Centro - Guadalupe </t>
  </si>
  <si>
    <t>AVENIDA AYRTON SENNA - ALT. PONTE SANTOS DUMONT - SENT. ORLA - GARDÊNIA AZUL</t>
  </si>
  <si>
    <t>RUA VINTE E QUATRO DE MAIO - ALT. R. SILVA FREIRE - ENGENHO NOVO</t>
  </si>
  <si>
    <t>Alarme HXG - Google Maps</t>
  </si>
  <si>
    <t>PONTE RIO - NITERÓI - ALT. PÓRTICO 6,5 - SENT. NITERÓI - CAJU</t>
  </si>
  <si>
    <t>AVENIDA AYRTON SENNA - ALT. VILA DO PAN - SENT. ORLA - JACAREPAGUÁ</t>
  </si>
  <si>
    <t>Alarme HXG - Google Maps - Tixxi</t>
  </si>
  <si>
    <t>ESTRADA DOS BANDEIRANTES - ALT. EST. BRT MERCK - SENT. TANQUE - TAQUARA</t>
  </si>
  <si>
    <t>RUA TEODORO DA SILVA - ALT. AV. PROF. MANOEL DE ABREU - VILA ISABEL</t>
  </si>
  <si>
    <t>Queda de Poste na via</t>
  </si>
  <si>
    <t>AVENIDA GILKA MACHADO - AVENIDA GENARO DE CARVALHO - RECREIO DOS BANDEIRANTES</t>
  </si>
  <si>
    <t>AVENIDA JUAN MANUEL FANGIO - ALT. VIA PARQUE - SENT. LINHA AMARELA - BARRA DA TIJUCA</t>
  </si>
  <si>
    <t>AUTOESTRADA FERNANDO MAC DOWELL - ALT. TÚNEL ZUZU ANGEL - SENT. LAGOA - SÃO CONRADO</t>
  </si>
  <si>
    <t>AVENIDA BRASIL - ALT. DA PASSARELA  2 - SENT. Z.OESTE. - SÃO CRISTÓVÃO</t>
  </si>
  <si>
    <t>AVENIDA BRASIL - ALT. PASSARELA 18 - SENT. CENTRO - BRÁS DE PINA</t>
  </si>
  <si>
    <t>LINHA AMARELA - ALT. ACESSO 05, SENT. FUNDÃO - DEL CASTILHO</t>
  </si>
  <si>
    <t>AC 2 VP seguido de capotamento</t>
  </si>
  <si>
    <t>PONTE RIO - NITERÓI  - ALT. PÓRTICO 2 - SENT. NITERÓI - CAJU</t>
  </si>
  <si>
    <t>RUA CONDE DE BONFIM - ALT. R. JOSÉ HIGINO - SENT. USINA - TIJUCA</t>
  </si>
  <si>
    <t>TUNEL ANTÔNIO REBOUÇAS - ALT. 2° GALERIA - SENT. CENTRO - RIO COMPRIDO</t>
  </si>
  <si>
    <t>AVENIDA REI PELÉ - ALT. R. SÃO FRANCISCO XAVIER - SENT. MÉIER - MARACANÃ</t>
  </si>
  <si>
    <t>RUA DIAS DA CRUZ - ALT. R. ANA BARBOSA - SENT. ENGENHO DE DENTRO - MÉIER</t>
  </si>
  <si>
    <t>LINHA VERMELHA - ALT. LINHA AMARELA - SENT. CENTRO - MARÉ</t>
  </si>
  <si>
    <t>AVENIDA BRASIL - ALT. STAND DE TIRO SENT CENTRO - VILA MILITAR</t>
  </si>
  <si>
    <t>AVENIDA AYRTON SENNA - PONTE SANTOS DUMONT - SENT. LINHA AMARELA - BARRA DA TIJUCA</t>
  </si>
  <si>
    <t>Incêndio em imóvel comercial</t>
  </si>
  <si>
    <t>RUA ÁLVARO RAMOS - ALT. N° 499 - BOTAFOGO</t>
  </si>
  <si>
    <t>AVENIDA ARMANDO LOMBARDI - ALT. AV. DAS AMÉRICAS - SENT. RECREIO - BARRA DA TIJUCA</t>
  </si>
  <si>
    <t>Incêndio em vegetação</t>
  </si>
  <si>
    <t>AVENIDA BRASIL - ALT. ESTRADA DO PEDREGOSO - SENT. CENTRO - CAMPO GRANDE</t>
  </si>
  <si>
    <t>Manifestação</t>
  </si>
  <si>
    <t>AVENIDA ATLÂNTICA - ALT. R. MIGUEL LEMOS - SENT. LEME - COPACABANA</t>
  </si>
  <si>
    <t>AVENIDA MERITI - ALT. LARGO DO BICÃO - SENT. CORDOVIL - BRÁS DE PINA</t>
  </si>
  <si>
    <t>TRANSOLÍMPICA - ALT. EST. BRT OUTEIRO SANTO - SENT. DEODORO - TAQUARA</t>
  </si>
  <si>
    <t>Google Maps Alarme HXG</t>
  </si>
  <si>
    <t>PONTE PRESIDENTE COSTA E SILVA - ALT. GRANDE RETA - SENT. NITEROI - SAÚDE</t>
  </si>
  <si>
    <t>Alarme HXG - Google Maps - Tixxi / Cam 778</t>
  </si>
  <si>
    <t xml:space="preserve">AC CM x VP </t>
  </si>
  <si>
    <t>AVENIDA FRANCISCO BICALHO - ALT DETRAN RJ - SENT. CENTRO - SANTO CRISTO</t>
  </si>
  <si>
    <t xml:space="preserve">Alarme HXG - Google Maps </t>
  </si>
  <si>
    <t>LINHA AMARELA - ALT. SAIDA 3 - SENT. BARRA - ENGENHO DE DENTRO</t>
  </si>
  <si>
    <t>Alarme HXG - Google Maps - Tixxi / Cam 7592</t>
  </si>
  <si>
    <t>ESTRADA DO CAMPINHO - ALT. R. ITAÚNAS - SENT. BRASIL - INHOAÍBA</t>
  </si>
  <si>
    <t>Alarme HXG - Google Maps - Tixxi / Cam 7256</t>
  </si>
  <si>
    <t>RUA GETÚLIO - ALT. R. CIRNE MAIA - TODOS OS SANTOS</t>
  </si>
  <si>
    <t>Alarme HXG - Google Maps - Tixxi / Cam 761</t>
  </si>
  <si>
    <t>R. 24 de Maio, 161 - Rocha</t>
  </si>
  <si>
    <t>Alarme HXG - Google Maps - Tixxi / Cam 45</t>
  </si>
  <si>
    <t>RUA MÁRIO RIBEIRO - Alt. Prç. Sibélius - Sent. Lagoa</t>
  </si>
  <si>
    <t>Alarme HXG - Google Maps - Tixxi / Cam 668</t>
  </si>
  <si>
    <t>Túnel André Rebouças - Galeria 1 - Sent. Centro</t>
  </si>
  <si>
    <t>Alarme HXG - Google Maps - Tixxi / Cam 667</t>
  </si>
  <si>
    <t xml:space="preserve"> TÚNEL ANDRÉ REBOUÇAS - GAL. 1 - SENT. CENTRO - COSME VELHO</t>
  </si>
  <si>
    <t>VOLUNTÁRIOS DA PÁTRIA - CRUZAMENTO COM RUA REAL GRANDEZA - BOTAFOGO</t>
  </si>
  <si>
    <t>Google Maps - Alarme HXG - Tixxi -Cam 167</t>
  </si>
  <si>
    <t>LINHA VERMELHA - ALT. KM 12 - SENT. CENTRO - PAVUNA</t>
  </si>
  <si>
    <t xml:space="preserve"> ENGUIÇO VP</t>
  </si>
  <si>
    <t xml:space="preserve">TRANSOLÍMPICA - ALT. EST. BRT MAGALHÃES BASTOS - SENT. RECREIO - MAGALHÃES BASTOS
</t>
  </si>
  <si>
    <t>CAPOTAMENTO VP</t>
  </si>
  <si>
    <t>AVENIDA BRASIL - ALT. TRANSOLÍMPICA - SENT. SANTA C RUZ - VILA MILITAR</t>
  </si>
  <si>
    <t>Globocop</t>
  </si>
  <si>
    <t>INCÊNDIO EM IMÓVEL</t>
  </si>
  <si>
    <t>RUA BARATA RIBEIRO - ALT. R. SIQUEIRA CAMPOS - COPACABANA</t>
  </si>
  <si>
    <t>CBMERJ - Tixxi</t>
  </si>
  <si>
    <t>AC 2VP</t>
  </si>
  <si>
    <t>RUA UBERABA - ALT. Nº 46 - GRAJAÚ</t>
  </si>
  <si>
    <t>GM</t>
  </si>
  <si>
    <t>Google Maps - Tixxi - Cam 65</t>
  </si>
  <si>
    <t xml:space="preserve"> AVENIDA DAS AMÉRICAS - ALT. EST. BRT BOSQUE MARAPENDI - SENT. RECREIO - BARRA DA TIJUCA</t>
  </si>
  <si>
    <t>Google Maps - Tixxi - Cam 7993</t>
  </si>
  <si>
    <t xml:space="preserve">Trevo das Margaridas - Alt. Av. Brasil - Sent. Centro - Irajá </t>
  </si>
  <si>
    <t>Google Maps - Tixxi - Cam 4416</t>
  </si>
  <si>
    <t xml:space="preserve">Av. Brasil - Alt. Av. Portuária - Sent. Z. Oeste - Maré </t>
  </si>
  <si>
    <t xml:space="preserve">Google Maps - Tixxi - Cam 3133 </t>
  </si>
  <si>
    <t xml:space="preserve">Av. Armando Lombardi - Alt. Terminal Jardim Oceânico - Sent. Recreio dos Bandeirantes - Barra da Tijuca </t>
  </si>
  <si>
    <t xml:space="preserve">Linha Vermelha - Alt. KM 12 - Sent. Centro - Cordovil </t>
  </si>
  <si>
    <t>Google Maps - Tixxi - CAM 4428</t>
  </si>
  <si>
    <t>Tombamento CR</t>
  </si>
  <si>
    <t xml:space="preserve">Av. Brasil - Alt. Trevo das Margaridas - Sent. Z. Oeste - Irajá </t>
  </si>
  <si>
    <t>Google Maps - Tixxi - CAM 147</t>
  </si>
  <si>
    <t xml:space="preserve">Av. Brasil - Alt. Av. Brigadeiro Trompowski - Sent. Centro - Maré </t>
  </si>
  <si>
    <t>Google Maps - Tixxi - CAM 432</t>
  </si>
  <si>
    <t>AVENIDA BRASIL - ALT. PASSARELA 6 - SENT. CENTRO - MARÉ</t>
  </si>
  <si>
    <t>AVENIDA BRASIL - ALT. PASSARELA 32 - SENT. Z. OESTE - GUADALUPE</t>
  </si>
  <si>
    <t>AVENIDA GENERAL JUSTO - ALT. TREVO DOS ESTUDANTES - SENT. BOTAFOGO - CENTRO</t>
  </si>
  <si>
    <t>PRAIA DE BOTAFOGO - ALT. VIADUTO SAN TIAGO DANTAS - SENT. CENTRO - BOTAFOGO</t>
  </si>
  <si>
    <t>AVENIDA PASTOR MARTIN LUTHER KING JÚNIOR - ALT. LINHA AMARELA - SENT. PAVUNA - INHAÚMA</t>
  </si>
  <si>
    <t>AVENIDA BRASIL - ALT. PASSARELA 25 - SENT. Z. OESTE - IRAJÁ</t>
  </si>
  <si>
    <t>Google Maps - Tixxi - CAM 2</t>
  </si>
  <si>
    <t xml:space="preserve">Av. Presidente Vargas - Alt. Av. Rio Branco - Sent. Candelária - Centro </t>
  </si>
  <si>
    <t>Google Maps - Tixxi - CAM 3173</t>
  </si>
  <si>
    <t xml:space="preserve">Enguiço MT </t>
  </si>
  <si>
    <t xml:space="preserve">Google Maps - Tixxi - CAM 3212 </t>
  </si>
  <si>
    <t>Operação policial</t>
  </si>
  <si>
    <t xml:space="preserve">Transolímpica - Alt. Est. BRT Ventura - Sent. Recreio dos Bandeirantes - Curicica </t>
  </si>
  <si>
    <t>Google Maps - Tixxi - CAM 353</t>
  </si>
  <si>
    <t xml:space="preserve">R. Gonzaga Bastos - Alt. R. Teodoro da Silva - Vila Isabel </t>
  </si>
  <si>
    <t xml:space="preserve">Av. Padre Leonel Franca - Alt. Av. Visc. de Albuquerque - Sent. Lagoa - Gávea </t>
  </si>
  <si>
    <t>Google Maps - Tixxi - CAM 3208</t>
  </si>
  <si>
    <t xml:space="preserve">Av. das Américas - Alt. Est. BRT Golfe Olímpico - Sent. São Conrado - Barra da Tijuca </t>
  </si>
  <si>
    <t xml:space="preserve">Av. Brigadeiro Trompowski - Alt. Acesso à Ponte Nova - Sent. Ilha - Maré </t>
  </si>
  <si>
    <t>Google Maps - Tixxi - CAM 4585</t>
  </si>
  <si>
    <t xml:space="preserve">Av. Francisco Bicalho - Alt. G.R.E.S. Unidos da Tijuca - Sent. Rodoviária - Santo Cristo </t>
  </si>
  <si>
    <t>Google Maps - Tixxi - CAM 756</t>
  </si>
  <si>
    <t>Google Maps - Tixxi - CAM 4516</t>
  </si>
  <si>
    <t>Google Maps - Tixxi - CAM 138</t>
  </si>
  <si>
    <t xml:space="preserve">Elevado Eng. Freyssinet - Alt. R. João Paulo I - Sent. Lagoa - Rio Comprido </t>
  </si>
  <si>
    <t xml:space="preserve">Av. Salvador Allende - Alt. Est. BRT Ilha Pura - Sent. Recreio dos Bandeirantes - Barra da Tijuca </t>
  </si>
  <si>
    <t xml:space="preserve">Linha Vermelha - Alt. KM 6.5 - Sent. Centro - Galeão </t>
  </si>
  <si>
    <t>Alarme HXG - Google Maps - Tixxi / Cam 167</t>
  </si>
  <si>
    <t xml:space="preserve"> LINHA VERMELHA - ALT. KM 14 - SENT. CENTRO - CORDOVIL</t>
  </si>
  <si>
    <t>Alarme HXG - Google Maps - Tixxi / Cam 4348</t>
  </si>
  <si>
    <t>AVENIDA BRASIL - ALT. PASSARELA 3 - SENT. CENTRO - SÃO CRISTÓVÃO</t>
  </si>
  <si>
    <t>AVENIDA BRASIL - ALT. VDT DEODORO – Z. OESTE - DEODORO</t>
  </si>
  <si>
    <t>Alarme HXG - Google Maps - Tixxi / Cam 4049</t>
  </si>
  <si>
    <t>ESTRADA DO MONTEIRO - ALT. ESTR. IARAQUÃ - SENT. AV. BRASIL - CAMPO GRANDE</t>
  </si>
  <si>
    <t>RUA CÂNDIDO BENÍCIO - ALT. VILA OLIMPICA DO MATO ALTO - SENT. TAQUARA - PRAÇA SECA</t>
  </si>
  <si>
    <t>Alarme HXG - Google Maps - Tixxi / Cam 3212</t>
  </si>
  <si>
    <t>Alarme HXG - Google Maps - Tixxi / Cam 219</t>
  </si>
  <si>
    <t>Manuenção na via (LIGHT)</t>
  </si>
  <si>
    <t>AVENIDA PRESIDENTE VARGAS - ALT. CEDAE - SENT. PRAÇA DA BANDEIRA - CENTRO</t>
  </si>
  <si>
    <t>Alarme HXG - Google Maps - Tixxi / Cam 724</t>
  </si>
  <si>
    <t xml:space="preserve">EnguiçoVP </t>
  </si>
  <si>
    <t>AVENIDA BRASIL - ALT. ATACADÃO - SENT. Z. OESTE - GUADALUPE</t>
  </si>
  <si>
    <t xml:space="preserve"> LINHA VERMELHA - ALT. KM 4 - SENT. BAIXADA - MARÉ</t>
  </si>
  <si>
    <t>EnguiçoCM</t>
  </si>
  <si>
    <t>Alarme HXG - Google Maps - Tixxi / Cam 3737</t>
  </si>
  <si>
    <t>RUA CÂNDIDO BENÍCIO - ALT. R. ANA TELES - SENT. TANQUE - CAMPINHO</t>
  </si>
  <si>
    <t>BRT TRANSOLÍMPICA - ALT. CEFAP - SENT. DEODORO - JARDIM SULACAP</t>
  </si>
  <si>
    <t xml:space="preserve">OPVIA </t>
  </si>
  <si>
    <t>Alarme HXG - Google Maps - Tixxi / Cam 26</t>
  </si>
  <si>
    <t>RUA FIGUEIREDO DE MAGALHÃES - ALT. R. DOMINGOS FERREIRA - COPACABANA</t>
  </si>
  <si>
    <t>Alarme HXG - Google Maps - Tixxi / Cam 4397</t>
  </si>
  <si>
    <t>Alarme HXG - Google Maps - Tixxi / Cam 136</t>
  </si>
  <si>
    <t>LINHA VERMELHA - ALT. KM9 - SENT. BAIXADA - GALEÃO</t>
  </si>
  <si>
    <t>LINHA AMARELA - TÚNEL DA COVANVA - SENT. BARRA</t>
  </si>
  <si>
    <t>LINHA AMARELA - BONSUCESSO - SENT. BARRA</t>
  </si>
  <si>
    <t xml:space="preserve"> LINHA VERMELHA - ALT. KM3 - SENT. CENTRO - CAJU</t>
  </si>
  <si>
    <t>Google Maps - Tixxi - CAM 8061</t>
  </si>
  <si>
    <t>AC ENVOLV. VP</t>
  </si>
  <si>
    <t>AVENIDA BRASIL - ALT BRT LOBO JR. - SENT. CENTRO - PENHA</t>
  </si>
  <si>
    <t>ELEVADO ENG. RUFINO DE A. PIZARRO - SENT. LAGOA - PRAÇA DA BANDEIRA</t>
  </si>
  <si>
    <t>Google Maps - Tixxi - CAM 4395</t>
  </si>
  <si>
    <t>Evento - Prova EFOMM</t>
  </si>
  <si>
    <t>Google Maps - Tixxi - CAM 867</t>
  </si>
  <si>
    <t xml:space="preserve">Poda de Árvore </t>
  </si>
  <si>
    <t>AUTOESTRADA FERNANDO MAC DOWELL - ALT. N°56 - SENT. LAGOA - SÃO CONRADO</t>
  </si>
  <si>
    <t>AC CR x UT x VP</t>
  </si>
  <si>
    <t>AVENIDA BRASIL - ALT. DA PASSARELA 2- SENT. CENTRO. - VASCO DA GAMA</t>
  </si>
  <si>
    <t>AVENIDA BRASIL - ALT. PASSARELA 10 - SENT. Z. OESTE. - MARÉ</t>
  </si>
  <si>
    <t>AVENIDA BRASIL - ALT. DA PASSARELA 31- SENT. CENTRO. - GUADALUPE</t>
  </si>
  <si>
    <t>LINHA AMARELA - ALT. SAÍDA 06 - SENT. BARRA DA TIJUCA - HIGIENÓPOLIS</t>
  </si>
  <si>
    <t>AVENIDA AYRTON SENNA - ALT. AVENIDA JORGE CURI - SENT. ORLA - BARRA DA TIJUCA</t>
  </si>
  <si>
    <t>AUTOESTRADA FERNANDO MAC DOWELL - ALT. GOLF CLUBE  - SENT. LAGOA - SÃO CONRADO</t>
  </si>
  <si>
    <t>AVENIDA BRASIL - ALT. PASSARELA 9 - SENT. Z. OESTE - BONSUCESSO</t>
  </si>
  <si>
    <t>AVENIDA BRASIL - ALT. PASSARELA 14 - SENT. Z. OESTE. - OLARIA</t>
  </si>
  <si>
    <t>ESTRADA DA ÁGUA GRANDE - ALT. R. HANNIBAL PORTO - SENT. CORDOVIL - IRAJÁ</t>
  </si>
  <si>
    <t>Google Maps - Tixxi - CAM2360</t>
  </si>
  <si>
    <t xml:space="preserve">AVENIDA DAS AMÉRICAS - RECREIO DOS BANDEIRANTES - ALT. BRT GILKA MACHADO - SENT. GUARATIBA </t>
  </si>
  <si>
    <t>Google Maps - Tixxi - CAM 4368</t>
  </si>
  <si>
    <t>Google Maps - Tixxi - CAM 666</t>
  </si>
  <si>
    <t>Google Maps - Alarme HXG - Tixxi - CAM 341</t>
  </si>
  <si>
    <t>RUA HADDOCK LOBO - ALT. R. AFONSO PENA - TIJUCA</t>
  </si>
  <si>
    <t>Google Maps - Alarme HXG - Tixxi - CAM 472</t>
  </si>
  <si>
    <t>AC ON (BRT) x MT</t>
  </si>
  <si>
    <t>Av. Das Américas - Alt. BRT Notre Dame - Sent. Santa Cruz</t>
  </si>
  <si>
    <t>Google Maps - Alarme HXG - Tixxi - CAM 4099</t>
  </si>
  <si>
    <t xml:space="preserve">End.: AVENIDA AYRTON SENNA - ALT. ESPAÇO HALL - SENT. ORLA </t>
  </si>
  <si>
    <t>Google Maps - Alarme HXG - Tixxi - CAM 3330</t>
  </si>
  <si>
    <t>AC UT X VP</t>
  </si>
  <si>
    <t>ESTRADA DA CACUIA - ALT. ESTRADA DO GALEÃO - SENT. COCOTÁ - CACUIA</t>
  </si>
  <si>
    <t>Google Maps - Tixxi - CAM 3285</t>
  </si>
  <si>
    <t xml:space="preserve">Estr. do Galeão - Alt. Nº 4365 - Em ambos os sentidos - Galeão </t>
  </si>
  <si>
    <t>Google Maps - Tixxi - CAM 7026</t>
  </si>
  <si>
    <t xml:space="preserve">Av. Cesário de Melo - Alt. R. Canpo Grande - Sent. Estr. da Caroba - Campo Grande </t>
  </si>
  <si>
    <t xml:space="preserve">L. Amarela - Alt. Av. Pastor Martin Luther King Jr - Sent. Barra da Tijuca - Inhaúma </t>
  </si>
  <si>
    <t xml:space="preserve">Av. Dom João VI - Alt. Terminal BRT Mato Alto - Sent. Campo Grande - Guaratiba </t>
  </si>
  <si>
    <t xml:space="preserve">Av. Brasil - Alt. Passarela 11 - Sent. Z. Oeste - Maré </t>
  </si>
  <si>
    <t>Google Maps - Tixxi - CAM 4099</t>
  </si>
  <si>
    <t xml:space="preserve">Av. Ayrton Senna - Alt. Espaço Hall - Sent. Orla - Gardênia Azul </t>
  </si>
  <si>
    <t>Google Maps - Tixxi - CAM 164</t>
  </si>
  <si>
    <t xml:space="preserve">Linha Vermelha - Alt. Linha Amarela - Sent. Ilha - Cidade Universitária </t>
  </si>
  <si>
    <t>Google Maps - Tixxi - CAM 1410</t>
  </si>
  <si>
    <t xml:space="preserve">Manutenção na via (CONCESSIONÁRIA) </t>
  </si>
  <si>
    <t xml:space="preserve">Av. Padre Leonel Franca - Alt. Túnel Acústico Rafael Mascarenhas - Sent. Barra da Tijuca - Gávea </t>
  </si>
  <si>
    <t>Google Maps - Tixxi - CAM 65</t>
  </si>
  <si>
    <t xml:space="preserve">Av. das Américas - Alt. Est. BRT Bosque Marapendi - Sent. Recreio dos Bandeirantes - Barra da Tijuca </t>
  </si>
  <si>
    <t xml:space="preserve">L. Vermelha - Alt. KM 10 - Sent. Baixada - Galeão </t>
  </si>
  <si>
    <t>Google Maps - Tixxi - CAM 3179</t>
  </si>
  <si>
    <t xml:space="preserve">Av. Salvador Allende - Alt. Est. BRT Tapebuias - Sent. Santa Cruz - Recreio dos Bandeirantes </t>
  </si>
  <si>
    <t>Google Maps - Tixxi - CAM 237</t>
  </si>
  <si>
    <t xml:space="preserve">R. Equador - Alt. Rodoviária Novo RIo - Sent. Av. Brasil - Santo Cristo </t>
  </si>
  <si>
    <t>Google Maps - Tixxi - CAM 405</t>
  </si>
  <si>
    <t>Google Maps - Tixxi - CAM 648</t>
  </si>
  <si>
    <t xml:space="preserve">Av. Ayrton Senna - Alt. Terminal Alvorada - Sent. São Conrado - Barra da Tijuca </t>
  </si>
  <si>
    <t>Google Maps - Tixxi - CAM 329</t>
  </si>
  <si>
    <t xml:space="preserve">Autoestrada Eng. Fernando Mac Dowell - Alt. R. Herbert Moses - Sent. Gávea - São Conrado </t>
  </si>
  <si>
    <t>Google Maps - Tixxi - CAM 331</t>
  </si>
  <si>
    <t>Av. Epitácio Pessoa - Alt. Nº 3872 - Em ambos os sentidos - Lagoa</t>
  </si>
  <si>
    <t>Google Maps - Tixxi - CAM 7480</t>
  </si>
  <si>
    <t xml:space="preserve">Av. Geremário Dantas - Alt. R. Edgar Werneck - Sent. Tanque - Pechincha </t>
  </si>
  <si>
    <t>Google Maps - Tixxi - CAM 7533</t>
  </si>
  <si>
    <t xml:space="preserve">Av. das Américas - Alt. Av. Luís Carlos Prestes - Sent. Recreio dos Bandeirantes - Barra da Tijuca </t>
  </si>
  <si>
    <t>Google Maps - Tixxi - CAM 430</t>
  </si>
  <si>
    <t xml:space="preserve">Av. Brasil - Alt. Est. BRT Marinha Mercante - Sent. Centro - Olaria </t>
  </si>
  <si>
    <t xml:space="preserve">AC UT X VP </t>
  </si>
  <si>
    <t xml:space="preserve">Av. Brasil - Alt. Nº 42301 - Sent. Centro - Campo Grande </t>
  </si>
  <si>
    <t xml:space="preserve">AC TX v MT </t>
  </si>
  <si>
    <t xml:space="preserve">Elevado Eng. Freyssinet - Sent. Lagoa - Rio Comprido </t>
  </si>
  <si>
    <t>AVENIDA BRASIL - BRT MARINHA MERCANTE - SENT. Z OESTE - OLARIA</t>
  </si>
  <si>
    <t>Alarme HXG - Google Maps - Tixxi / Cam 420</t>
  </si>
  <si>
    <t>RUA BENTO CARDOSO - ALT. R. IRITUIA - BRÁS DE PINA</t>
  </si>
  <si>
    <t>RUA EDGARD WERNECK - ALT. R. DOS EVANGELHOS - SENT. BARRA DA TIJUCA - CIDADE DE DEUS</t>
  </si>
  <si>
    <t>LINHA VERMELHA - ALT. KM12 - SENT. BAIXADA - CORDOVIL</t>
  </si>
  <si>
    <t>Alarme HXG - Google Maps - Tixxi / Cam 149</t>
  </si>
  <si>
    <t xml:space="preserve"> AVENIDA BRASIL - PASSARELA 19 - SENT; CENTRO - CORDOVIL</t>
  </si>
  <si>
    <t>AVENIDA BRASIL - ST. CENTRO - SÃO CRISTÓVÃO</t>
  </si>
  <si>
    <t>Alarme HXG - Google Maps - Tixxi / Cam 432</t>
  </si>
  <si>
    <t>LINHA VERMELHA - ALT. KM 9 - SENT. BAIXADA - GALEÃO</t>
  </si>
  <si>
    <t>Google Maps - Tixxi - CAM 785</t>
  </si>
  <si>
    <t>AVENIDA RODRIGUES ALVES - ALT. ARMAZÉM 9 - SENT. RODOVIÁRIA - SANTO CRISTO</t>
  </si>
  <si>
    <t>Google Maps - Tixxi - CAM 145</t>
  </si>
  <si>
    <t xml:space="preserve">ESTRADA DO QUITUNGO - BRÁS DE PINA - ALT. AV. MERITI - SENT. IRAJÁ </t>
  </si>
  <si>
    <t>Alarme HXG - Google Maps - Tixxi / Cam 5447</t>
  </si>
  <si>
    <t>AUTOESTRADA GRAJAÚ-JACAREPAGUÁ - ALT. R. RUGENDAS - SENT. JACAREPAGUÁ - JACAREPAGUÁ</t>
  </si>
  <si>
    <t>PONTE RIO - NITERÓI - ALT. PÓRTICO 15 - SENT. NITERÓI - CAJU</t>
  </si>
  <si>
    <t xml:space="preserve">Enguilo CM </t>
  </si>
  <si>
    <t>LINHA AMARELA - ALT. ACESSO 8 - SENT. BARRA DA TIJUCA - MANGUINHOS</t>
  </si>
  <si>
    <t xml:space="preserve">AC 2 UT X 2 VP </t>
  </si>
  <si>
    <t>AVENIDA BRASIL - ALT. TRANSOLIMPIA SENT. ZONA OESTE - VILA MILITAR</t>
  </si>
  <si>
    <t>Alarme HXG - Google Maps - Tixxi / Cam 1831</t>
  </si>
  <si>
    <t>ESTRADA DAS FURNAS - ALT. ESTRADA CAPITÃO CAMPOS - SENT. TIJUCA - ALTO DA BOA VISTA</t>
  </si>
  <si>
    <t>Unusual - Google Maps - Tixxi / CAM 4203</t>
  </si>
  <si>
    <t>AVENIDA DOM HELDER CÂMARA - ALT. R. CERQUEIRA DALTRO - SENT. MADUREIRA - CASCADURA</t>
  </si>
  <si>
    <t>Unusual - Google Maps - Tixxi / CAM 83</t>
  </si>
  <si>
    <t>RUA GOIÁS - ALT. R. JOSÉ DOS REIS - ENGENHO DE DENTRO</t>
  </si>
  <si>
    <t>Google Maps - Tixxi / CAM 99</t>
  </si>
  <si>
    <t>AVENIDA TRINTA E UM DE MARÇO - ALT. R. DOUTOR LADGEN - SENT. LARANJEIRAS - CATUMBI</t>
  </si>
  <si>
    <t>Alarme HXG - Google Maps - Tixxi / Cam 5586</t>
  </si>
  <si>
    <t>RUA SÃO FRANCISCO XAVIER - ALT. R. SOUSA DANTAS - SENT. MÉIER - SÃO FRANCISCO XAVIER</t>
  </si>
  <si>
    <t>Alarme HXG - Google Maps - Tixxi / Cam 5864</t>
  </si>
  <si>
    <t>ESTRADA DA ÁGUA GRANDE - ALT. AV. MONSENHOR FÉLIX - SENT. ROCHA MIRANDA - IRAJÁ</t>
  </si>
  <si>
    <t>Unusual - Tixxi / CAM 83</t>
  </si>
  <si>
    <t>JULHO</t>
  </si>
  <si>
    <t xml:space="preserve">Google Maps / Alarme HxGN / </t>
  </si>
  <si>
    <t>Google Maps / Alarme HxGN / Tixxi Cam 5217</t>
  </si>
  <si>
    <t>RUA ARAÚJO PORTO ALEGRE - ALT. AV. GRAÇA ARANHA - CENTRO</t>
  </si>
  <si>
    <t>TÚNEL ANDRÉ REBOUÇAS - ALT. 1° GALERIA - SENT. CENTRO - COSME VELHO</t>
  </si>
  <si>
    <t>TRANSOLÍMPICA - ALT. EST. BRT LEILA DINIZ - SENT. RECREIO - CURICICA</t>
  </si>
  <si>
    <t>Google Maps / Alarme HxGN / Tixxi Cam 193</t>
  </si>
  <si>
    <t>RUA CÂNDIDO BENÍCIO - ALT. R. GODOFREDO VIANA - SENT. MADUREIRA - TANQUE</t>
  </si>
  <si>
    <t>Google Maps / Alarme HxGN / Tixxi Cam 4413</t>
  </si>
  <si>
    <t>LINHA AMARELA - ALT. TUNEL DA COVANCA - SENT. FUNDÃO - ÁGUA SANTA</t>
  </si>
  <si>
    <t>Google Maps / Alarme HxGN / Tixxi Cam 4353</t>
  </si>
  <si>
    <t>AVENIDA BRIGADEIRO TROMPOWSKI - ALT. AV. HORÁCIO DE MACEDO - CIDADE UNIVERSITÁRIA</t>
  </si>
  <si>
    <t>Google Maps / Alarme HxGN / Tixxi Cam 126</t>
  </si>
  <si>
    <t xml:space="preserve">AC UT x MT </t>
  </si>
  <si>
    <t>PONTE DA JOATINGA - SENT. RECREIO DOS BANDEIRANTES - BARRA DA TIJUCA</t>
  </si>
  <si>
    <t>Google Maps / Alarme HxGN / Tixxi Cam 138</t>
  </si>
  <si>
    <t>Google Maps / Alarme HxGN / Tixxi Cam 649</t>
  </si>
  <si>
    <t>Av. Ayrton Senna - Alt. Cidade das Artes</t>
  </si>
  <si>
    <t>Google Maps / Alarme HxGN / Tixxi Cam 21</t>
  </si>
  <si>
    <t>Av. Oswaldo Aranha - Agulha de acesso para Praça da Bandeira</t>
  </si>
  <si>
    <t>Google Maps / Alarme HxGN / Tixxi Cam 3178</t>
  </si>
  <si>
    <t>Av. Salvador Allende - Alt. BRT Catedral do Recreio - Sent. Transolimpica</t>
  </si>
  <si>
    <t>Google Maps / Alarme HxGN / Tixxi Cam 7685</t>
  </si>
  <si>
    <t>Av. Lúcio Costa - Alt.. Nº6600 - Sent.. Jardim Ocêanico - Barra da Tijuca</t>
  </si>
  <si>
    <t>Google Maps / Alarme HxGN / Tixxi Cam 636</t>
  </si>
  <si>
    <t>AV. Brasil - Alt. BRT Guadalupe - Sent. Zona Oeste</t>
  </si>
  <si>
    <t xml:space="preserve">Google Maps / Alarme HxGN </t>
  </si>
  <si>
    <t>Google Maps / Tixxi - CAM 573</t>
  </si>
  <si>
    <t xml:space="preserve">Estr. Rio do A - Alt. Viaduto Pref. Alim Pedro - Sent. Av. Cesário de Melo - Campo Grande  </t>
  </si>
  <si>
    <t>Google Maps / Tixxi - CAM 4419</t>
  </si>
  <si>
    <t xml:space="preserve">Av. Brasil - Alt. Passarela 8 - Sent. Z. Oeste - Bonsucesso </t>
  </si>
  <si>
    <t>Google Maps / Tixxi - CAM 2125</t>
  </si>
  <si>
    <t xml:space="preserve">Incêndio CM </t>
  </si>
  <si>
    <t xml:space="preserve">Estr. dos Bandeirantes - Alt. Est. BRT André Rocha - Sent. Praça Seca - Taquara </t>
  </si>
  <si>
    <t>Google Maps / Tixxi - CAM 235</t>
  </si>
  <si>
    <t xml:space="preserve">Manutenção na via (CET-RIO) </t>
  </si>
  <si>
    <t xml:space="preserve">Av. Borges de Medeiros - Alt. R. Gen. Garzon - Sent. Túnel Rebouças - Lagoa </t>
  </si>
  <si>
    <t>Google Maps / Tixxi - CAM 92</t>
  </si>
  <si>
    <t xml:space="preserve">Av. Brasil - Alt. Viaduto de Benfica - Sent. Centro - Benfica </t>
  </si>
  <si>
    <t>Google Maps / Tixxi - CAM 147</t>
  </si>
  <si>
    <t>Av. Brasil - Alt. Passarela 11 - Sent. Centro - Maré</t>
  </si>
  <si>
    <t xml:space="preserve">Av. Dom João VI  -Alt. Estr. da Capoeira Grande - Sent. Recreio dos Bandeirantes - Guaratiba </t>
  </si>
  <si>
    <t>PRINCÍPIO DE INCÊNDIO UT</t>
  </si>
  <si>
    <t xml:space="preserve">ELEVADO ENGENHEIRO FREYSSINET - RIO COMPRIDO - SENT. LAGOA </t>
  </si>
  <si>
    <t xml:space="preserve">AV. ENG. CARLOS CARVALHO - ALT. ESTR. CEL . PEDRO CORREA - SENT. RECREIO - JPA
</t>
  </si>
  <si>
    <t>QUEDA DE ÁRVORE</t>
  </si>
  <si>
    <t>RUA GUTMAN BICHO - CAMPO GRANDE - ALT. Nº 266</t>
  </si>
  <si>
    <t>COMLURB</t>
  </si>
  <si>
    <t>AC x MT</t>
  </si>
  <si>
    <t xml:space="preserve">LINHA VERMELHA - MARÉ - ALT. KM 4 - SENT. BAIXADA </t>
  </si>
  <si>
    <t>LINHA AMARELA - ALT. TÚNEL DA COVANCA - SENT. FUNDÃO - ÁGUA SANTA</t>
  </si>
  <si>
    <t>ELEVADO ENGENHEIRO FREYSSINET - SENT. CENTRO - RIO COMPRIDO</t>
  </si>
  <si>
    <t>TÚNEL ANDRÉ REBOUÇAS - ALT. 2° GALERIA - SENT. CENTRO - COSME VELHO</t>
  </si>
  <si>
    <t>Google Maps / Tixxi - CAM 6324</t>
  </si>
  <si>
    <t xml:space="preserve">R. Gen. Herculano Gomes - Alt. Est. Metrô São Cristóvão - São Cristóvão </t>
  </si>
  <si>
    <t>Google Maps / Tixxi - CAM 21</t>
  </si>
  <si>
    <t xml:space="preserve">R. Teixeira Soares - Alt. R. Joaquim Palhares - Praça da Bandeira </t>
  </si>
  <si>
    <t xml:space="preserve">Av. Brasil - Alt. Av. Brigadeiro Trompowski - Sent. Centro - Manguinhos </t>
  </si>
  <si>
    <t>Google Maps / Tixxi - CAM 837</t>
  </si>
  <si>
    <t xml:space="preserve">Av. Princesa Isabel - Alt. R. Felipe de Oliveira - Sent. Orla - Copacabana </t>
  </si>
  <si>
    <t xml:space="preserve">Av. Brasil - Alt. Estr. do Pedregoso - Sent. Centro - Campo Grande </t>
  </si>
  <si>
    <t>Google Maps / Tixxi - CAM - 4525</t>
  </si>
  <si>
    <t xml:space="preserve">L. Vermelha - Alt. KM 5 - Sent. Centro - Maré </t>
  </si>
  <si>
    <t>Google Maps / Tixxi - CAM 4422</t>
  </si>
  <si>
    <t xml:space="preserve">Av. Brasil - Alt. Passarela 30 - Sent. Centro - Guadalupe </t>
  </si>
  <si>
    <t>Google Maps / Tixxi - CAM 4265</t>
  </si>
  <si>
    <t xml:space="preserve">Queda de carga na via </t>
  </si>
  <si>
    <t xml:space="preserve">R. Carmo Neto - Alt. Av. Presidente Vargas - Cidade Nova </t>
  </si>
  <si>
    <t>Rua Teixeira Soares - Alt. R. Sergipe - Maracanã</t>
  </si>
  <si>
    <t>Unusual / Alarme HXG / Google Maps / Tixxi</t>
  </si>
  <si>
    <t xml:space="preserve">Rua Arquias Cordeiro - Alt. R. Piaui - Todos os Santos </t>
  </si>
  <si>
    <t>Unusual / Alarme HXG / Google Maps</t>
  </si>
  <si>
    <t>Transolímpica - Alt. Est. BRT Colônia - Sent. Recreio - Taquara</t>
  </si>
  <si>
    <t>Linha Vermelha - Alt. Km 2,5 - Sent. Centro - Caju</t>
  </si>
  <si>
    <t xml:space="preserve">AC UT x 2 VP </t>
  </si>
  <si>
    <t>Avenida Brasil - Alt. Stand Tiro - Sent. Centro - Vila Militar</t>
  </si>
  <si>
    <t>Rua Equador - Alt. Av. Pereira Reis - Sent. Rodoviária - Santo Cristo</t>
  </si>
  <si>
    <t>Av. Brigadeiro Trompowski - Alt. BRT Maré - Sent. Av. Brasil - Maré</t>
  </si>
  <si>
    <t>Linha Amarela - Alt. Saida 4 - Sent. Barra - Pilares</t>
  </si>
  <si>
    <t>Estr. do Engenho D'água - Alt. Av. Ten. Muniz de Aragão - Sent. Cidade de Deus - Anil</t>
  </si>
  <si>
    <t>Av. Nossa Senhora de Copacabana - Alt. N° 1103 - Copacabana</t>
  </si>
  <si>
    <t>AC 2 CM x 2 UT x 3 VP</t>
  </si>
  <si>
    <t>Ponte Rio-Niterói - Alt. Pórtico 02 - Sent. Niterói - Caju</t>
  </si>
  <si>
    <t>Google Maps / Tixxi CAM: 1557</t>
  </si>
  <si>
    <t>Obra na Via (NATURGY)</t>
  </si>
  <si>
    <t>Av. Presidente Vargas - Alt. Correios - Sent. Candelária</t>
  </si>
  <si>
    <t>Google Maps / Tixxi CAM: 650</t>
  </si>
  <si>
    <t>Google Maps / Tixxi CAM: 3212</t>
  </si>
  <si>
    <t>Google Maps / Tixx CAM36</t>
  </si>
  <si>
    <t>Viaduto dos Marinheiros - Praça da Bandeira - Sent. Maracanã</t>
  </si>
  <si>
    <t>Google Maps / Tixx CAM4536</t>
  </si>
  <si>
    <t>Unusual - Alarme HXG - Google Maps</t>
  </si>
  <si>
    <t>Semáforos Apagados</t>
  </si>
  <si>
    <t>RUA BARÃO DE SÃO FRANCISCO &amp; RUA TEODORO DA SILVA - VILA ISABEL</t>
  </si>
  <si>
    <t>AVENIDA BRASIL - ALT. DA  PASSARELA   28 - SENT. CENTRO. - ACARI</t>
  </si>
  <si>
    <t>LINHA VERMELHA - ALT. KM 3 - SENT. CENTRO - CAJU</t>
  </si>
  <si>
    <t>LINHA AMARELA - ALT. SAÍDA 8 - SENT. BARRA - BONSUCESSO</t>
  </si>
  <si>
    <t>LINHA VERMELHA - ALT. KM 5,5 - SENT. CENTRO - MARÉ</t>
  </si>
  <si>
    <t>AVENIDA PRESIDENTE VARGAS - PISTA LATERAL, SENTIDO CAJU - CENTRO</t>
  </si>
  <si>
    <t>Unusual - Alarme HXG - Google Maps - Tixxi</t>
  </si>
  <si>
    <t xml:space="preserve">AC VP X MT </t>
  </si>
  <si>
    <t>Unusual - Google Maps - Tixxi</t>
  </si>
  <si>
    <t>RUA JOSÉ DO PATROCÍNIO - ALT. N° 146 - GRAJAÚ</t>
  </si>
  <si>
    <t>Alarme Hxg - Google Maps - Tixxi</t>
  </si>
  <si>
    <t>RUA BARÃO DO BOM RETIRO - ALT. R. TEODORO DA SILVA - GRAJAÚ</t>
  </si>
  <si>
    <t>LINHA VERMELHA - ALT. KM 16 - SENT. CENTRO - CORDOVIL</t>
  </si>
  <si>
    <t>AVENIDA BRASIL - ALT. PASSARELA 07 - SENT. CENTRO - BONSUCESSO</t>
  </si>
  <si>
    <t>Fogo em Vegetação</t>
  </si>
  <si>
    <t>PARQUE ESTADUAL DO GRAJAÚ - GRAJAÚ</t>
  </si>
  <si>
    <t>Google Maps / Tixx CAM 720</t>
  </si>
  <si>
    <t>RUA MINISTRO RAUL MACHADO - ALT. R. MARIO RIBEIRO - LEBLON</t>
  </si>
  <si>
    <t>Google Maps / Tixx CAM 1283</t>
  </si>
  <si>
    <t>Google Maps / Tixx CAM 138</t>
  </si>
  <si>
    <t>Elevado Engenheiro Freyssinet</t>
  </si>
  <si>
    <t>Google Maps / Alarme HxGN / Tixxi Cam 45</t>
  </si>
  <si>
    <t>AVENIDA PADRE LEONEL FRANCA - ALT. PRAÇA SIBÉLIUS - SENT. IPANEMA - GÁVEA</t>
  </si>
  <si>
    <t>Google Maps / Alarme HxGN / Tixxi Cam 473</t>
  </si>
  <si>
    <t>AVENIDA DAS AMÉRICAS - ALT. EST. BRT AMÉRICAS PARK - SENT. SÃO CONRADO - BARRA DA TIJUCA</t>
  </si>
  <si>
    <t>Google Maps / Alarme HxGN / Tixxi Cam 145</t>
  </si>
  <si>
    <t>AVENIDA BRASIL - ALT. CANAL DO CUNHA - SENT. Z. OESTE - MARÉ</t>
  </si>
  <si>
    <t>AVENIDA AYRTON SENNA - ALT. GIRO DO CEBOLINHA - SENT. TAQUARA - BARRA DA TIJUCA</t>
  </si>
  <si>
    <t>Google Maps / Alarme HxGN / Tixxi Cam 837</t>
  </si>
  <si>
    <t>AVENIDA PRINCESA ISABEL - ALT. R. FELIPE DE OLIVEIRA - SENT. IPANEMA - COPACABANA</t>
  </si>
  <si>
    <t>AVENIDA BRASIL - ALT. VILA KENNEDY SENT. CENTRO - SANTÍSSIMO</t>
  </si>
  <si>
    <t xml:space="preserve">AC 2 UT x VP </t>
  </si>
  <si>
    <t xml:space="preserve"> LINHA AMARELA - ALT. SAÍDA 7- SENT. FUNDÃO - BONSUCESSO</t>
  </si>
  <si>
    <t>Google Maps / Alarme HxGN / Tixxi Cam 3646</t>
  </si>
  <si>
    <t>AVENIDA PASTOR MARTIN LUTHER KING JR - ALT. EST. THOMAZ COELHO - SENT. VICENTE DE CARVALHO - TOMÁS COELHO</t>
  </si>
  <si>
    <t>Google Maps / Alarme HxGN / Tixxi Cam 661</t>
  </si>
  <si>
    <t>TUNEL ANTÔNIO REBOUÇAS - ALT. 1° GALERIA - SENT. CENTRO - RIO COMPRIDO</t>
  </si>
  <si>
    <t>LINHA VERMELHA - ALT. KM 8 - SENT. BAIXADA. - CIDADE UNIVERSITÁRIA</t>
  </si>
  <si>
    <t>Google Maps / Alarme HxGN / Tixxi - CAM 582</t>
  </si>
  <si>
    <t xml:space="preserve">Av. de Santa Cruz - Alt. Estr. do Pré - Sent. Campo Grande - Senador Vasconcelos </t>
  </si>
  <si>
    <t>Google Maps / Tixxi - CAM 572</t>
  </si>
  <si>
    <t xml:space="preserve">Estr. Rio São Paulo - Alt. Estr. Rio do A - Sent. Estr. das Capoeiras </t>
  </si>
  <si>
    <t>Google Maps / Tixxi - CAM 6714</t>
  </si>
  <si>
    <t xml:space="preserve">Av. Borges de Medeiros - Alt. R. José Joaquim Seabra - Sent. Túnel Rebouças - Lagoa </t>
  </si>
  <si>
    <t>Google Maps / Tixxi - CAM 4212</t>
  </si>
  <si>
    <t>Av. Brasil - Alt. Passarela 1 - Sent. Z. Oeste - Caju</t>
  </si>
  <si>
    <t>Google Maps / Tixxi - CAM 724</t>
  </si>
  <si>
    <t>Google Maps / Alarme HxGN / Tixxi - Cam  146</t>
  </si>
  <si>
    <t>AVENIDA BRASIL - ALT. BRT HOSPITAL DE BONSUCESSO - SENT. CENTRO - BONSUCESSO</t>
  </si>
  <si>
    <t>AVENIDA MINISTRO IVAN LINS - ALT. PONTE DA JOATINGA - SENT. REREIO - BARRA DA TIJUCA</t>
  </si>
  <si>
    <t>Google Maps / Alarme HxGN /</t>
  </si>
  <si>
    <t>LINHA VERMELHA - ALT, KM 3 - SENT. BAIXADA - CAJU</t>
  </si>
  <si>
    <t>Google Maps / Alarme HxGN / Tixxi - Cam  4516</t>
  </si>
  <si>
    <t>LINHA VERMELHA - ALT. KM 2 - SENT. CENTRO - SÃO CRISTÓVÃO</t>
  </si>
  <si>
    <t>Google Maps / Alarme HxGN / Tixxi - Cam  756</t>
  </si>
  <si>
    <t xml:space="preserve"> LINHA AMARELA - ALT. SAÍDA 7 - SENT. FUNDÃO - MANGUINHOS</t>
  </si>
  <si>
    <t>Google Maps / Alarme HxGN / Tixxi - Cam  203</t>
  </si>
  <si>
    <t>Manutenção na via (Naturgy)</t>
  </si>
  <si>
    <t>AVENIDA PRESIDENTE VARGAS - ALT. CORREIOS - SENT. CENTRO - CIDADE NOVA</t>
  </si>
  <si>
    <t>Google Maps / Alarme HxGN / Tixxi - Cam  894</t>
  </si>
  <si>
    <t>AVENIDA DAS AMÉRICAS - ALT. EST. BRT NOTRE DAME - SENT. BARRA DA TIJUCA - RECREIO DOS BANDEIRANTES</t>
  </si>
  <si>
    <t>Google Maps / Alarme HxGN / Tixxi - Cam  3245</t>
  </si>
  <si>
    <t>RUA SARGENTO BASILEU DA COSTA - ALT. AV. SARGENTO DE MILICIAS - PAVUNA</t>
  </si>
  <si>
    <t>Obra na via (AEGEA)</t>
  </si>
  <si>
    <t>AVENIDA RODRIGO OTÁVIO - ALT. JOCKEY - SENT. JARDIM BOTÂNICO - GÁVEA</t>
  </si>
  <si>
    <t xml:space="preserve">Av. Padre Leonel Franca - Alt. Túnel Zuzu Angel - Sent. Lagoa - Gávea </t>
  </si>
  <si>
    <t>Google Maps / Alarme HxGN / Tixxi - Cam 543</t>
  </si>
  <si>
    <t xml:space="preserve">Av. de Santa Cruz - Alt. Viaduto de Bangu - Sent. Campo Grande  - Bangu </t>
  </si>
  <si>
    <t>Google Maps / Alarme HxGN / Tixxi - Cam 6690</t>
  </si>
  <si>
    <t xml:space="preserve">Praia de Botafogo - Alt. R. Visc. de Ouro Preto - Sent. Copacabana - Botafogo </t>
  </si>
  <si>
    <t>Google Maps / Alarme HxGN / Tixxi - Cam 1255</t>
  </si>
  <si>
    <t xml:space="preserve">Av. Venceslau Brás - Alt. Av. Carlos Peixoto - Sent. Flamengo - Botafogo </t>
  </si>
  <si>
    <t>Google Maps / Alarme HxGN / Tixxi - Cam 5586</t>
  </si>
  <si>
    <t xml:space="preserve">Rua São Francisco Xavier - Alt. R. Sousa Dantas - São Francisco Xavier </t>
  </si>
  <si>
    <t>Google Maps / Alarme HxGN / Tixxi - Cam 92</t>
  </si>
  <si>
    <t xml:space="preserve">Av. Brasil - Alt. Passarela 5 - Sent. Z. Oeste - Benfica </t>
  </si>
  <si>
    <t>Google Maps / Alarme HxGN / Tixxi - Cam 7115</t>
  </si>
  <si>
    <t xml:space="preserve">Av. Geremário Dantas - Alt. R. Maença - Sent. Tanque - Pechincha </t>
  </si>
  <si>
    <t>Google Maps / Alarme HxGN / Tixxi - Cam 7821</t>
  </si>
  <si>
    <t xml:space="preserve">Av. Rodrigues Alves - Alt. Rodoviária Novo Rio - Sent. Av. Brasil - Santo Cristo </t>
  </si>
  <si>
    <t>Google Maps / Alarme HxGN / Tixxi - Cam 45</t>
  </si>
  <si>
    <t>Google Maps / Alarme HxGN / Tixxi - Cam 482</t>
  </si>
  <si>
    <t xml:space="preserve">Av. Ministro Ivan Lins - Alt. R. Deodato de Moraes - Sent. São Conrado - Barra da Tijuca </t>
  </si>
  <si>
    <t>Google Maps / Alarme HxGN / Tixxi - Cam 756</t>
  </si>
  <si>
    <t>Google Maps / Alarme HxGN / Tixxi - Cam 5278</t>
  </si>
  <si>
    <t xml:space="preserve">Av. Amaro Cavalcanti - Alt. R. Gustavo Riedel - Engenho de Dentro </t>
  </si>
  <si>
    <t>Google Maps / Alarme HxGN / Tixxi - Cam 324</t>
  </si>
  <si>
    <t>Tombamento VP</t>
  </si>
  <si>
    <t xml:space="preserve">Rua Bolívar - Alt. R. Barata Ribeiro - Copacabana </t>
  </si>
  <si>
    <t>Google Maps / Alarme HxGN / Tixxi - Cam 4024</t>
  </si>
  <si>
    <t xml:space="preserve">Elevado do Gasômetro - Alt. BRT INTO - Sent. Centro - Caju </t>
  </si>
  <si>
    <t>Google Maps / Alarme HXG / Tixxi - Cam 4413</t>
  </si>
  <si>
    <t>Av. Brasil - Alt. Passarela 10 - Sent. Z. Oeste - Bonsucesso</t>
  </si>
  <si>
    <t>Google Maps / Alarme HXG</t>
  </si>
  <si>
    <t>Estr. da Pedra - Alt. N° 3476 - Sent. Barra - Guaratiba</t>
  </si>
  <si>
    <t>Google Maps / Tixxi - Cam 432</t>
  </si>
  <si>
    <t>AC 2 VP x Mureta</t>
  </si>
  <si>
    <t>Linha Vermelha - Alt. Km 7,5 - Sent. Baixada - Galeão</t>
  </si>
  <si>
    <t>Google Maps / Alarme HXG / Tixxi - Cam 382</t>
  </si>
  <si>
    <t>Av. Dom Hélder Câmara - Alt. R. Pedras Altas - Sent. Benfica - Cachambi</t>
  </si>
  <si>
    <t>Alarme HXG / Google Maps / Tixxi Cam 173</t>
  </si>
  <si>
    <t>Alarme HXG / Google Maps / Tixxi Cam 4524</t>
  </si>
  <si>
    <t>Linha Vermelha - Alt. Km 5 - Sent. Baixada - Maré</t>
  </si>
  <si>
    <t>AC VP x VTR</t>
  </si>
  <si>
    <t>Linha Amarela - Alt. aída 4 - Sent. Barra - Engenho de Dentro</t>
  </si>
  <si>
    <t>Unusual / Google Maps</t>
  </si>
  <si>
    <t>Linha Amarela - Alt. Saída 5 - Sent. Barra - Inhauma</t>
  </si>
  <si>
    <t>Av. Chrisóstomo Pimentel de Oliveira - Atl. R. Cel. Moreira Cesar - Sent. Viaduto da Pavuna - Pavuna</t>
  </si>
  <si>
    <t>Google Maps / Tixxi - Cam 1160</t>
  </si>
  <si>
    <t>Rua Domingos Lopes - Alt. R. Maria José - Sent. Praça Seca - Madureira</t>
  </si>
  <si>
    <t>Google Maps / Tixxi - Cam 49</t>
  </si>
  <si>
    <t>Rua Barata Ribeiro - Alt. R. Siqueira Campos - Copacabana</t>
  </si>
  <si>
    <t>Tixxi - Cam 324</t>
  </si>
  <si>
    <t>Rua Bolívar - Alt. R. Pompeu Loureiro - Copacabana</t>
  </si>
  <si>
    <t>Alarme HXG / Google Maps / Tixxi - Cam 6301</t>
  </si>
  <si>
    <t>Rua Visconde de Pirajá - Alt. R. Vínicius de Morais - Ipanema</t>
  </si>
  <si>
    <t>Linha Amarela - Alt. Saída 10A - Sent. Fundão - Maré</t>
  </si>
  <si>
    <t>Fechamento de Túnel</t>
  </si>
  <si>
    <t>Túnel André Rebouças</t>
  </si>
  <si>
    <t>Tixxi - Cam 243</t>
  </si>
  <si>
    <t>AVENIDA BORGES DE MEDEIROS - ALT. Nº2930 - SENT. T[UNEL REBOUÇAS - LAGOA</t>
  </si>
  <si>
    <t>Tixxi - Cam 4401</t>
  </si>
  <si>
    <t>Incêndio Imóvel Comercial</t>
  </si>
  <si>
    <t>AVENIDA BRASIL - ALT. Nº8666 - SENT. Z. OESTE - RAMOS</t>
  </si>
  <si>
    <t>Tixxi - Cam 731</t>
  </si>
  <si>
    <t>Avenida Brasil, Parada de Lucas, Rio de Janeiro</t>
  </si>
  <si>
    <t>Ponte Rio - Niteroi</t>
  </si>
  <si>
    <t>TIXXI - Hexagon - CET</t>
  </si>
  <si>
    <t>Avenida Ayrton Senna - Alt. Cidade das Artes - Sent. Orla</t>
  </si>
  <si>
    <t>Mergulhão Billy Blanco - Sent. Linha Amarela - Barra da Tijuca</t>
  </si>
  <si>
    <t>Túnel Rebouças - 2ª Galeria - Sent. Centro - Cosme Velho</t>
  </si>
  <si>
    <t>Incêndio UT</t>
  </si>
  <si>
    <t>Estr. Mapuá - Alt. Estr. Guerenguê - Taquara</t>
  </si>
  <si>
    <t>Av. Rei Pelé - Alt. Portão 2 - Sent. Centro - Maracanã</t>
  </si>
  <si>
    <t>Linha Amarela - Alt. Estr. do Gabinal - Sent. Barra - Jacarepaguá</t>
  </si>
  <si>
    <t>Av. Monsenhor Félix - Alt. R. José Machado - Sent. Madureira - Irajá</t>
  </si>
  <si>
    <t>Av. Presidente Vargas - Alt. Sambódromo - Sent. Praça da Bandeira - Centro</t>
  </si>
  <si>
    <t>Av. Brasil - Alt. Passarela 26 - Sent. Z. Oeste - Irajá</t>
  </si>
  <si>
    <t>Av. Ayrton Senna - Alt. Via SESC - Sent. Orla - Jacarepaguá</t>
  </si>
  <si>
    <t xml:space="preserve">Av. Brasil - Alt. Passarela 05 - Sent. Z.Oeste - Benfica </t>
  </si>
  <si>
    <t>Tunel Rebouças - 2ª Galeria - Sent. Lagoa - Cosme Velho</t>
  </si>
  <si>
    <t>Ponte Rio - Niterói - Alt. Reta do Cais - Sent. Niterói - Caju</t>
  </si>
  <si>
    <t>Av. General Justo - Alt. III COMAR - Sent. Aterro - Centro</t>
  </si>
  <si>
    <t>Avenida Brasil - Alt. Cidade Alta - Sent. Z. Oeste - Parada Lucas</t>
  </si>
  <si>
    <t>Av. Brasil - Alt. Passarela 1 - Sent. Z. Oeste - São Cristóvão</t>
  </si>
  <si>
    <t>Linha Amarela - Alt. Saida 7 - Sent. Barra - Higienópolis</t>
  </si>
  <si>
    <t>AC CM X 3 VP X MT</t>
  </si>
  <si>
    <t>Túnel Santa Bárbara - Sent. Centro - Santa Teresa</t>
  </si>
  <si>
    <t>AC UT X MT</t>
  </si>
  <si>
    <t xml:space="preserve">Av. Brasil - Alt. Passarela 17 - Sent. Z. Oeste - Penha </t>
  </si>
  <si>
    <t>Av. Ayrton Senna - Alt. Espaço Hall - Sent. Orla - Jacarepaguá</t>
  </si>
  <si>
    <t>Semáforo em Flash</t>
  </si>
  <si>
    <t>Av. Geremário Dantas - Alt. R. Edgard Werneck - Ambos sentidos - Freguesia</t>
  </si>
  <si>
    <t>Av. Brasil - Alt. Passarela 2 - Sent. Centro - São Cristóvão</t>
  </si>
  <si>
    <t>Av. Rei Pelé - Alt. Viaduto Oduvaldo Cozzi - Sent. Méier - Maracanã</t>
  </si>
  <si>
    <t>Linha Vermelha - Alt. Linha Amarela - Sent. Baixada - Maré</t>
  </si>
  <si>
    <t>Ponte Rio-Niterói - Alt. Vão Central - Sent. Niterói - Caju</t>
  </si>
  <si>
    <t>Google Maps / TIXXI CAM 112</t>
  </si>
  <si>
    <t>Túnel André Rebouças - Sent. Centro</t>
  </si>
  <si>
    <t>TIXXI CAM 624</t>
  </si>
  <si>
    <t xml:space="preserve">AVENIDA RODRIGUES ALVES - ALT. RODOVIARIA - SENT. AEROPORTO </t>
  </si>
  <si>
    <t xml:space="preserve">AC UT x 3 VP </t>
  </si>
  <si>
    <t>Google Maps / Alarme HxGN / Tixxi - Cam  100</t>
  </si>
  <si>
    <t>AVENIDA TRINTA E UM DE MARÇO - ALT. AV. SALVADOR DE SÁ - SENT. LARANJEIRAS - CIDADE NOVA</t>
  </si>
  <si>
    <t>AVENIDA DAS AMÉRICAS - ALT. N° 3501 - SENT. SÃO CONRADO - BARRA DA TIJUCA</t>
  </si>
  <si>
    <t>ELEVADO DAS BANDEIRAS - ALT. TÚNEL DO JOÁ - SENT. SÃO CONRADO - JOÁ</t>
  </si>
  <si>
    <t>AC VP x 4 MT</t>
  </si>
  <si>
    <t>TUNEL ANTÔNIO REBOUÇAS - ALT. 2ª GALERIA - SENT. LAGOA - RIO COMPRIDO</t>
  </si>
  <si>
    <t>Google Maps / Alarme HxGN / Tixxi - Cam  58</t>
  </si>
  <si>
    <t xml:space="preserve">AC VP x MT seguido de atropelamento </t>
  </si>
  <si>
    <t>AVENIDA AYRTON SENNA - ALT. EST. BRT VIA PARQUE - SENT. ORLA - BARRA DA TIJUCA</t>
  </si>
  <si>
    <t>Google Maps / Alarme HxGN / Tixxi - Cam  138</t>
  </si>
  <si>
    <t>AVENIDA ENGENHEIRO FREYSSINET - SENT. LAGOA - CIDADE NOVA</t>
  </si>
  <si>
    <t>AUTOESTRADA LAGOA-BARRA - ALT. N°3251 - SENT. LAGOA - SÃO CONRADO</t>
  </si>
  <si>
    <t>TUNEL ANTÔNIO REBOUÇAS - ALT. ENTRE TUNEIS - SENT. LAGOA - RIO COMPRIDO</t>
  </si>
  <si>
    <t>Google Maps / Alarme HxGN / Tixxi - Cam  112</t>
  </si>
  <si>
    <t xml:space="preserve">Enguiço TX </t>
  </si>
  <si>
    <t>RUA HUMAITÁ - ALT. VIADUTO SAINT HILAIRE - SENT. LAGOA - HUMAITÁ</t>
  </si>
  <si>
    <t>Google Maps / Alarme HxGN / Tixxi - Cam  1135</t>
  </si>
  <si>
    <t>AVENIDA DAS AMÉRICAS - ALT. CIDADE DAS ARTES - SENT. RECREIO DOS BANDEIRANTES - BARRA DA TIJUCA</t>
  </si>
  <si>
    <t>Google Maps / Alarme HxGN / Tixxi - Cam  2302</t>
  </si>
  <si>
    <t xml:space="preserve">Av. das Américas - Alt. Est. BRT Afrânio Costa - Sent. Recreio dos Bandeirantes - Barra da Tijuca </t>
  </si>
  <si>
    <t>Google Maps / Alarme HxGN / Tixxi - Cam  3212</t>
  </si>
  <si>
    <t>Google Maps / Alarme HxGN / Tixxi - Cam  8582</t>
  </si>
  <si>
    <t xml:space="preserve">Elevado do Gasômetro - Alt. INTO - Sent. Centro - Caju </t>
  </si>
  <si>
    <t xml:space="preserve">Google Maps / Alarme HxGN  </t>
  </si>
  <si>
    <t xml:space="preserve">Elevado Prof. Eng. Rufino de Almeida. Pizarro - Sent. Lagoa - São Cristóvão </t>
  </si>
  <si>
    <t>Google Maps / Alarme HxGN / Tixxi - Cam  6932</t>
  </si>
  <si>
    <t xml:space="preserve">Av. Dom Hélder Câmara - Alt. R. de Lazer - Sent. Cascadura - Pilares </t>
  </si>
  <si>
    <t>Google Maps / Alarme HxGN / Tixxi - Cam  4522</t>
  </si>
  <si>
    <t xml:space="preserve">Linha Veremlha - Alt. KM 7 - Sent. Baixada - Maré </t>
  </si>
  <si>
    <t xml:space="preserve">Linha Amarela - Alt. Acesso 9 C - Sent. Fundão - Maré </t>
  </si>
  <si>
    <t>Google Maps / Alarme HxGN / Tixxi - Cam  4525</t>
  </si>
  <si>
    <t xml:space="preserve">OPeração policial </t>
  </si>
  <si>
    <t xml:space="preserve">Linha Vermelha  - Alt. 22º BPM - Sent. Centro - Maré </t>
  </si>
  <si>
    <t>Google Maps / Alarme HxGN / Tixxi - Cam 758</t>
  </si>
  <si>
    <t xml:space="preserve">Av. Maracanã - Alt. Praça Luis La Saigne - Sent. Maracanã - Tijuca </t>
  </si>
  <si>
    <t>Google Maps / Alarme HxGN / Tixxi - Cam 4616</t>
  </si>
  <si>
    <t xml:space="preserve">Av. Brasil. Alt. Est. BRT Baixa do Sapateiro - Sent. Centro - Bonsucesso </t>
  </si>
  <si>
    <t>Google Maps / Alarme HxGN / Tixxi - Cam 468</t>
  </si>
  <si>
    <t xml:space="preserve">Av. Ayrton Senna - Alt. Cidade das Artes - Sent. São Conrado - Barra da Tijuca </t>
  </si>
  <si>
    <t>Google Maps / Alarme HxGN / Tixxi - Cam 2264</t>
  </si>
  <si>
    <t xml:space="preserve">AV. das Américas - Alt. Est. BRT Recanto das Garças - Sent. Barra da Tijuca - Recreio dos Bandeirantes </t>
  </si>
  <si>
    <t xml:space="preserve"> TÚNEL ZUZU ANGEL - SENT. BARRA DA TIJUCA - ROCINHA</t>
  </si>
  <si>
    <t xml:space="preserve">Google Maps / Alarme HxGN / Drone </t>
  </si>
  <si>
    <t>AVENIDA FRANCISCO BICALHO - ALT. PRAÇA DINÁ DE QUEIROS / SUBIDA LINHA VERMELHA - SANTO CRISTO</t>
  </si>
  <si>
    <t>Google Maps / Alarme HxGN / Tixxi - Cam 1409</t>
  </si>
  <si>
    <t>RUA MÁRIO RIBEIRO - ALT. MIGUEL COUTO - SENT. LAGOA - LEBLON</t>
  </si>
  <si>
    <t>Google Maps / Alarme HxGN / Tixxi - Cam 607</t>
  </si>
  <si>
    <t>AVENIDA MINISTRO IVAN LINS - ALT. PONTE DA JOATINGA - SENT. RECREIO - BARRA DA TIJUCA</t>
  </si>
  <si>
    <t>Google Maps / Alarme HxGN / Tixxi - Cam 796</t>
  </si>
  <si>
    <t>AVENIDA TRINTA E UM DE MARÇO - ALT. R. BENEDITO HIPÓLITO - SENT. CENTRO - CIDADE NOVA</t>
  </si>
  <si>
    <t>Google Maps / Alarme HxGN / Tixxi - Cam 4061</t>
  </si>
  <si>
    <t xml:space="preserve">Estr. do Monteiro - Alt. R. Jupati - Sent. Barra da Tijuca - Campo Grande </t>
  </si>
  <si>
    <t>Google Maps / Alarme HxGN / Tixxi - Cam  1410</t>
  </si>
  <si>
    <t>AC 2 VP x 2 MT</t>
  </si>
  <si>
    <t xml:space="preserve">Av. Padre Leonel Franca - Alt. Túnel Acústico Rafael Mascarenhas - Sent. São Conrado - Gávea </t>
  </si>
  <si>
    <t>Google Maps / Alarme HxGN / Tixxi - Cam  7350</t>
  </si>
  <si>
    <t xml:space="preserve">Av. das Américas - Alt. Est. BRT Américas Park - Sent. Recreio do Bandeirantes - Barra da Tijuca </t>
  </si>
  <si>
    <t>Google Maps / Alarme HxGN / Tixxi - Cam  7808</t>
  </si>
  <si>
    <t xml:space="preserve">Estr. do Monteiro - Alt. Estr. da Iaraquã - Sent. Av. Brasil - Campo Grande </t>
  </si>
  <si>
    <t xml:space="preserve">Av. Dom Helder Câmara - Alt. R. Carlos de Oliveira - Sent. Del Castilho - Abolição </t>
  </si>
  <si>
    <t>Google Maps / Alarme HxGN / Tixxi - Cam 1406</t>
  </si>
  <si>
    <t xml:space="preserve">Av. Bartolomeu Mitre - Alt. R. Mário Ribeiro - Sent. Jardim Botânico - Gávea </t>
  </si>
  <si>
    <t>Google Maps / Alarme HxGN / Tixxi - Cam 768</t>
  </si>
  <si>
    <t xml:space="preserve">Av. Brasil - Alt. Cemitério do Caju - Sent. Z. Oeste - São Cristóvão </t>
  </si>
  <si>
    <t>Google Maps / Alarme HxGN / Tixxi - Cam 2449</t>
  </si>
  <si>
    <t xml:space="preserve">Manutenção na via (Concessionária) </t>
  </si>
  <si>
    <t xml:space="preserve">Transolímpica - Alt. Est. BRT Boiúna - Em ambos os sentidos - Taquara </t>
  </si>
  <si>
    <t>Google Maps / Alarme HxGN / Tixxi - Cam 422</t>
  </si>
  <si>
    <t xml:space="preserve">Google Maps / Alarme HxGN / Tixxi - Cam 3288 </t>
  </si>
  <si>
    <t xml:space="preserve">Estr. do Galeão - Alt. R. Grão de Areia - Sent. Galeão - Portuguesa </t>
  </si>
  <si>
    <t>Google Maps / Alarme HxGN</t>
  </si>
  <si>
    <t>Av. Pastor Martin Luther King Júnior - Alt. Estr. do Barro Vermelho - Sent. Vicente de Carvalho - Colégio</t>
  </si>
  <si>
    <t>Google Maps / Alarme HxGN / Tixxi</t>
  </si>
  <si>
    <t>Av. Dom Hélder Câmara - Alt. Estr. Adhemar Bebiano - Sent. Benfica - Del Castilho</t>
  </si>
  <si>
    <t>Unusual / Google Maps / Alarme HxGN / Tixxi</t>
  </si>
  <si>
    <t>Av. Brasil - Alt. Passarela 28 - Sent. Z. Oeste - Coelho Neto</t>
  </si>
  <si>
    <t>Av. Brasil - Alt. Teminal Gentileza - Sent. Centro - São Cristóvão</t>
  </si>
  <si>
    <t>Av. Epitácio Pessoa - Alt. R. Maria Quitéria - Sent. Gávea - Lagoa</t>
  </si>
  <si>
    <t>Rua Vinícius de Morais - Alt. N° 197 - Ipanema</t>
  </si>
  <si>
    <t>Av. Brasil - Alt. Passarela 7 - Sent. Centro - Bonsucesso</t>
  </si>
  <si>
    <t>AC ON x VP x Poste</t>
  </si>
  <si>
    <t xml:space="preserve">Av. Rui Barbosa - Alt. N° 314 - Flamengo </t>
  </si>
  <si>
    <t>Autoestrada Fernando MacDowell - Alt. Fashion Mall - Sent. Lagoa - São Conrado</t>
  </si>
  <si>
    <t>Linha Vermelha - Alt. Km 7,5 - Sent. Baixada - Cidade Universitária</t>
  </si>
  <si>
    <t>Av. Brasil - Alt. Passarela 5 - Sent. Centro - Benfica</t>
  </si>
  <si>
    <t>Unusual / Google Maps / Tixxi</t>
  </si>
  <si>
    <t>R. São Luiz Gonzaga - Alt. Largo da Cancela - Sent. Centro - São Cristóvão</t>
  </si>
  <si>
    <t xml:space="preserve">Mergulhão Billy Blanco - Sent. Orla - Barra da Tijuca </t>
  </si>
  <si>
    <t>Rua Campo Grande - Alt. R. Padre Pauwels - Sent. Bangu - Campo Grande</t>
  </si>
  <si>
    <t>Av. Trinta e Um de Março - Alt. Cemitério - Sent. Laranjeiras - Catumbi</t>
  </si>
  <si>
    <t>Rua Tonelero - Alt. R. Figueiredo de Magalhães - Copacabana</t>
  </si>
  <si>
    <t>Av. Brasil - Alt. Passarela 30 - Sent. Z. Oeste - Coelho Neto</t>
  </si>
  <si>
    <t xml:space="preserve">Av. Brasil - Alt. Canal do Cunha - Sent. Z. Oeste - Benfica </t>
  </si>
  <si>
    <t>Google Maps / Tixxi CAM 3212</t>
  </si>
  <si>
    <t>AVENIDA AYRTON SENNA - ALT. POSTO SHELL</t>
  </si>
  <si>
    <t>Rua Carolina Machado - Alt. Est. Oswaldo Cruz - Sent. Maracanã - Oswaldo Cruz</t>
  </si>
  <si>
    <t>Av. Pastor Martin Luther King Jr. - Alt. Av. Monsenhor Félix - Sent. Vicente de Carvalho - Irajá</t>
  </si>
  <si>
    <t>Av. das Américas - Alt. Cond. Nova Barra - Sent. Santa Cruz - Recreio</t>
  </si>
  <si>
    <t>AC UT x 2 VP X MT</t>
  </si>
  <si>
    <t>Linha Vermelha - Alt. Km 1 - Sent. Centro - Caju</t>
  </si>
  <si>
    <t>Unusual - Google Maps</t>
  </si>
  <si>
    <t>Av. Pastor Martin Luther King Jr. - Alt. R. Fernandes Portugal - Sent. Centro - Engenho da Rainha</t>
  </si>
  <si>
    <t>Av. Marechal Rondon - Alt. R. São Paulo - Sampaio</t>
  </si>
  <si>
    <t>Av. Brasil - Alt. Transolímpica - Sent. Santa Cruz - Vila Militar</t>
  </si>
  <si>
    <t xml:space="preserve">Elevado Engenheiro Freyssinet - Sent. Centro - Rio Comprido </t>
  </si>
  <si>
    <t>Av. Francisco Bicalho - Alt. Terminal Gentileza - Sent. Centro - São Cristovão</t>
  </si>
  <si>
    <t>Poda de Árvore (LIGHT)</t>
  </si>
  <si>
    <t>Av. Pasteur - Alt. N° 296 - Sent. Praia Vermelha - Botafogo</t>
  </si>
  <si>
    <t>Rodovia Washington Luiz - Alt. Av. Brasil - Sent. Petrópolis - Cordovil</t>
  </si>
  <si>
    <t>ELOVIAS</t>
  </si>
  <si>
    <t>R. Vinte e Quatro de Maio - Alt. R. Conego Tobias - Méier</t>
  </si>
  <si>
    <t>Av. Ayrton Senna - Alt. Vila do Pan - Sent. Linha Amarela - Jacarepaguá</t>
  </si>
  <si>
    <t>Rua Sara - Alt. n° 200 - Santo Cristo</t>
  </si>
  <si>
    <t>AC ON x MT seguido incêndio MT</t>
  </si>
  <si>
    <t>Viaduto Saint-Hilaire - Sent. Lagoa - Jardim Botânico</t>
  </si>
  <si>
    <t>Av. Lúcio Costa - Alt. Posto 7 - Sent. São Conrado - Barra da Tijuca</t>
  </si>
  <si>
    <t>Av. Oswaldo Cruz - Alt. R. Praia de Botafogo - Sent. Aterro - Botafogo</t>
  </si>
  <si>
    <t>Ponte Rio-Niterói - Alt. Grande Curva - Sent. Niterói - Caju</t>
  </si>
  <si>
    <t>Av. Trinta e Um de Março - Alt. Sambódromo - Sent. Centro - Catumbi</t>
  </si>
  <si>
    <t>AC VTR x MT</t>
  </si>
  <si>
    <t>Av. Brasil - Alt. Passarela 23 - Sent. Z. Oeste - Irajá</t>
  </si>
  <si>
    <t>AC 3 VP x MT</t>
  </si>
  <si>
    <t>Av. Brasil - Alt. Posto Vagão - Sent. Z. Oeste - Realengo</t>
  </si>
  <si>
    <t>AC ON x VP x MT</t>
  </si>
  <si>
    <t>Rua Pinheiro Machado - Alt. N° 69 - Sent. Botafogo - Laranjeiras</t>
  </si>
  <si>
    <t>Google Maps - Tixxi CAM 1410</t>
  </si>
  <si>
    <t>AVENIDA PADRE LEONEL FRANCA - ALT. TÚNEL RAFAEL MASCARENHAS</t>
  </si>
  <si>
    <t>Google Maps - Tixxi CAM 216</t>
  </si>
  <si>
    <t>PONTE RIO - NITERÓI - SUBIDA DA PONTE - CAJU</t>
  </si>
  <si>
    <t>Google Maps - BRT</t>
  </si>
  <si>
    <t>TRANSOLÍMPICA - PÓS PEDÁGIO - SENT. AV. BRASIL - JARDIM SULACAP</t>
  </si>
  <si>
    <t>Google Maps - TIXXI CAM 463</t>
  </si>
  <si>
    <t>AV. MIN. EDGARD ROMERO - ALT. BRT OTAVIANO - MADUREIRA</t>
  </si>
  <si>
    <t>Google Maps / Alarme HxGN / Tixxi - Cam 1635</t>
  </si>
  <si>
    <t>Google Maps / Alarme HxGN / Tixxi - Cam 453</t>
  </si>
  <si>
    <t xml:space="preserve">LINHA VERMELHA - ALT. KM20 - SENT. BAIXADA - PAVUNA </t>
  </si>
  <si>
    <t>Google Maps / Alarme HxGN / Tixxi - Cam 748</t>
  </si>
  <si>
    <t>LINHA AMARELA - ALT. SAÍDA 3 - SENT. BARRA - DEL CASTILHO</t>
  </si>
  <si>
    <t xml:space="preserve"> AVENIDA BRASIL - ALT. DA PASSARELA 6  – SENT . CENTRO - MARÉ</t>
  </si>
  <si>
    <t>Google Maps / Alarme HxGN / Tixxi - Cam 173</t>
  </si>
  <si>
    <t>Google Maps / Alarme HxGN / Tixxi - Cam 4425</t>
  </si>
  <si>
    <t>AVENIDA BRASIL - ALT. DA PASSARELA 32  - SENT. Z.OESTE. - GUADALUPE</t>
  </si>
  <si>
    <t>Google Maps / Alarme HxGN / Tixxi - Cam 510</t>
  </si>
  <si>
    <t>TRANSOLÍMPICA - ALT. EST. BRT LEILA DINIZ - SENT. DEODORO - CURICICA</t>
  </si>
  <si>
    <t>Google Maps / Alarme HxGN / Tixxi - Cam 136</t>
  </si>
  <si>
    <t>Google Maps / Alarme HxGN / Tixxi - Cam 715</t>
  </si>
  <si>
    <t>AVENIDA BRASIL - ALT. VILA MILITAR - SENT. Z. OESTE - DEODORO</t>
  </si>
  <si>
    <t>Google Maps / Alarme HxGN / Tixxi - Cam 7237</t>
  </si>
  <si>
    <t>AVENIDA PRESIDENTE VARGAS - ALT. R. PEREIRA FRANCO - SENT. PRAÇA DA BANDEIRA - CENTRO</t>
  </si>
  <si>
    <t>Google Maps / Alarme HxGN / Tixxi - Cam 550</t>
  </si>
  <si>
    <t>Poda de árvore (LIGHT)</t>
  </si>
  <si>
    <t>RUA BERNARDO DE VASCONCELOS - ALT. COLÉGIO PEDRO II - REALENGO</t>
  </si>
  <si>
    <t>Google Maps / Alarme HxGN / Tixxi - Cam 472</t>
  </si>
  <si>
    <t>AVENIDA DAS AMÉRICAS - ALT. EST. BRT DOM BOSCO - SENT. BARRA - RECREIO DOS BANDEIRANTES</t>
  </si>
  <si>
    <t>Google Maps / Alarme HxGN / Tixxi - Cam 345</t>
  </si>
  <si>
    <t>AVENIDA MARACANÃ - ALT. R. MATA MACHADO - MARACANÃ</t>
  </si>
  <si>
    <t>Google Maps / Alarme HxGN / Tixxi - Cam 4428</t>
  </si>
  <si>
    <t>AVENIDA BRASIL - ALT. PASSARELA 26 - SENT. Z. OESTE - IRAJÁ</t>
  </si>
  <si>
    <t>Google Maps / Alarme HxGN / Tixxi - Cam 4412</t>
  </si>
  <si>
    <t xml:space="preserve">AVENIDA BRASIL - ALT. DA PASSARELA 28  – SENT . CENTRO . - COELHO NETO </t>
  </si>
  <si>
    <t>Google Maps / Alarme HxGN / Tixxi - Cam 47</t>
  </si>
  <si>
    <t xml:space="preserve"> AVENIDA LAURO SODRÉ - ALT. TÚNEL DO PASMADO - BOTAFOGO</t>
  </si>
  <si>
    <t>TÚNEL ZUZU ANGEL - SENT. LAGOA - ROCINHA</t>
  </si>
  <si>
    <t>AVENIDA DE SANTA CRUZ - ALT. VIADUTO MARCELLO ALENCAR - SENT. CAMPO GRANDE - SANTÍSSIMO</t>
  </si>
  <si>
    <t>Google Maps / Alarme HxGN / Tixxi - Cam 837</t>
  </si>
  <si>
    <t>AVENIDA PRINCESA ISABEL - ALT. TÚNEL COELHO CINTRA - SENT. LEME - COPACABANA</t>
  </si>
  <si>
    <t>Google Maps /  Alarme HxGN / Tixxi - Cam 602</t>
  </si>
  <si>
    <t xml:space="preserve">R. Conde de Bonfim - Alt. R. Alzira Brandão - Tijuca </t>
  </si>
  <si>
    <t>Google Maps /  Alarme HxGN / Tixxi - Cam 4516</t>
  </si>
  <si>
    <t xml:space="preserve">L. Vermelha - Alt. KM 1 - Sent. Centro - Caju </t>
  </si>
  <si>
    <t xml:space="preserve">Google Maps /  Alarme HxGN </t>
  </si>
  <si>
    <t xml:space="preserve">Av. Dom João VI - Alt. R. Quarenta e Oito - Sent. Santa Cruz - Guaratiba </t>
  </si>
  <si>
    <t>Google Maps /  Alarme HxGN / Tixxi - Cam 5397</t>
  </si>
  <si>
    <t>Av. Presidente Vargas - Alt. Estação Metrô Cidade Nova - Sent. Praça da Bandeira - Cidade Nova</t>
  </si>
  <si>
    <t>Google Maps /  Alarme HxGN / Tixxi - Cam 7533</t>
  </si>
  <si>
    <t xml:space="preserve">Av. das Américas - Alt. R. Dalcídio Jurandir - Sent. São Conrado - Barra da Tijuca </t>
  </si>
  <si>
    <t>CCO MOBI-RIO</t>
  </si>
  <si>
    <t>AVENIDA MARACANÃ - CRUZAMENTO COM RUA SÃO FRANCISCO XAVIER - MARACANÃ</t>
  </si>
  <si>
    <t>Google Maps /  Alarme HxGN / Tixxi - Cam 4425</t>
  </si>
  <si>
    <t>Google Maps /  Alarme HxGN / Tixxi - Cam 150</t>
  </si>
  <si>
    <t>MANUTENÇÃO NA VIA (RIOLUZ)</t>
  </si>
  <si>
    <t>AV. PRESIDENTE VARGAS - ALT. METRO CIDADE NOVA - SENT. LEOPOLDINA - CIDADE NOVA</t>
  </si>
  <si>
    <t>Av. das Américas - Alt. BRT Salvador Allende - Sent. Santa Cruz - Recreio dos Bandeirantes</t>
  </si>
  <si>
    <t>FORÇA MUNICIPAL</t>
  </si>
  <si>
    <t>Google Maps /  Alarme HxGN / Tixxi - Cam 138</t>
  </si>
  <si>
    <t>ELEVADO ENGENHEIRO FREYSSINET - ALT. RUA JOÃO PAULO I - SENT. CENTRO - RIO COMPRIDO</t>
  </si>
  <si>
    <t>Google Maps /  Alarme HxGN / Tixxi - Cam 8701</t>
  </si>
  <si>
    <t>AC VP x POSTE</t>
  </si>
  <si>
    <t xml:space="preserve">RUA CAROLINA MACHADO - ALT. RUA JOÃO DANIEL - SENT. MAL HERMES -  BENTO RIBEIRO </t>
  </si>
  <si>
    <t>Evento - Mamma MIA</t>
  </si>
  <si>
    <t>AVENIDA AYRTON SENNA - ALT. UPTOWN - SENT. LINHA AMARELA - GARDÊNIA AZUL</t>
  </si>
  <si>
    <t>Google Maps /  Alarme HxGN / Tixxi - Cam 99</t>
  </si>
  <si>
    <t>AVENIDA TRINTA E UM DE MARÇO - ALT. PRAÇA DA APOTEOSE - SENT. CENTRO - CATUMBI</t>
  </si>
  <si>
    <t xml:space="preserve">AC x VP </t>
  </si>
  <si>
    <t>TUNEL ANTÔNIO REBOUÇAS - ALT. 2° GALERIA - SENT. LAGOA - RIO COMPRIDO</t>
  </si>
  <si>
    <t>Google Maps /  Alarme HxGN / Tixxi - Cam 101</t>
  </si>
  <si>
    <t>AVENIDA TRINTA E UM DE MARÇO - ALT. SAMBÓDROMO - SENT. CENTRO - CATUMBI</t>
  </si>
  <si>
    <t>LINHA AMARELA - ALT. ACESSO 3 - SENT. BARRA DA TIJUCA - ENGENHO DE DENTRO</t>
  </si>
  <si>
    <t>Google Maps /  Alarme HxGN / Tixxi - Cam 5327</t>
  </si>
  <si>
    <t>RUA PARÁ - ALT. R. TEIXEIRA SOARES - SENT. CENTRO - PRAÇA DA BANDEIRA</t>
  </si>
  <si>
    <t xml:space="preserve">PMERJ </t>
  </si>
  <si>
    <t xml:space="preserve">Estr. do Magarça - Alt. R. Araci - Sent. Barra da Tijuca - Guaratiba </t>
  </si>
  <si>
    <t xml:space="preserve">AC MT x Muro </t>
  </si>
  <si>
    <t xml:space="preserve">R. Itapiru - Alt. Nº 351 - Catumbi </t>
  </si>
  <si>
    <t>Google Maps /  Alarme HxGN / Tixxi - Cam 4050</t>
  </si>
  <si>
    <t xml:space="preserve">Estr. do Monteiro - Alt. R. Itueira - Sent. Av. Brasil - Campo Grande </t>
  </si>
  <si>
    <t>Google Maps /  Alarme HxGN / Tixxi - Cam 153</t>
  </si>
  <si>
    <t xml:space="preserve">Av. Brasil - Alt. Passarela 28 - Sent. Z. Oeste - Coelho Neto </t>
  </si>
  <si>
    <t>Google Maps /  Alarme HxGN / Tixxi - Cam 216</t>
  </si>
  <si>
    <t>Google Maps /  Alarme HxGN</t>
  </si>
  <si>
    <t xml:space="preserve">Av. Dom João VI - Alt. Nº 18.500 - Sent. Barra da Tijuca - Guaratiba </t>
  </si>
  <si>
    <t xml:space="preserve">Elevado Eng. Freyssinet - Alt. R. Joaquim Palhares - Sent. Lagoa - Rio Comprido </t>
  </si>
  <si>
    <t>Praça da Bandeira - Sent. Centro - Praça da Bandeira</t>
  </si>
  <si>
    <t>Av. Dom João VI - Alt. Est. Mato Alto - Ambos sentidos - Guaratiba</t>
  </si>
  <si>
    <t>Elevado do Gasômetro - Alt. Terminal Gentileza - Sent. Centro - Caju</t>
  </si>
  <si>
    <t>Autoestrada Fernando MacDowell - Sent. Lagoa - São Conrado</t>
  </si>
  <si>
    <t>Rua Visconde do RIo Branco - alt. Praça Tiradentes - Centro</t>
  </si>
  <si>
    <t>Av. Brasil - Alt. Passarela 15 - Sent. Centro - Penha</t>
  </si>
  <si>
    <t>Rua Raul Pompéia - Alt. N° 186 - Copacabana</t>
  </si>
  <si>
    <t>Av. Epitácio Pessoa - Alt. R. Vinicius de Morais - Sent. Gávea - Lagoa</t>
  </si>
  <si>
    <t>Av. Marechal Fontenelle - Alt. Estr. Mal. Mallet - Sent. Vila Valqueire - Realengo</t>
  </si>
  <si>
    <t>Ponte Rio Niterói - Alt. Grande Curva - Sent. Niterói - Caju</t>
  </si>
  <si>
    <t>Google Maps - Tixxi CAM: 108</t>
  </si>
  <si>
    <t>Av. General Justos - Alt. Praça Senador Salgado Filho</t>
  </si>
  <si>
    <t>Google Maps - Tixxi CAM: 6715</t>
  </si>
  <si>
    <t>AVENIDA BORGES DE MEDEIROS - ALT. RUA J.J. SEABRA</t>
  </si>
  <si>
    <t>Google Maps - Tixxi CAM: 003</t>
  </si>
  <si>
    <t>OPERAÇÃO ASFALTO LISO(SECONSERVA)</t>
  </si>
  <si>
    <t>AVENIDA PRESIDENTE VARGAS - ALT. PRAÇA DA REPÚBLICA - SENT. PRAÇA DA BANDEIRA</t>
  </si>
  <si>
    <t>Av. Oswaldo Aranha - Alt. Est. São Cristóvão - Sent. Méier - Maracanã</t>
  </si>
  <si>
    <t>Av. Brasil - Alt. Viaduto Deodoro - Sent. Centro - Deodoro</t>
  </si>
  <si>
    <t>R. Arquias Cordeiro - Alt. Hosp. Municipal Salgado Filho - Méier</t>
  </si>
  <si>
    <t>Av. Brasil - Alt. Transolímpica - Sent. Centro - Deodoro</t>
  </si>
  <si>
    <t>Viaduto Jardel Filho - Laranjeiras</t>
  </si>
  <si>
    <t>Av. Ayrton Senna - Alt. Ponte Plácido de Castro - Sent. Orla - Barra da Tijuca</t>
  </si>
  <si>
    <t xml:space="preserve">Túnel Santa Bárbara - Sent. Laranjeiras - Santa Teresa </t>
  </si>
  <si>
    <t>Av. Lúcio Costa - Alt. Hotel Grand Hyatt - Sent. São Conrado - Barra da Tijuca</t>
  </si>
  <si>
    <t xml:space="preserve"> TÚNEL SANTA BÁBARA - ALT. ENTRADA TÚNEL - SENT. CENTRO - LARANJEIRAS</t>
  </si>
  <si>
    <t>TÚNEL ANDRÉ REBOUÇAS - SENT. CENTRO - COSME VELHO</t>
  </si>
  <si>
    <t>Google Maps - Tixxi CAM 147</t>
  </si>
  <si>
    <t>Limpeza na via</t>
  </si>
  <si>
    <t>AV. BRASIL - ALT. BRIGADEIRO TRAMPOWISKI - MANGUINHOS</t>
  </si>
  <si>
    <t xml:space="preserve">Estr. da Gávea - Alt. R. Emb. Gabriel Landa - Sent. Barra da Tijuca - São Conrado </t>
  </si>
  <si>
    <t>Google Maps - Tixxi CAM 20</t>
  </si>
  <si>
    <t xml:space="preserve">Av. das Nações Unidas - Alt. Praça da Nicarágua - Sent. Copacabana - Botafogo </t>
  </si>
  <si>
    <t>Google Maps - Tixxi CAM 6900</t>
  </si>
  <si>
    <t xml:space="preserve">R. São Francisco Xavier - Alt. R. Mariz e Barros - Maracanã </t>
  </si>
  <si>
    <t>Google Maps - Tixxi CAM 6173</t>
  </si>
  <si>
    <t xml:space="preserve">R. Maxwell - Alt. R. Gonzaga Bastos - Andaraí </t>
  </si>
  <si>
    <t>Google Maps - Tixxi CAM 472</t>
  </si>
  <si>
    <t xml:space="preserve">Linha Vermelha - Alt. KM 11 - Sent. Baixada - Galeão </t>
  </si>
  <si>
    <t>Google Maps - Tixxi CAM 6172</t>
  </si>
  <si>
    <t>R. Maxwell - Alt. R. Gonzaga Bastos - Andaraí</t>
  </si>
  <si>
    <t>Google Maps - Tixxi CAM 112</t>
  </si>
  <si>
    <t xml:space="preserve">R. Humaitá - Alt. R. Fonte da Saudade - Sent. Botafogo - Humaitá </t>
  </si>
  <si>
    <t xml:space="preserve">Av. Infante Dom Henrique - Alt. R. Silveira Martins - Sent. Copacabana - Glória </t>
  </si>
  <si>
    <t>Google Maps / Alarme HxGN / Tixxi - Cam 22</t>
  </si>
  <si>
    <t>AC VP x MT Seguido de atropelamento MT</t>
  </si>
  <si>
    <t>LINHA VERMELHA - ALT. KM 19.5 - SENT. CENTRO - PAVUNA</t>
  </si>
  <si>
    <t>Google Maps / Alarme HxGN / Tixxi - Cam 358</t>
  </si>
  <si>
    <t>AVENIDA PROFESSOR MANOEL DE ABREU - ALT. R. PROF. EURICO RABELO - SENT. CENTRO - MARACANÃ</t>
  </si>
  <si>
    <t>Google Maps / Alarme HxGN / Tixxi - Cam 3212</t>
  </si>
  <si>
    <t>AVENIDA AYRTON SENNA - ALT. ETNA - SENT. ORLA - BARRA DA TIJUCA</t>
  </si>
  <si>
    <t>TÚNEL PREFEITO MARCELLO ALENCAR - SENT. AEROPORTO - CENTRO</t>
  </si>
  <si>
    <t>CCO MPE</t>
  </si>
  <si>
    <t>Google Maps / Alarme HxGN / Tixxi - Cam 5681</t>
  </si>
  <si>
    <t>PONTE RIO - NITERÓI - ALT. ILHA DO MOCANGUÊ - SENT NITERÓI - CAJU</t>
  </si>
  <si>
    <t>Google Maps / Alarme HxGN / Tixxi - Cam 174</t>
  </si>
  <si>
    <t>AVENIDA DAS AMÉRICAS - ALT. EST, BRT NOVO LEBLON - SENT. SÃO CONRADO - BARRA DA TIJUCA</t>
  </si>
  <si>
    <t>Google Maps / Alarme HxGN / Tixxi - Cam 7056</t>
  </si>
  <si>
    <t>AVENIDA OSWALDO ARANHA - ALT. METRÔ SÃO CRISTÓVÃO - SENT. MÉIER - MARACANÃ</t>
  </si>
  <si>
    <t>LINHA VERMELHA - ALT. KM 8,5 - SENT. BAIXADA - CIDADE UNIVERSITÁRIA</t>
  </si>
  <si>
    <t>Google Maps / Alarme HxGN / Tixxi - Cam 145</t>
  </si>
  <si>
    <t xml:space="preserve">Av. Brasil - Alt. Canal do Cunha - Sent. Centro - Maré </t>
  </si>
  <si>
    <t>Google Maps / Alarme HxGN / Tixxi - Cam 8031</t>
  </si>
  <si>
    <t xml:space="preserve">Av. Brasil - Alt. Est. BRT Baixa do Sapateiro - Sent. Z. Oeste - Manguinhos </t>
  </si>
  <si>
    <t>Google Maps / Alarme HxGN / Tixxi - Cam 1010</t>
  </si>
  <si>
    <t xml:space="preserve">Elevado do Gasômetro - Alt. Terminal Gentileza - Sent. Av. Brasil - São Cristóvão  </t>
  </si>
  <si>
    <t xml:space="preserve">TXXI </t>
  </si>
  <si>
    <t>Google Maps / Alarme HxGN / Tixxi - Cam 3211</t>
  </si>
  <si>
    <t xml:space="preserve">AV. Ayrton Senna - Alt. Est. BRT Aeroporto Jacarepaguá - Sent. Linha Amarela - Barra da Tijuca </t>
  </si>
  <si>
    <t>Google Maps / Alarme HxGN / Tixxi - Cam 362</t>
  </si>
  <si>
    <t xml:space="preserve">R. Teixeira Soares - Alt. R. Paulo Fernandes - Praça da Bandeira </t>
  </si>
  <si>
    <t xml:space="preserve">R. Teixeira Soares - Alt. R. Sergipe - Praça da Bandeira  </t>
  </si>
  <si>
    <t>Google Maps / Alarme HxGN / Tixxi - Cam 498</t>
  </si>
  <si>
    <t>Av. Cesário de Melo - Alt. Est. BRT Inhoaíba - Sent. Santa Cruz - Inhoaíba</t>
  </si>
  <si>
    <t>Google Maps / Alarme HxGN / Tixxi - Cam 3599</t>
  </si>
  <si>
    <t xml:space="preserve"> AVENIDA PASTOR MARTIN LUTHER KING JÚNIOR - ALT. N°6407 - SENT. INHAÚMA - VICENTE DE CARVALHO</t>
  </si>
  <si>
    <t>AVENIDA MINISTRO IVAN LINS - ALT. R. ARMANDO COELHO DE FREITAS - SENT. RECREIO - BARRA DA TIJUCA</t>
  </si>
  <si>
    <t>Google Maps / Alarme HxGN / Tixxi - Cam 8011</t>
  </si>
  <si>
    <t xml:space="preserve"> LINHA VERMELHA - ALT. KM10 - SENT. CENTRO - GALEÃO</t>
  </si>
  <si>
    <t>Google Maps / Alarme HxGN / Drone</t>
  </si>
  <si>
    <t>Google Maps / Alarme HxGN / Tixxi - Cam 829</t>
  </si>
  <si>
    <t>AC UT x 2 VP x MT</t>
  </si>
  <si>
    <t>AVENIDA INFANTE DOM HENRIQUE - ALT. PARQUE BRIG. EDUARDO GOMES - SENT. CENTRO - FLAMENGO</t>
  </si>
  <si>
    <t>Google Maps / Alarme HxGN / Tixxi - Cam 423</t>
  </si>
  <si>
    <t>LINHA AMARELA - ALT. SAÍDA 8 - SENT. BARRA DA TIJUCA - BONSUCESSO</t>
  </si>
  <si>
    <t>PRAIA DE BOTAFOGO - ALT. R. VISC. DE OURO PRETO - SENT. COPACABANA - BOTAFOGO</t>
  </si>
  <si>
    <t xml:space="preserve"> AVENIDA ENGENHEIRO CARLOS CARVALHO - ALT. EST. BRT REDE SARAH - LINHA AMARELA - JACAREPAGUÁ</t>
  </si>
  <si>
    <t>AVENIDA DAS AMÉRICAS - ALT. AV. CANAL DE MARAPENDI  - SENT. SÃO CONRADO - BARRA DA TIJUCA</t>
  </si>
  <si>
    <t>Google Maps / Alarme HxGN / Tixxi - Cam 114</t>
  </si>
  <si>
    <t xml:space="preserve"> AVENIDA BORGES DE MEDEIROS - ALT. R. J.J. SEABRA - SENT. GÁVEA - LAGOA</t>
  </si>
  <si>
    <t>PONTE RIO - NITERÓI - CAJU - ALT. RETA DO CASS - SENT. NITERÓI</t>
  </si>
  <si>
    <t xml:space="preserve">Ecoponte </t>
  </si>
  <si>
    <t xml:space="preserve"> PONTE RIO - NITERÓI - GRANDE RETA - SENT. NITERÓI CAJU</t>
  </si>
  <si>
    <t>Google Maps / Alarme HxGN / Tixxi - Cam 3141</t>
  </si>
  <si>
    <t>Google Maps / Alarme HxGN / Tixxi - Cam 2462</t>
  </si>
  <si>
    <t>Google Maps / Alarme HxGN / Tixxi - Cam 640</t>
  </si>
  <si>
    <t>AV. ENG CARLOS CARVALHO - ALT. BRT CENTRO METROPOLITANO - SENT. TRANSOLÍMPICA</t>
  </si>
  <si>
    <t>AC VP X MURETA</t>
  </si>
  <si>
    <t>AVENIDA ARMANDO LOMBARDI - ALT. TERMINAL JARDIM OCEÂNICO - SENT. RECREIO - BARRA DA TIJUCA</t>
  </si>
  <si>
    <t>TUNEL ANTÔNIO REBOUÇAS - SENT. CENTRO - RIO COMPRIDO</t>
  </si>
  <si>
    <t>Google Maps - Tixxi CAM 176</t>
  </si>
  <si>
    <t>AV. MARECHAL RONDON - ALT. RUA SÃO FRANCISCO XAVIER</t>
  </si>
  <si>
    <t>Google Maps - Tixxi CAM 5290</t>
  </si>
  <si>
    <t>RUA DANIEL CARNEIRO - ALT Nº 155</t>
  </si>
  <si>
    <t>Google Maps - Tixxi CAM 217</t>
  </si>
  <si>
    <t>ELEVADO DO GASÔMETRO - ALT. INTO - SENT. AV. BRASIL - CAJU</t>
  </si>
  <si>
    <t>OPERAÇÃO PMERJ</t>
  </si>
  <si>
    <t>ELEVADO DO GASÔMETRO - DESCIDA PARA AV. BRASIL - CAJU</t>
  </si>
  <si>
    <t>VIADUTO ENGENHEIRO NORONHA - ALT. ENTRADA DO TÚNEL SANTA BÁRBARA - SENT. CENTRO - LARANJEIRAS</t>
  </si>
  <si>
    <t xml:space="preserve">Linha Vermelha - Alt. KM 10 - Sent. Baixada - Galeão </t>
  </si>
  <si>
    <t>Google Maps - Tixxi CAM 3673</t>
  </si>
  <si>
    <t xml:space="preserve">Av. Pastor Martin Luther King Jr - Alt. Av. Brasil - Sent. Pavuna - Irajá </t>
  </si>
  <si>
    <t xml:space="preserve">Transolímpica - Alt. Est. BRT Boiúna - Sent. Av. Brasil - Taquara </t>
  </si>
  <si>
    <t xml:space="preserve">R. Edgar Werneck - Alt. R. Carmelo - Sent. Taquara - Cidade de Deus </t>
  </si>
  <si>
    <t>Google Maps - Tixxi CAM 421</t>
  </si>
  <si>
    <t xml:space="preserve">L. Vermelha - Alt. KM 7 - Sent. Baixada - Cidade Universitária </t>
  </si>
  <si>
    <t>Google Maps - Tixxi CAM 3212</t>
  </si>
  <si>
    <t xml:space="preserve">Av. Brasil - Alt. Palazzo - Sent. Campo Grande - Bangu </t>
  </si>
  <si>
    <t>Google Maps - Tixxi CAM 1010</t>
  </si>
  <si>
    <t xml:space="preserve">Elevado do Gasômetro - Alt. Terminal Gentileza - Sent. Av. Brasil - Caju </t>
  </si>
  <si>
    <t xml:space="preserve">Av. Brasil - Alt. Estr. do Engenho Novo - Sent. Centro - Realengo </t>
  </si>
  <si>
    <t>Google Maps - Tixxi CAM 2230</t>
  </si>
  <si>
    <t xml:space="preserve">Av. Cesário de Melo - Alt. Est. BRT Ana Gonzaga - Sent. Santa Cruz - Inhoaíba </t>
  </si>
  <si>
    <t>Google Maps - Tixxi CAM 3133</t>
  </si>
  <si>
    <t>Google Maps - Tixxi CAM 3174</t>
  </si>
  <si>
    <t>Atropelamento UT</t>
  </si>
  <si>
    <t>Google Maps - Tixxi CAM 145</t>
  </si>
  <si>
    <t xml:space="preserve">AC 2 ON </t>
  </si>
  <si>
    <t xml:space="preserve">Av. Brasil - Alt. Passarela 5 - Sent. Centro - Benfica </t>
  </si>
  <si>
    <t>Google Maps - Tixxi CAM 173</t>
  </si>
  <si>
    <t xml:space="preserve">Av. Brasil - Alt. Viaduto Ataulfo Alves - Sent. Z. Oeste - Benfica </t>
  </si>
  <si>
    <t>AC Envol. CR</t>
  </si>
  <si>
    <t xml:space="preserve">Av. Brasil - Alt. Estr. da Cancela Preta - Sent. Centro - Padre Miguel </t>
  </si>
  <si>
    <t>Google Maps - Tixxi CAM 4412</t>
  </si>
  <si>
    <t xml:space="preserve">Av. Brasil - Alt. Est. BRT Fazenda Botafogo - Sent. Z. Oeste - Coelho Neto </t>
  </si>
  <si>
    <t>Google Maps - Tixxi CAM 7447</t>
  </si>
  <si>
    <t xml:space="preserve">Av. Embaixador Abelardo Bueno - Alt. Nº 3500 - Sent. Av. Salvador Allende - Barra da Tijuca </t>
  </si>
  <si>
    <t>Google Maps - Tixxi CAM 2228</t>
  </si>
  <si>
    <t xml:space="preserve">Av. Cesário de Melo - Alt. Est. BRT Ana Gonzaga - Sent. Campo Grande - Inhoaíba </t>
  </si>
  <si>
    <t>Google Maps - Tixxi CAM 572</t>
  </si>
  <si>
    <t xml:space="preserve">Estr. Rio do A - Alt. Estr. Rio São Paulo - Sent. Av. Brasil - Campo Grande </t>
  </si>
  <si>
    <t xml:space="preserve">Autoestrada Fernando Mac Dowell - Alt. Av. Niemeyer - Sent. Centro - São Conrado </t>
  </si>
  <si>
    <t xml:space="preserve">R. Teixeira de Freitas - Alt. Av. Beira Mar - Sent. Flamengo - Glória </t>
  </si>
  <si>
    <t>Google Maps - CAM 411</t>
  </si>
  <si>
    <t>Estr. Cel. Pedro Corrêa - Alt. Av. Eng. Carlos Carvalho - Sent. Linha Amarela - Jacarepaguá</t>
  </si>
  <si>
    <t xml:space="preserve">Alarme HXG </t>
  </si>
  <si>
    <t>Incêndio em Imóvel Residencial</t>
  </si>
  <si>
    <t>R. Estremadura - N° 07 - Irajá</t>
  </si>
  <si>
    <t>GLOBOCOP</t>
  </si>
  <si>
    <t>Google Maps - Alarme HXG - CAM 1815</t>
  </si>
  <si>
    <t>Estr. das Furnas - Alt. R. Antônio Monteiro de Araújo - Sent. Barra - Alto da Boa Vista</t>
  </si>
  <si>
    <t>Google Maps - CAM 5016</t>
  </si>
  <si>
    <t xml:space="preserve">R. Joaquim Palhares - Alt. R. João Paulo - Estácio </t>
  </si>
  <si>
    <t>Google Maps - CAM 84</t>
  </si>
  <si>
    <t>R. Licínio Cardoso - Alt. N° 468 - Rocha</t>
  </si>
  <si>
    <t>Google Maps - TIXXI CAM 45</t>
  </si>
  <si>
    <t xml:space="preserve">AV. PADRE LEONEL FRANCA - ALT. PRÇ. SIBÉLIUS </t>
  </si>
  <si>
    <t>Google Maps - TIXXI CAM 18</t>
  </si>
  <si>
    <t>RUA MÁRIO RIBEIRO - ALT. POSTO SHELL - SENT. BARRA</t>
  </si>
  <si>
    <t>Google Maps - TIXXI CAM 358</t>
  </si>
  <si>
    <t>MANUTENÇÃO NA VIA</t>
  </si>
  <si>
    <t>RUA RADIALISTA WALDIR AMARAL - ALT. R. SÃO FRANCISCO XAVIER</t>
  </si>
  <si>
    <t>Jarvis</t>
  </si>
  <si>
    <t>RUA SANATÓRIO - ALT. R. IGUAÇÚ - S/N° - MADUREIRA</t>
  </si>
  <si>
    <t>LINHA VERMELHA - ALT. KM 4 - SENT. CENTRO - MARÉ</t>
  </si>
  <si>
    <t>RUA MAXWELL - ALT. R. BARÃO DE SÃO FRANCISCO - SENT. CENTRO - ANDARAÍ</t>
  </si>
  <si>
    <t>RUA VINTE E QUATRO DE MAIO - ALT. R. SOUTO CARVALHO - ENGENHO NOVO</t>
  </si>
  <si>
    <t>AVENIDA ERNANI CARDOSO - ALT. GUANABARA - CASCADURA</t>
  </si>
  <si>
    <t>LINHA VERMELHA - ALT. KM 15 - SENT. BAIXADA - CORDOVIL</t>
  </si>
  <si>
    <t>AVENIDA PADRE LEONEL FRANCA - ALT. T. RAFAEL MASCARENHAS - SENT. LAGOA - GÁVEA</t>
  </si>
  <si>
    <t xml:space="preserve">AC CM  x 2 VP </t>
  </si>
  <si>
    <t>AVENIDA DOM JOÃO VI - ALT. EST. BRT MATO ALTO - SENT. SANTA CRUZ - GUARATIBA</t>
  </si>
  <si>
    <t>Limpeza de via</t>
  </si>
  <si>
    <t>AVENIDA DELFIM MOREIRA - ALT. POSTO 11 - SENT. IPANEMA - LEBLON</t>
  </si>
  <si>
    <t>RUA VISCONDE DE NITERÓI - ALT. VIADUTO AGENOR DE OLIVEIRA - SENT. CENTRO - MANGUEIRA</t>
  </si>
  <si>
    <t>AVENIDA FRANCISCO BICALHO - ALT. VIADUTO DOS MARINHEIROS - SENT. AV. BRASIL - SANTO CRISTO</t>
  </si>
  <si>
    <t>AVENIDA ENGENHEIRO CARLOS CARVALHO - ALT. EST. BRT RIO2 - SENT. LINHA AMARELA - JACAREPAGUÁ</t>
  </si>
  <si>
    <t>LINHA AMARELA - ALT. SAÍDA 05 - SENT. BARRA - DEL CASTILHO</t>
  </si>
  <si>
    <t>Obra na via (SECONSERVA)</t>
  </si>
  <si>
    <t>AVENIDA BRASIL - ALT. CANAL DO CUNHA - SENT. CENTRO - MANGUINHOS</t>
  </si>
  <si>
    <t>AVENIDA BRASIL - ALT. PASSARELA 4 - SENT. CENTRO - SÃO CRISTÓVÃO</t>
  </si>
  <si>
    <t>AVENIDA JOSÉ SILVA DE AZEVEDO NETO - ALT. LEROY MERLIN - SENT. LINHJA AMARELA - BARRA DA TIJUCA</t>
  </si>
  <si>
    <t>TÚNEL ZUZU ANGEL - SENT. BARRA - ROCINHA</t>
  </si>
  <si>
    <t>LINHA AMARELA - ALT. SAIDA 1A - SENT. FUNDÃO - FREGUESIA JACAREPAGUÁ</t>
  </si>
  <si>
    <t>AVENIDA BRASIL - ALT. PASSARELA 30 - SENT. Z. OESTE - GUADALUPE</t>
  </si>
  <si>
    <t xml:space="preserve">Google Maps / Alarme HxGN / Tixxi </t>
  </si>
  <si>
    <t xml:space="preserve"> AVENIDA AYRTON SENNA - ALT. PONTE SANTOS DUMONT - SENT. LINHA AMARELA - GARDÊNIA AZUL</t>
  </si>
  <si>
    <t>Google Maps / Alarme HxGN / Tixxi - Cam 162</t>
  </si>
  <si>
    <t xml:space="preserve"> LINHA VERMELHA - ALY. KM2 - SENT. BAIXADA - SÃO CRISTÓVÃO</t>
  </si>
  <si>
    <t>Google Maps / Alarme HxGN / Tixxi - Cam 894</t>
  </si>
  <si>
    <t xml:space="preserve"> AVENIDA DAS AMÉRICAS - ALT. N°19400 - SENT. SANTA CRUZ - RECREIO DOS BANDEIRANTES</t>
  </si>
  <si>
    <t>Google Maps / Alarme HxGN / Tixxi - Cam 99</t>
  </si>
  <si>
    <t>AVENIDA TRINTA E UM DE MARÇO - ALT. R. VALENÇA - SENT. BOTAFOGO - CATUMBI</t>
  </si>
  <si>
    <t>Google Maps / Alarme HxGN / Tixxi - Cam 4469</t>
  </si>
  <si>
    <t>TÚNEL SANTA BÁRBARA - SENT. CENTRO - LARANJEIRAS</t>
  </si>
  <si>
    <t>Google Maps / Alarme HxGN / Tixxi - Cam 141</t>
  </si>
  <si>
    <t>PINTURA DE CICLOFAIXA</t>
  </si>
  <si>
    <t>ELEVADO ENG. FREYSSINET - SENT. CENTRO</t>
  </si>
  <si>
    <t>Google Maps / Alarme HxGN / Tixxi - Cam 003</t>
  </si>
  <si>
    <t>ASFALTO LISO</t>
  </si>
  <si>
    <t xml:space="preserve">AV. PRESIDENTE VARGAS - ALT. CAMPO DO SANTANA - SENT. PRÇ DA BANDEIRA </t>
  </si>
  <si>
    <t>Google Maps / Alarme HxGN / Tixxi - Cam 126</t>
  </si>
  <si>
    <t xml:space="preserve"> PONTE DA JOATINGA - SENT. RECREIO - BARRA DA TIJUCA</t>
  </si>
  <si>
    <t>Google Maps / Alarme HxGN / Tixxi - Cam 123</t>
  </si>
  <si>
    <t>Fechamento de Elevado</t>
  </si>
  <si>
    <t>ELEVADO DAS BANDEIRAS - TABLADO INFERIOR - SENT. SÃO CONRADO</t>
  </si>
  <si>
    <t>AVENIDA DOM JOÃO VI - ALT. EST. BRT MATO ALTO - GUARATIBA</t>
  </si>
  <si>
    <t>LINHA AMARELA - ALT. ESTADIO NILTON SANTOS - SENT. FUNDÃO - ENGENHO DE DENTRO</t>
  </si>
  <si>
    <t>Ac envol. TX</t>
  </si>
  <si>
    <t>AVENIDA VINTE DE JANEIRO - ALT. BASE DA GARDA MUNICIPAL - SENT. ESTRADA DO GALEÃO - GALEÃO</t>
  </si>
  <si>
    <t xml:space="preserve"> TUNEL ANTÔNIO REBOUÇAS - 1ª GALERIA  - SENT. LAGOA - RIO COMPRIDO</t>
  </si>
  <si>
    <t>RUA JOÃO VICENTE - ALT. Nº 839 - SENT. DEODORO - MARECHAL HERMES</t>
  </si>
  <si>
    <t>AC VP x Canaleta</t>
  </si>
  <si>
    <t>TUNEL ANTÔNIO REBOUÇAS - 2ª GALERIA - SENT. LAGOA - RIO COMPRIDO</t>
  </si>
  <si>
    <t xml:space="preserve">Ocorrência policial </t>
  </si>
  <si>
    <t xml:space="preserve">Av. Lúcio Costa - Alt. R. Carlos Leite - Sent. Recreio dos Bandeirantes - Barra da Tijuca </t>
  </si>
  <si>
    <t xml:space="preserve">Estr. do Mato Alto - Alt. R. Caminho Guararema - Sent. Campo Grande - Guaratiba </t>
  </si>
  <si>
    <t>Google Maps - Tixcx CAM 4069</t>
  </si>
  <si>
    <t>AC 2 BRT</t>
  </si>
  <si>
    <t xml:space="preserve">Estr. dos Bandeirantes - Alt. Est. BRT Arroio Pavuna - Sent. Taquara - Curicica </t>
  </si>
  <si>
    <t xml:space="preserve">Av. Brasil - Alt. Estr. da Cancela Preta - Sent. Santa Cruz - Bangu </t>
  </si>
  <si>
    <t xml:space="preserve">Av. Brasil - Alt. R. Hélio do Amaral - Sent. Centro - Padre Miguel </t>
  </si>
  <si>
    <t xml:space="preserve">Estr. Mal. Alencastro - Alt. R. Ten. Serafim - Sent. Av. Brasil - Deodoro </t>
  </si>
  <si>
    <t>Google Maps - Tixxi CAM 512</t>
  </si>
  <si>
    <t xml:space="preserve">Av. Geremário Dantas - Alt. R. Edgard Werneck - Sent. Linha Amarela - Pechincha </t>
  </si>
  <si>
    <t>Google Maps - Tixxi CAM 8150</t>
  </si>
  <si>
    <t xml:space="preserve">Estr. do Gabinal - Alt. Nº 433 - Sent. Linha Amarela - Freguesia Jacarepaguá </t>
  </si>
  <si>
    <t>Google Maps - Tixxi CAM 138</t>
  </si>
  <si>
    <t xml:space="preserve">Elevado Eng. Freyssinet - Alt. R. Santa Amélia - Sent. Lagoa - Praça da Bandeira </t>
  </si>
  <si>
    <t>Google Maps - Tixxi CAM 7554</t>
  </si>
  <si>
    <t xml:space="preserve">Av. Embaixador Abelardo Bueno - Alt. Est. BRT Parque Olímpico - Sent. Linha Amarela - Barra da Tijuca </t>
  </si>
  <si>
    <t>AVENIDA PRINCESA ISABEL - ALT. TÚNEL ENG. MARQUÊS PÔRTO - SENT. LEME - COPACABANA</t>
  </si>
  <si>
    <t>Google Maps / Alarme HxGN / Tixxi - Cam 4870</t>
  </si>
  <si>
    <t>AVENIDA EMBAIXADOR ABELARDO BUENO - ALT. EST. BRT PARQUE OLÍMPICO - SENT. LINHA AMARELA - BARRA DA TIJUCA</t>
  </si>
  <si>
    <t>Google Maps / Alarme HxGN / Tixxi - Cam 432</t>
  </si>
  <si>
    <t xml:space="preserve"> LINHA VERMELHA - ALT. KM8 - SENT. BAIXADA - CIDADE UNIVERSITÁRIA</t>
  </si>
  <si>
    <t>Google Maps / Alarme HxGN / Tixxi - Cam 1133</t>
  </si>
  <si>
    <t xml:space="preserve">Av. Borges de Medeiros - Alt. R. Prof. Abelardo Lóbo - Sent. Gávea - Lagoa </t>
  </si>
  <si>
    <t>Google Maps / Alarme HxGN / Tixxi - Cam 4370</t>
  </si>
  <si>
    <t xml:space="preserve">Av. Brasil - Alt. Est. BRT Fiocruz - Sent. Centro - Manguinhos </t>
  </si>
  <si>
    <t xml:space="preserve">Av. Pastor Martin Luther King Jr - Alt. Est. Metrô Engenheiro Rubens Paiva - Sent. Baixada - Pavuna </t>
  </si>
  <si>
    <t>LINHA VERMELHA - ALT. KM 11 -SENT. BAIXADA - GALEÃO</t>
  </si>
  <si>
    <t>Google Maps / Alarme HxGN / Tixxi - Cam 3</t>
  </si>
  <si>
    <t>AVENIDA PRESIDENTE VARGAS - ALT. PRAÇA DA REPÚBLICA  - SENT. PRAÇA DA BANDEIRA - CENTRO</t>
  </si>
  <si>
    <t>Google Maps / Alarme HxGN / Tixxi - Cam 1646</t>
  </si>
  <si>
    <t xml:space="preserve">Içamento de Estrutura </t>
  </si>
  <si>
    <t>Google Maps / Alarme HxGN / Tixxi - Cam 7082</t>
  </si>
  <si>
    <t xml:space="preserve">Av. Brasil - Alt. Estr. do Mendanha - Sent. Santa Cruz - Campo Grande </t>
  </si>
  <si>
    <t>Google Maps / Alarme HxGN / Tixxi - Cam 4407</t>
  </si>
  <si>
    <t xml:space="preserve">Av. Brasil - Alt. Est. BRT Mercado São Sebastião - Sent. Centro - Cordovil </t>
  </si>
  <si>
    <t>Google Maps / Alarme HxGN / Tixxi - Cam 27</t>
  </si>
  <si>
    <t>AVENIDA NOSSA SENHORA DE COPACABANA - ALT. R. SANTA CLARA - COPACABANA</t>
  </si>
  <si>
    <t xml:space="preserve">Av. Salvador Allende - Alt. Est. BRT Ilha Pura - Sent. Curicica - Recreio dos Bandeirantes </t>
  </si>
  <si>
    <t>Google Maps / Alarme HxGN / Tixxi - Cam 354</t>
  </si>
  <si>
    <t xml:space="preserve">Av. Prof. Manoel de Abreu - Alt. Praça Niterói - Sent. Av. Rei Pelé - Maracanã </t>
  </si>
  <si>
    <t>LINHA AMARELA - ALT. SAÍDA 9B - SENT. FUNDÃO - MANGUINHOS</t>
  </si>
  <si>
    <t>Google Maps / Alarme HxGN / Tixxi - Cam 4386</t>
  </si>
  <si>
    <t xml:space="preserve">Estr. Intendente Magalhães - Alt. R. Domingos Lopes - Sent. Cascadura - Madureira </t>
  </si>
  <si>
    <t>Google Maps / TIXXI</t>
  </si>
  <si>
    <t>AC TX X 2 VP</t>
  </si>
  <si>
    <t>AVENIDA AMARO CAVALCANTI - ALT. R. MÁRIO CALDERARO - SENT. PIEDADE - ENGENHO DE DENTRO</t>
  </si>
  <si>
    <t>BRT TRANSOLÍMPICA - ALT. BRT LEIA DINIZ -SENT. RECREIO - JACAREPAGUÁ</t>
  </si>
  <si>
    <t>Google Maps / Alarme HxGN / Tixxi - Cam 150</t>
  </si>
  <si>
    <t>Manutenção na via (Águas do Rio)</t>
  </si>
  <si>
    <t>AVENIDA PRESIDENTE VARGAS - ALT. V. FRANCISCO BICALHO - SENT. AV. BRASIL - CIDADE NOVA</t>
  </si>
  <si>
    <t xml:space="preserve"> LINHA VERMELHA - ALT. KM 11 - SENT. CENTRO - GALEÃO</t>
  </si>
  <si>
    <t>CET- RIO</t>
  </si>
  <si>
    <t>Google Maps / Alarme HxGN / Tixxi - Cam 4944</t>
  </si>
  <si>
    <t xml:space="preserve">Evento Esportivo - Ciruito Desbrava </t>
  </si>
  <si>
    <t xml:space="preserve"> PRAÇA MAUÁ - CENTRO</t>
  </si>
  <si>
    <t xml:space="preserve"> LINHA VERMELHA - ALT. KM 12,5 - SENT. BAIXADA - GALEÃO</t>
  </si>
  <si>
    <t>Google Maps / Alarme HxGN / Tixxi - Cam 4395</t>
  </si>
  <si>
    <t xml:space="preserve">Evento - Concurso Públio </t>
  </si>
  <si>
    <t>AVENIDA BRASIL - ALT. CEFAN - SENT. Z. OESTE - PENHA</t>
  </si>
  <si>
    <t>Google Maps / Alarme HxGN / Tixxi - Cam 4447</t>
  </si>
  <si>
    <t xml:space="preserve"> LINHA AMARELA - ALT.  VIADUTO GABINAL - SENT. BARRA DA TIJUCA - FREGUESIA JACAREPAGUÁ</t>
  </si>
  <si>
    <t>Google Maps / Alarme HxGN / Tixxi - Cam 764</t>
  </si>
  <si>
    <t>RUA SENADOR BERNARDO MONTEIRO - ALT. R. PREF. OLÍMPIO DE MELO - BENFICA</t>
  </si>
  <si>
    <t xml:space="preserve">R. Cândido Benício - Alt. R. Albano - Sent. Madureira - Praça Seca </t>
  </si>
  <si>
    <t>Google Maps / Alarme HxGN / Tixxi - Cam 4378</t>
  </si>
  <si>
    <t xml:space="preserve">Boulevard 28 de Setembro - Alt. R. Visc. de Abaeté - Sent. Grajaú - Vila Isabel </t>
  </si>
  <si>
    <t xml:space="preserve">Av. das Américas - Alt. R. Waldyr Leal Lopes - Sent. Santa Cruz - Recreio dos Bandeirantes </t>
  </si>
  <si>
    <t>LINHA VERMELHA - CIDADE UNIVERSITÁRIA - ALT. KM 7 - SENT. CENTRO</t>
  </si>
  <si>
    <t xml:space="preserve">
AVENIDA EMBAIXADOR ABELARDO BUENO - BARRA OLÍMPICA - ALT. CENTRO OLÍMPICO - SENT. AYRTON SENNA</t>
  </si>
  <si>
    <t>TÚNEL SANTA BÁRBARA - SANTA TERESA - SENT. CENTRO</t>
  </si>
  <si>
    <t>ELEVADO ENG. RUFINO DE A. PIZARRO - PRAÇA DA BANDEIRA - ALT. LEOPOLDINA - SENT. LAGO</t>
  </si>
  <si>
    <t xml:space="preserve">
ESTRADA DO MENDANHA - CAMPO GRANDE - ALT. Nº 175 - SENT. GUARATIBA</t>
  </si>
  <si>
    <t>AVENIDA DAS NAÇÕES UNIDAS - BOTAFOGO - ALT. AVENIDA OSWALDO CRUZ - SENT. CENTRO</t>
  </si>
  <si>
    <t>AC ENVOL. MT</t>
  </si>
  <si>
    <t>AVENIDA CESÁRIO DE MELO - CAMPO GRANDE - ALT. N° 5681 - SENT. SANTA CRUZ</t>
  </si>
  <si>
    <t>BOULEVARD VINTE E OITO DE SETEMBRO - VILA ISABEL - ALT. Nº 277</t>
  </si>
  <si>
    <t>AGOSTO</t>
  </si>
  <si>
    <t>Matheus/Ricado/Jackson/Márcio</t>
  </si>
  <si>
    <t xml:space="preserve">Av. Brasil - Alt. Estr. Mal Alencastro - Sent. Centro - Deodoro </t>
  </si>
  <si>
    <t>R. Cândido Benício - Alt. Est. BRT Ipase - Sent. Madureira - Praça Seca</t>
  </si>
  <si>
    <t>Google Maps / Alarme HxGN / Tixxi Cam 4412</t>
  </si>
  <si>
    <t xml:space="preserve">Av. Brasil - Alt. Passarela 28 - Sent. Centro - Coelho Neto </t>
  </si>
  <si>
    <t xml:space="preserve">Elevado Eng. Freyssinet - Sent. Túnel Rebouças - Rio Comprido </t>
  </si>
  <si>
    <t>Google Maps / Alarme HxGN / Tixxi Cam 147</t>
  </si>
  <si>
    <t xml:space="preserve">Matheus/Ricardo/Maggessi </t>
  </si>
  <si>
    <t xml:space="preserve">Av. Brasil - Alt. Av. Brg. Trompowski - Sent. Z. Oeste - Maré </t>
  </si>
  <si>
    <t xml:space="preserve">Av. Brasil - Alt. Transolímpica - Sent. Santa Cruz - Realengo </t>
  </si>
  <si>
    <t xml:space="preserve">Linha Amarela - Alt. Acesso 08 - Sent. Barra da Tijuca - Bonsucesso </t>
  </si>
  <si>
    <t>Google Maps / Alarme HxGN / Tixxi Cam 8031</t>
  </si>
  <si>
    <t xml:space="preserve">Av. Paulo de Frontin - Alt. R. Barão de Itapagipe - Sent. Lagoa - Rio Comprido </t>
  </si>
  <si>
    <t>Google Maps / Alarme HxGN / Tixxi Cam 240</t>
  </si>
  <si>
    <t xml:space="preserve">R. Mena Barreto - Alt. R. Real Grandeza - Botafogo </t>
  </si>
  <si>
    <t>Matheus/Ricardo/Maggesi</t>
  </si>
  <si>
    <t>Av. Pastor Martin Luther King - Alt. Av. Monsenhor Félix - Sent. Vicente de Carvalho - Irajá</t>
  </si>
  <si>
    <t>Google Maps / Alarme HxGN / Tixxi Cam 173</t>
  </si>
  <si>
    <t xml:space="preserve">Av. Brasil - Alt. Passarela 4 - Sent. Centro - Benfica </t>
  </si>
  <si>
    <t xml:space="preserve">Av. das Américas - Alt. Est. BRT Bosque da Barra - Sent. São Conrado - Barra da Tijuca </t>
  </si>
  <si>
    <t xml:space="preserve">Alex / Hugo / Felipe </t>
  </si>
  <si>
    <t>Google Maps / Alarme HxGN / Tixxi Cam 4226</t>
  </si>
  <si>
    <t>Av. Francisco Bicalho - Alt. Viaduto do Gasômetro - Sent. Centro</t>
  </si>
  <si>
    <t>Google Maps / Alarme HxGN / Tixxi Cam 410</t>
  </si>
  <si>
    <t>AVENIDA ENGENHEIRO CARLOS CARVALHO - ALT. ARROIO PAVUNA - SENT. LINHA AMARELA - OLÍMPICA</t>
  </si>
  <si>
    <t>TUNEL ANTÔNIO REBOUÇAS - ALT. 1°GALERIA - SENT. CENTRO - RIO COMPRIDO</t>
  </si>
  <si>
    <t>Google Maps / Alarme HxGN / Tixxi Cam 581</t>
  </si>
  <si>
    <t xml:space="preserve"> ESTRADA DA POSSE - ALT. EST. DO LAMEIRÃO  - SENT. BARRA DA TIJUCA - CAMPO GRANDE</t>
  </si>
  <si>
    <t>Google Maps / Alarme HxGN / Tixxi Cam 3175</t>
  </si>
  <si>
    <t>AVENIDA SALVADOR ALLENDE - ALT. EST. BRT ASA BRANCA - SENT. ORLA - BARRA DA TIJUCA</t>
  </si>
  <si>
    <t>Google Maps / Alarme HxGN / Tixxi Cam 472</t>
  </si>
  <si>
    <t>AVENIDA AYRTON SENNA - ALT. ALFA BARRA I - SENT. LINHA AMARELA - BARRA DA TIJUCA</t>
  </si>
  <si>
    <t>Google Maps / Alarme HxGN / Tixxi Cam 4708</t>
  </si>
  <si>
    <t>PRAÇA PROFESSOR JOSÉ BERNARDINO - ALT. AV. FERNANDO MATTOS - SENT. ORLA - BARRA DA TIJUCA</t>
  </si>
  <si>
    <t>TUNEL ANTÔNIO REBOUÇAS - 2° GALERIA - SENT. CENTRO - RIO COMPRIDO</t>
  </si>
  <si>
    <t>Google Maps / Alarme HxGN / Tixxi Cam 5808</t>
  </si>
  <si>
    <t>ESTRADA DO QUITUNGO - ALT. AV. MERITI  - SENT. CORDOVIL - BRÁS DE PINA</t>
  </si>
  <si>
    <t>AVENIDA AYRTON SENNA - ALT. N° 5555 - SENT. ORLA - JACAREPAGUÁ</t>
  </si>
  <si>
    <t>Google Maps / Alarme HxGN / Tixxi Cam 93</t>
  </si>
  <si>
    <t>RUA SÃO LUIZ GONZAGA - ALT. AV. DOM HÉLDER CÂMARA - SENT. MANGUINHOS - BENFICA</t>
  </si>
  <si>
    <t>Google Maps / Alarme HxGN / Tixxi Cam 1822</t>
  </si>
  <si>
    <t>AC ON x CM</t>
  </si>
  <si>
    <t>Maggessi / Vinicius / Diego</t>
  </si>
  <si>
    <t>ESTRADA DAS FURNAS - ALT. Nº 777 - ALTO DA BOA VISTA</t>
  </si>
  <si>
    <t xml:space="preserve">Daniel / Hugo / Felipe </t>
  </si>
  <si>
    <t>AVENIDA BRASIL - ALT. BATAN - SENT. Z. OESTE - REALENGO</t>
  </si>
  <si>
    <t>Google Maps / Alarme HxGN / Tixxi Cam 7737</t>
  </si>
  <si>
    <t>AVENIDA AYRTON SENNA - ALT. ASSAÍ - SENT. ORLA - GARDÊNIA AZUL</t>
  </si>
  <si>
    <t>Google Maps / Alarme HxGN / Tixxi Cam 683</t>
  </si>
  <si>
    <t>TÚNEL ANDRÉ REBOUÇAS - SENT. LAGOA - COSME VELHO</t>
  </si>
  <si>
    <t xml:space="preserve">Enguiço </t>
  </si>
  <si>
    <t>AVENIDA EMBAIXADOR ABELARDO BUENO - ALT. EST BRT PARQUE OLÍMPICO - SENT. LINHA AMARELA - BARRA DA TIJUCA</t>
  </si>
  <si>
    <t>AVENIDA ENGENHEIRO CARLOS CARVALHO - ALT. EST BRT REDE SARAH - SENT. LINHA AMARELA - JACAREPAGUÁ</t>
  </si>
  <si>
    <t>BRT</t>
  </si>
  <si>
    <t>Google Maps / Alarme HxGN / Tixxi Cam 783</t>
  </si>
  <si>
    <t>RUA GENERAL LUÍS MENDES DE MORAIS - ALT. PRAÇA DINÁ DE QUEIRÓS - SENT. PRAÇA DA BANDEIRA - SANTO CRISTO</t>
  </si>
  <si>
    <t>Google Maps / Alarme HxGN / Tixxi Cam 5397</t>
  </si>
  <si>
    <t>AVENIDA PRESIDENTE VARGAS - ALT. VIADUTO DOS MARINHEIROS - SENT. PRAÇA DA BANDEIRA - CIDADE NOVA</t>
  </si>
  <si>
    <t>Google Maps / Alarme HxGN / Tixxi Cam 13</t>
  </si>
  <si>
    <t>RUA PINHEIRO MACHADO - ALT. R. BARÃO DE ITAMBÍ - SENT. CENTRO - BOTAFOGO</t>
  </si>
  <si>
    <t xml:space="preserve"> AVENIDA BORGES DE MEDEIROS &amp; AVENIDA EPITÁCIO PESSOA &amp; VIADUTO SAINT HILAIRE - LAGOA</t>
  </si>
  <si>
    <t>LINHA VERMELHA - ALT. KM 09 - SENT. BAIXADA - GALEÃO</t>
  </si>
  <si>
    <t>PONTE RIO - NITERÓI - CAJU - ALT. GRANDE CURVA - SENT. NITERÓI</t>
  </si>
  <si>
    <t>Google Maps / Alarme HxGN / Tixxi Cam 3645</t>
  </si>
  <si>
    <t>AVENIDA PASTOR MARTIN LUTHER KING JÚNIOR - ALT. ESTRADA ADHEMAR BEBIANO - SENT. VICENTE DE CARVALHO - ENGENHO DA RAINHA</t>
  </si>
  <si>
    <t xml:space="preserve">PONTE RIO - NITERÓI - CAJU - ALT. PÓRTICO 15 - SENT. NITERÓI </t>
  </si>
  <si>
    <t>Google Maps / Alarme HxGN / Tixxi Cam 150</t>
  </si>
  <si>
    <t xml:space="preserve">AC CM x ON </t>
  </si>
  <si>
    <t>VIADUTO DOS MARINHEIROS - SENT. MARACANÃ - PRAÇA DA BANDEIRA</t>
  </si>
  <si>
    <t>Google Maps / Alarme HxGN / Tixxi Cam 4501</t>
  </si>
  <si>
    <t>Márcio / Vinicius / Diego / Jackson</t>
  </si>
  <si>
    <t>Av. Infante Dom Henrique - Alt. Rua do Russel - Sent. Copacabana</t>
  </si>
  <si>
    <t>Google Maps / Alarme HxGN / Tixxi Cam 96</t>
  </si>
  <si>
    <t>Entrada Túnel Santa Bárbara</t>
  </si>
  <si>
    <t>Viaduto dos Fuzileiros - Praça da Bandeira</t>
  </si>
  <si>
    <t>Google Maps / Alarme HxGN / Tixxi Cam 216</t>
  </si>
  <si>
    <t>Viaduto Professor Mário Henrique Simonsen - Agulha de acesso a Ponte Rio-Niteroi</t>
  </si>
  <si>
    <t>Google Maps / Alarme HxGN / Tixxi Cam 4838</t>
  </si>
  <si>
    <t>AVENIDA REI PELÉ - ALT. PASSARELA DO TREM - SENT. MEIER</t>
  </si>
  <si>
    <t>Marcio / Jackson / Diego / Vinicius</t>
  </si>
  <si>
    <t>ESTRADA DOS BANDEIRANTES - ALT. R. ARUÁ - SENT. RECREIO - CURICICA</t>
  </si>
  <si>
    <t>Google Maps / Alarme HxGN / Tixxi Cam 767</t>
  </si>
  <si>
    <t>Limpeza na via (COMLURB)</t>
  </si>
  <si>
    <t>AVENIDA BRASIL - ALT. BRT VASCO DA GAMA - SENT. Z. OESTE</t>
  </si>
  <si>
    <t>Google Maps / Alarme HxGN / Tixxi Cam 5824</t>
  </si>
  <si>
    <t>AVENIDA MERITI - ALT Nº 4474 - SENT. AV. BRASIL - PARADA DE LUCAS</t>
  </si>
  <si>
    <t>TÚNEL SANTA BÁRBARA - ENTRADA DO TÚNEL - SENT. CENTRO - LARANJEIRAS</t>
  </si>
  <si>
    <t>Google Maps / Alarme HxGN / Tixxi Cam 164</t>
  </si>
  <si>
    <t>LINHA VERMELHA - ALT. LINHA AMARELA - MARÉ</t>
  </si>
  <si>
    <t>Waze</t>
  </si>
  <si>
    <t>Vitor / Carlos / Alex</t>
  </si>
  <si>
    <t>AVENIDA DAS AMÉRICAS - ALT. AV. GILKA MACHADO - SENT. SÃO CONRADO - RECREIO DOS BANDEIRANTES</t>
  </si>
  <si>
    <t>Matheus/Ricardo/Jackson/Márcio</t>
  </si>
  <si>
    <t>Google Maps / Alarme HxGN / Tixxi Cam 3212</t>
  </si>
  <si>
    <t>AVENIDA AYRTON SENNA - ALT. PONTE SANTOS DUMONT - SENT. ORLA - JACAREPAGUÁ</t>
  </si>
  <si>
    <t>Google Maps / Alarme HxGN / Tixxi Cam 8721</t>
  </si>
  <si>
    <t xml:space="preserve">R. João Vicente - Alt. R. Omar José Monteiro - Sent. Cascadura - Oswaldo Cruz </t>
  </si>
  <si>
    <t xml:space="preserve">Av. de Santa Cruz - Alt. R. dos Açudes - Sent. Senador Camará - Bangu </t>
  </si>
  <si>
    <t xml:space="preserve">Av. Padre Guilherme Decaminada - Alt. R. Melgaço - Sent. Av. João XXIII - Santa Cruz </t>
  </si>
  <si>
    <t xml:space="preserve">Av. Brasil - Alt. Av. Pastor Martin Luther King Jr - Sent. Centro - Coelho Neto </t>
  </si>
  <si>
    <t>Google Maps / Alarme HxGN / Tixxi Cam 3181</t>
  </si>
  <si>
    <t xml:space="preserve">Av. Armando Lombardi - Alt.Terminal BRT Jardim Oceânico - Sent. Recreio dos Bandeirantes - Barra da Tijuca </t>
  </si>
  <si>
    <t>Google Maps / Alarme HxGN / Tixxi Cam 5391</t>
  </si>
  <si>
    <t>Av. Presidente Vargas - Alt. Est. Metrô Cidade Nova - Sent. Praça da Bandeira - Cidade Nova</t>
  </si>
  <si>
    <t>Google Maps / Alarme HxGN / Tixxi Cam 432</t>
  </si>
  <si>
    <t xml:space="preserve">Linha Vermelha - Alt. KM 9 - Sent. Centro - Galeão </t>
  </si>
  <si>
    <t xml:space="preserve">Av. das Américas - Alt. Est. BRT Dom Bosco - Sent. Barra da Tijuca - Recreio dos Bandeirantes </t>
  </si>
  <si>
    <t>Google Maps / Alarme HxGN / Tixxi Cam 392</t>
  </si>
  <si>
    <t>Matheus/Vitor/Jackson/Márcio</t>
  </si>
  <si>
    <t xml:space="preserve">Av. Dom Hélder Câmara - Alt. R. Cachambi - Sent. Del Castilho - Cachambi </t>
  </si>
  <si>
    <t>Google Maps / Alarme HxGN / Tixxi Cam 3737</t>
  </si>
  <si>
    <t>Obra na via (Iguá)</t>
  </si>
  <si>
    <t xml:space="preserve">R. Candido Benício - Alt. Est. BRT Pinto Teles - Sent. Penha - Praça Seca </t>
  </si>
  <si>
    <t xml:space="preserve">Av. Lúcio Costa - Alt. Posto 7 - Sent. Recreio dos Bandeirantes - Barra da Tijuca </t>
  </si>
  <si>
    <t xml:space="preserve">Vitor/Carlos/Alex </t>
  </si>
  <si>
    <t>AVENIDA AYRTON SENNA - GARDÊNIA AZUL - ALT. AV. TEN-CEL. MUNIZ DE ARAGÃO</t>
  </si>
  <si>
    <t>AVENIDA PRESIDENTE VARGAS - CENTRO - ALT. N° 2938 - SENT. PRAÇA DA BANDEIRA</t>
  </si>
  <si>
    <t>AVENIDA CESÁRIO DE MELO - CAMPO GRANDE - ALT. R. PROF. CASTILHO - SENT. BANGU</t>
  </si>
  <si>
    <t xml:space="preserve">
ESTRADA DO MENDANHA - CAMPO GRANDE - ALT. Nº 966 - SENT. AV BRASIL</t>
  </si>
  <si>
    <t>AVENIDA AYRTON SENNA - BARRA DA TIJUCA - ALT. UPTOWN - SENT. ORLA</t>
  </si>
  <si>
    <t>LINHA VERMELHA - PAVUNA - ALT. KM 18 - SENT. BAIXADA</t>
  </si>
  <si>
    <t>AVENIDA AYRTON SENNA - BARRA DA TIJUCA - ALT. ESPAÇO HALL - SENT. ORLA</t>
  </si>
  <si>
    <t>Google Maps / Alarme HxGN / Tixxi Cam 715</t>
  </si>
  <si>
    <t>AC VP  x MT</t>
  </si>
  <si>
    <t xml:space="preserve">Av. Brasil - Alt. Estr. Mal. Alencastro - Sent. Santa Cruz - Vila Militar </t>
  </si>
  <si>
    <t>Google Maps / Alarme HxGN / Tixxi Cam 401</t>
  </si>
  <si>
    <t xml:space="preserve">R. Vinte e Quatro de Maio - Alt. R. Lins de Vasconcelos - Sent. Piedade - Méier </t>
  </si>
  <si>
    <t>Google Maps / Alarme HxGN / Tixxi Cam 354</t>
  </si>
  <si>
    <t xml:space="preserve">Av. Professor Manoel de Abreu - Alt. R. Felipe Camarão - Sent. Av. Rei Pelé - Maracanã </t>
  </si>
  <si>
    <t>Google Maps / Alarme HxGN / Tixxi Cam 219</t>
  </si>
  <si>
    <t xml:space="preserve">Av. Presidente Vargas - Alt. R. Pereira Franco - Sent. Praça da Bandeira - Cidade Nova </t>
  </si>
  <si>
    <t xml:space="preserve">Av. Ayrton Senna - Alt. Barra D'or - Sent. Orla - Barra da Tijuca </t>
  </si>
  <si>
    <t>Google Maps / Alarme HxGN / Tixxi Cam 422</t>
  </si>
  <si>
    <t xml:space="preserve">Av. Brasil - Alt. Linha Amarela - Sent. Z. Oeste - Bonsucesso  </t>
  </si>
  <si>
    <t>Google Maps / Alarme HxGN / Tixxi Cam 6883</t>
  </si>
  <si>
    <t>Av. Professor Manoel de Abreu - Alt. R. Prof. Eurico Rabelo - Sent. Av. Rei Pelé - Maracanã</t>
  </si>
  <si>
    <t xml:space="preserve">Elevado Eng. Freyssinet - Alt. R. Estrela - Sent. Lagoa - Rio Comprido </t>
  </si>
  <si>
    <t>Google Maps / Alarme HxGN / Tixxi Cam 7557</t>
  </si>
  <si>
    <t>ELEVADO DAS BANDEIRAS - TABLADO INFERIOR - SENT. SÃO CONRADO - JOÁ</t>
  </si>
  <si>
    <t>Google Maps / Alarme HxGN / Tixxi Cam 22</t>
  </si>
  <si>
    <t>Google Maps / Alarme HxGN / Tixxi Cam 691</t>
  </si>
  <si>
    <t xml:space="preserve"> TUNEL ANTÔNIO REBOUÇAS - 2° GALERIA - SENT. LAGOA - RIO COMPRIDO</t>
  </si>
  <si>
    <t>Google Maps / Alarme HxGN / Tixxi Cam 4370</t>
  </si>
  <si>
    <t>AVENIDA BRASIL - ALT. DA PASSARELA  6 – SENT . CENTRO . - MARÉ</t>
  </si>
  <si>
    <t xml:space="preserve"> LINHA VERMELHA - ALT. KM 7 - SENT. BAIXADA - GALEÃO</t>
  </si>
  <si>
    <t>LINHA AMARELA - ALT. SAÍDA 06, SENT. BARRA - HIGIENÓPOLIS</t>
  </si>
  <si>
    <t>Google Maps / Alarme HxGN / TIXXI CAM 135</t>
  </si>
  <si>
    <t xml:space="preserve">AV. AYRTON SENNA - SAÍDA DA LINHA AMARELA - SENT. ORLA </t>
  </si>
  <si>
    <t>Google Maps / Alarme HxGN / TIXXI CAM 4536</t>
  </si>
  <si>
    <t>ENGUIÇO MT</t>
  </si>
  <si>
    <t>LINHA VERMELHA - ALT. PONTE DO SABER - SENT. CENTRO</t>
  </si>
  <si>
    <t>Marcio/ Ricardo/Jackson/Matheus</t>
  </si>
  <si>
    <t>AVENIDA RODRIGO OTÁVIO - ALT. Nº1411 - SENT. SÃO CONRADO - GÁVEA</t>
  </si>
  <si>
    <t>AC TX X 2VP</t>
  </si>
  <si>
    <t xml:space="preserve"> TUNEL ANTÔNIO REBOUÇAS - ALT. SEGUNDA GALERIA - SENT. LAGOA - RIO COMPRIDO</t>
  </si>
  <si>
    <t>AVENIDA EMBAIXADOR ABELARDO BUENO - ALT. HOTEL DOM - SENT. SALVADOR ALLENDE - BARRA DA TIJUCA</t>
  </si>
  <si>
    <t>Google Maps / Alarme HxGN  / CAM 3640</t>
  </si>
  <si>
    <t>Av. Pastor MArques Lutherking Jr - Alt. nº 3838</t>
  </si>
  <si>
    <t>Buraco na via</t>
  </si>
  <si>
    <t>Rua André Rocha - Alt. N° 117 - Taquara</t>
  </si>
  <si>
    <t>SubPrefeitura</t>
  </si>
  <si>
    <t>Deslizamento de Terra</t>
  </si>
  <si>
    <t>Av. Niemeyer - Alt. Boate Faro - Vidigal</t>
  </si>
  <si>
    <t>SUBPREFEITURA - CET RIO</t>
  </si>
  <si>
    <t>Google Maps / Alarme HxGN / Tixxi Cam 3174</t>
  </si>
  <si>
    <t>Marcio / Vinicius / Diego / Jackson</t>
  </si>
  <si>
    <t>VENIDA SALVADOR ALLENDE - ALT. BRT MINHA PRAIA - SENT. TRANSOLIMPICA</t>
  </si>
  <si>
    <t>LINHA VERMELHA - ALT KM 07 - SENT. CENTRO - GALEAO</t>
  </si>
  <si>
    <t>Google Maps / Alarme HxGN / Tixxi Cam 4348</t>
  </si>
  <si>
    <t xml:space="preserve">Av. Brasil - Alt. Est. BRT Vasco da Gama - Sent. Z.Oeste - São Cristóvão </t>
  </si>
  <si>
    <t>Google Maps / Alarme HxGN / Tixxi Cam 337</t>
  </si>
  <si>
    <t xml:space="preserve">R. Barão de Mesquita - Alt. R. José Higino - Grajaú </t>
  </si>
  <si>
    <t>Google Maps / Alarme HxGN / Tixxi Cam 899</t>
  </si>
  <si>
    <t xml:space="preserve">Av. Salvador Allende - Alt. Est. BRT Ilha Pura - Sent. Curicica - Barra da Tijuca </t>
  </si>
  <si>
    <t>Google Maps / Alarme HxGN / Tixxi Cam 722</t>
  </si>
  <si>
    <t xml:space="preserve">Estr. Marechal Alencastro - Alt. Av. Brasil - Sent. Marechal Hermes - Deodoro </t>
  </si>
  <si>
    <t xml:space="preserve">Estr. de Jacarepaguá - Alt. Nº 6215 - Sent. Jacarepaguá - Anil </t>
  </si>
  <si>
    <t>Google Maps / Alarme HxGN / Tixxi Cam 4524</t>
  </si>
  <si>
    <t xml:space="preserve">L. Vermelha - Alt. 22º BPM - Sent. Centro - Maré </t>
  </si>
  <si>
    <t>Google Maps / Alarme HxGN / Tixxi Cam 7338</t>
  </si>
  <si>
    <t xml:space="preserve">Estr. Japoré - Alt. R. Alagoinha - Sent. Vila Valqueire - Jardim Sulacap </t>
  </si>
  <si>
    <t>Google Maps / Alarme HxGN / Tixxi Cam 4284</t>
  </si>
  <si>
    <t xml:space="preserve">Viaduto Pref. Alim Pedro - Sent. Av. Brasil - Campo Grande </t>
  </si>
  <si>
    <t>Google Maps / Alarme HxGN / Tixxi Cam 546</t>
  </si>
  <si>
    <t xml:space="preserve">R. João Vicente - Alt. R. Xavier Curado - Sent. Av. Brasil - Deodoro </t>
  </si>
  <si>
    <t>Google Maps / Alarme HxGN / Tixxi Cam 37</t>
  </si>
  <si>
    <t>Google Maps / Alarme HxGN / Tixxi Cam 1187</t>
  </si>
  <si>
    <t xml:space="preserve">Av. Atlântica - Alt. Av. Rainha Elisabeth da Bélgica - Ambos os sentidos - Copacabana </t>
  </si>
  <si>
    <t xml:space="preserve">Av. Engenheiro Carlos Carvalho - Alt. Av. Imperatriz Leopoldina - Sent. L. Amarela - Jacarepaguá </t>
  </si>
  <si>
    <t>Google Maps / Alarme HxGN / Tixxi Cam 108</t>
  </si>
  <si>
    <t xml:space="preserve">Av. General Justo - Alt. Trevo dos Estudantes - Sent. Flamego - Glória </t>
  </si>
  <si>
    <t>Maps - TIXXI</t>
  </si>
  <si>
    <t>Maggessi - Vinícius - Diego</t>
  </si>
  <si>
    <t>RUA PINHEIRO MACHADO - ALT. RUA ÁLVARO CHAVES - SENT. BOTAFOGO - LARANJEIRAS</t>
  </si>
  <si>
    <t>PONTE RIO - NITERÓI - SENT. NITERÓI - CAJU</t>
  </si>
  <si>
    <t>CBMERJ - TIXXI</t>
  </si>
  <si>
    <t>RUA PROFESSOR ÁLVARO RODRIGUES - ALT. RESTAURANTE FONTANA - BOTAFOGO</t>
  </si>
  <si>
    <t>TIXX - CET RIO</t>
  </si>
  <si>
    <t>Maps -TIXXI</t>
  </si>
  <si>
    <t>AVENIDA AYRTON SENNA - SAÍDA DA LINHA AMARELA - SENT. ORLA - BARRA DA TIJUCA</t>
  </si>
  <si>
    <t>ESTRADA DO CAMBOATÁ - ALT. RETORNO PARA AV. BRASIL SENT. CENTRO - DEODORO</t>
  </si>
  <si>
    <t>AVENIDA BRASIL - ALT. R. SANTO ADALARDO SENT. ZONA OESTE - MARÉ</t>
  </si>
  <si>
    <t>Óleo na Via</t>
  </si>
  <si>
    <t>AVENIDA ATLÂNTICA &amp; RUA DJALMA ULRICH - COPACABANA</t>
  </si>
  <si>
    <t xml:space="preserve"> LINHA AMARELA - ALT. AV. DEMOCRÁTICOS - SENT. BARRA - BONSUCESSO</t>
  </si>
  <si>
    <t>LAMSA - TIXXI</t>
  </si>
  <si>
    <t>Op. Av. Brasil - TIXXI</t>
  </si>
  <si>
    <t>AVENIDA BRASIL - ALT. PASSARELA 13 - SENT. Z.OESTE - MARÉ</t>
  </si>
  <si>
    <t>AVENIDA PASTEUR - SENT. BOTAFOGO- BOTAFOGO</t>
  </si>
  <si>
    <t>TÚNEL ACÚSTICO RAFAEL MASCARENHAS - ENTRE OS TÚNEIS ZUZU ANGEL E ACÚSTICO - SENT. SÃO CONRADO - GÁVEA</t>
  </si>
  <si>
    <t xml:space="preserve">Alex /  Carlos / Felipe </t>
  </si>
  <si>
    <t>LINHA VERMELHA - ALT. KM 13 - SENT. CENTRO - CORDOVIL</t>
  </si>
  <si>
    <t>Google Maps / Alarme HxGN / Tixxi - Cam: 8543</t>
  </si>
  <si>
    <t xml:space="preserve"> AVENIDA BRASIL - ALT. PASSARELA 20 - SENT. CENTRO - PARADA DE LUCAS</t>
  </si>
  <si>
    <t xml:space="preserve"> LINHA VERMELHA - ALT. KM 12 - SENT. CENTRO - GALEÃO</t>
  </si>
  <si>
    <t>Google Maps / Alarme HxGN / Tixxi - Cam: 4401</t>
  </si>
  <si>
    <t>LINHA VERMELHA - ALT. KM 12 -SENT. BAIXADA - CORDOVIL</t>
  </si>
  <si>
    <t>Google Maps / Alarme HxGN / Tixxi - Cam: 4099</t>
  </si>
  <si>
    <t>AVENIDA AYRTON SENNA - ALT. ESPAÇO HALL - SENT. LINHA AMARELA - BARRA DA TIJUCA</t>
  </si>
  <si>
    <t>CET - RIO</t>
  </si>
  <si>
    <t>ELEVADO ENGENHEIRO FREYSSINET - SENT. LAGOA - PRAÇA DA BANDEIRA</t>
  </si>
  <si>
    <t>Google Maps / Alarme HxGN / Tixxi - Cam: 871</t>
  </si>
  <si>
    <t>AVENIDA MINISTRO IVAN LINS - ALT. PARÓQUIA SÃO FRANCISCO DE PAULA - SENT. RECREIO DOS BANDEIRANTES - BARRA DA TIJUCA</t>
  </si>
  <si>
    <t>Google Maps / Alarme HxGN / Tixxi - Cam: 1967</t>
  </si>
  <si>
    <t>AVENIDA AUGUSTO SEVERO - ALT. RUA TEIXEIRA DE CASTRO - GLÓRIA</t>
  </si>
  <si>
    <t>Google Maps / Alarme HxGN / Tixxi - Cam: 3600</t>
  </si>
  <si>
    <t>AVENIDA PASTOR MARTIN LUTHER KING JÚNIOR - ALT. R. LUÍSA DE CRAVALHO - VICENTE DE CARVALHO</t>
  </si>
  <si>
    <t>Google Maps / Alarme HxGN / Tixxi - Cam: 73</t>
  </si>
  <si>
    <t xml:space="preserve"> RUA CONDE DE BONFIM - ALT. R. GEN. ROCA - SENT. USINA - TIJUCA</t>
  </si>
  <si>
    <t>Google Maps / Alarme HxGN / Tixxi - Cam: 4419</t>
  </si>
  <si>
    <t>AVENIDA BRASIL - ALT. EST. BRT BAIXA DO SAPATEIRO - SENT. Z. OESTE - BONSUCESSO</t>
  </si>
  <si>
    <t>Google Maps / Alarme HxGN / Tixxi - Cam: 3135</t>
  </si>
  <si>
    <t>AVENIDA ARMANDO LOMBARDI - ALT. RUA ALDO BONADEI - SENT. SÃO CONRADO - BARRA DA TIJUCA</t>
  </si>
  <si>
    <t>LINHA AMARELA - ALT. TÚNEL DA COVANCA  - SENT. BARRA DA TIJUCA - JACAREPAGUÁ</t>
  </si>
  <si>
    <t xml:space="preserve">Daniel / Carlos / Felipe </t>
  </si>
  <si>
    <t>AVENIDA DAS AMÉRICAS - ALT. EST. BRT BOSQUE DA BARRA  - SENT. SÃO CONRADO - BARRA DA TIJUCA</t>
  </si>
  <si>
    <t>Google Maps / Alarme HxGN / Tixxi - Cam 95</t>
  </si>
  <si>
    <t>RUA PINHEIRO MACHADO - ALT. R. MARQUÊS DE PINEDO - SENT. CENTRO - LARANJEIRAS</t>
  </si>
  <si>
    <t>Google Maps / Alarme HxGN / Tixxi - Cam 826</t>
  </si>
  <si>
    <t>AVENIDA ALFRED AGACHE - ALT. 3º COMAR - SENT. AV. BRASIL - CENTRO</t>
  </si>
  <si>
    <t>Google Maps / Alarme HxGN / Tixxi - Cam 21</t>
  </si>
  <si>
    <t>AVENIDA OSWALDO ARANHA - ALT. PRAÇA DA BANDEIRA - SENT. MÉIER - MARACANÃ</t>
  </si>
  <si>
    <t>Google Maps / Alarme HxGN / Tixxi - Cam 3636</t>
  </si>
  <si>
    <t>AVENIDA PASTOR MARTIN LUTHER KING JÚNIOR - ALT. CEMITÉRIO DE INHAÚMA - SENT. DEL CASTILHO - INHAÚMA</t>
  </si>
  <si>
    <t>AVENIDA OSWALDO ARANHA - ALT. EST. METRÔ SÃO CRISTÓVÃO - SENT. MÉIER - MARACANÃ</t>
  </si>
  <si>
    <t>Google Maps / Alarme HxGN / Tixxi - Cam 138</t>
  </si>
  <si>
    <t>AVENIDA VENCESLAU BRAZ - ALT. UFRJ - BOTAFOGO</t>
  </si>
  <si>
    <t>Google Maps / Alarme HxGN / Tixxi - Cam 824</t>
  </si>
  <si>
    <t xml:space="preserve">AC ON x 2 VP </t>
  </si>
  <si>
    <t>RUA DO RUSSEL - ALT. AV. AUGUSTO SEVERO - GLÓRIA</t>
  </si>
  <si>
    <t>AVENIDA TRINTA E UM DE MARÇO - ALT. R. FREI CANECA  - SENT. LARANJEIRAS - CATUMBI</t>
  </si>
  <si>
    <t xml:space="preserve">Matheus/Ricardo/Jackson/Márcio </t>
  </si>
  <si>
    <t xml:space="preserve">R. Cândido Benício - Alt. Nº 2973 - Sent. Madureira - Praça Seca </t>
  </si>
  <si>
    <t>Google Maps/ Tixxi</t>
  </si>
  <si>
    <t>VIADUTO DOS FUZILEIROS - SENT. CENTRO - PRAÇA DA BANDEIRA</t>
  </si>
  <si>
    <t>Google Maps / Alarme HxGN / Tixxi - Cam 3175</t>
  </si>
  <si>
    <t xml:space="preserve">Transolímpica - Alt. Est. BRT Asa Branca - Sent. Recreio dos Bandeirantes - Jacarepaguá </t>
  </si>
  <si>
    <t>Google Maps / Alarme HxGN / Tixxi - Cam 4839</t>
  </si>
  <si>
    <t xml:space="preserve">Av. Cesário de Melo - Alt. R. Aratanha - Sent. Bangu - Campo Grande </t>
  </si>
  <si>
    <t>Google Maps / Alarme HxGN / Tixxi - Cam 3177</t>
  </si>
  <si>
    <t>Google Maps / Alarme HxGN / Tixxi - Cam 7818</t>
  </si>
  <si>
    <t xml:space="preserve">Estr. do Monteiro - Alt. R. Comari - Sent. Barra da Tijuca - Campo Grande </t>
  </si>
  <si>
    <t>AV. ENG. CARLOS CARVALHO - ALT. AV. IMPERATRIZ LEOPOLDINA - SENT. SALVADOR ALLENDE - JACAREPAGUÁ</t>
  </si>
  <si>
    <t>Google Maps / Alarme HxGN / Tixxi - Cam 8683</t>
  </si>
  <si>
    <t xml:space="preserve">R. Carolina Machado - Alt. R. Firmino Fragoso - Madureira </t>
  </si>
  <si>
    <t>Google Maps / Alarme HxGN / Tixxi - Cam 5780</t>
  </si>
  <si>
    <t xml:space="preserve">R. Bento Cardoso - Alt. R. Jacarau - Penha Circular </t>
  </si>
  <si>
    <t>Google Maps / Alarme HxGN / Tixxi - Cam 7540</t>
  </si>
  <si>
    <t xml:space="preserve">Av. Armando Lombardi - Alt. R. Pedro Bolato - Sent. Recreio dos Bandeirantes - Barra da Tijuca </t>
  </si>
  <si>
    <t>Google Maps / Alarme HxGN / Tixxi - Cam 3748</t>
  </si>
  <si>
    <t xml:space="preserve">AC envol. VP </t>
  </si>
  <si>
    <t xml:space="preserve">Av. Dom Hélder Câmara - Alt. R. Fernão Cardim - Sent. Cascadura - Engenho de Dentro </t>
  </si>
  <si>
    <t>Google Maps / Alarme HxGN / Tixxi - Cam 583</t>
  </si>
  <si>
    <t xml:space="preserve">Av. Brasil - Alt. Viaduto dos Cabritos - Sent. Centro - Campo Grande </t>
  </si>
  <si>
    <t>Google Maps / Alarme HxGN / Tixxi Cam 5907</t>
  </si>
  <si>
    <t xml:space="preserve">Av. Brasil - Alt. Passarela 1 - Sent. Z. Oeste - São Cristóvão </t>
  </si>
  <si>
    <t>Google Maps / Alarme HxGN / Tixxi Cam 80</t>
  </si>
  <si>
    <t xml:space="preserve">R. Barão do Bom Retiro - Alt. Av. Marechal Rondon - Engenho Novo </t>
  </si>
  <si>
    <t>Google Maps / Alarme HxGN / Tixxi Cam 5591</t>
  </si>
  <si>
    <t xml:space="preserve">R. Vinte e Quatro de Maio - Alt. R. Sen. Jaguaribe - Rocha </t>
  </si>
  <si>
    <t>Google Maps / Alarme HxGN / Tixxi Cam 7540</t>
  </si>
  <si>
    <t xml:space="preserve">Av. Armando Lombardi - Alt. Av. Min. Ivan Lins - Sent. São Conrado - Barra da Tijuca </t>
  </si>
  <si>
    <t>Google Maps / Alarme HxGN / Tixxi Cam 6715</t>
  </si>
  <si>
    <t xml:space="preserve">Av. Borges de Medeiros - Alt. R. José Joaquim Seabra - Em ambos sentidos - Lagoa </t>
  </si>
  <si>
    <t>Google Maps / Alarme HxGN / Tixxi Cam 5307</t>
  </si>
  <si>
    <t xml:space="preserve">Av. Amaro Cavalcanti - Alt.R. Medina - Sent. Madureira - Méier </t>
  </si>
  <si>
    <t>Google Maps / Alarme HxGN / Tixxi Cam 5027</t>
  </si>
  <si>
    <t xml:space="preserve">Av. Dom Hélder Câmara - Alt. Av. João Ribeiro - Sent. Cascadura - Pilares </t>
  </si>
  <si>
    <t>Google Maps / Alarme HxGN / Tixxi Cam 167</t>
  </si>
  <si>
    <t>Google Maps / Alarme HxGN / Tixxi Cam 153</t>
  </si>
  <si>
    <t xml:space="preserve">Av. Brasil - Alt. Est. BRT Fazenda Botafogo - Sent. Centro - Coelho Neto </t>
  </si>
  <si>
    <t>Google Maps / Alarme HxGN / Tixxi Cam 122</t>
  </si>
  <si>
    <t xml:space="preserve">Queda de poste </t>
  </si>
  <si>
    <t xml:space="preserve">Autoestrada Fernando Mac Dowell - Alt. R. Emb. Gabriel Landa - Sent. Gávea - São Conrado </t>
  </si>
  <si>
    <t>Leonardo/Hugo/Alex</t>
  </si>
  <si>
    <t>Autoestrada Fernando Mac Dowell - Alt. Túnel Zuzu Angel - Sent. São Conrado - Rocinha</t>
  </si>
  <si>
    <t>Unusual / Google Maps / Alarme HXG / Tixxi</t>
  </si>
  <si>
    <t>Avenida Brás de Pina - Alt. Est. BRT Guaporé - Sent. Ramos - Penha Circular</t>
  </si>
  <si>
    <t>Google Maps / Alarme HXG / Tixxi</t>
  </si>
  <si>
    <t>Estr. Intendente Magalhães - Alt. R. Henrique de Melo - Sent. Cascadura - Vila Valqueire</t>
  </si>
  <si>
    <t>Av. Ayrton Senna - Alt. Vila do Pan - Sent. Orla - Jacarepaguá</t>
  </si>
  <si>
    <t>Linha Amarela - Alt. Estr. do Pau Ferro - Sent. Fundão - Freguesia Jacarepaguá</t>
  </si>
  <si>
    <t xml:space="preserve">Av. das Américas - Alt. Novo Leblon - Sent. São Conrado - Barra da Tijuca </t>
  </si>
  <si>
    <t>Rua Cosme Velho - Alt. N° 315 - Sent. Laranjeiras - Cosme Velho</t>
  </si>
  <si>
    <t>Rua São Francisco Xavier - Alt. Viaduto Agenor de Oliveira - Sent. Méier - São Francisco Xavier</t>
  </si>
  <si>
    <t>Ponte Rio Niteroi - Alt. Reta do Cais - Sent. Niterói - Caju</t>
  </si>
  <si>
    <t>Av. Pastor Martin Luther King Jr. - Alt. R. Luiza de Carvalho - Sent. Inhaúma - Vicente de Carvalho</t>
  </si>
  <si>
    <t>Linha Vermelha - Alt. Km 3,5 - Sent. Centro - Maré</t>
  </si>
  <si>
    <t>Av. Brasil - Alt. Passarela 14 - Sent. Z. Oeste - Olaria</t>
  </si>
  <si>
    <t>Av. Tenente-Coronel Muniz de Aragão - Alt. Estr. do Eng. D'água - Sent. Anil - Gardênia Azul</t>
  </si>
  <si>
    <t xml:space="preserve">Maggessi / Vinícius / Felipe </t>
  </si>
  <si>
    <t>VENIDA SALVADOR ALLENDE - ALT. AV. DAS AMÉRICAS - SENT. ORLA - RECREIO DOS BANDEIRANTES</t>
  </si>
  <si>
    <t>Google Maps / Alarme HxGN / Tixxi Cam 782</t>
  </si>
  <si>
    <t>RODRIGUES ALVES. - CAJU</t>
  </si>
  <si>
    <t>Google Maps / Alarme HxGN / Tixxi Cam 36</t>
  </si>
  <si>
    <t>AVENIDA FRANCISCO BICALHO - ALT. VIADUTO DOS MARINHEIROS - SENT. AV BRASIL - SANTO CRISTO</t>
  </si>
  <si>
    <t>AC CR X VP</t>
  </si>
  <si>
    <t>Márcio/Vinícius/Jackson/Felipe</t>
  </si>
  <si>
    <t>AVENIDA BRASIL - ALT. PASSARELA 06 - SENT. Z. OESTE - MANGUINHOS</t>
  </si>
  <si>
    <t>AVENIDA MARECHAL RONDON - ALT. R. GREGÓRIO NEVES - ENGENHO NOVO</t>
  </si>
  <si>
    <t>AVENIDA EMBAIXADOR ABELARDO BUENO - ALT. BRT PARQUE OLÍMPICO - SENT. RECREIO - BARRA DA TIJUCA</t>
  </si>
  <si>
    <t>Google Maps / Alarme HxGN / Tixxi Cam 5279</t>
  </si>
  <si>
    <t xml:space="preserve">Matheus/Ricardo/Márcio </t>
  </si>
  <si>
    <t xml:space="preserve">R. Goiás - Alt. R. Angelina - Piedade </t>
  </si>
  <si>
    <t xml:space="preserve">Linha Amarela - Alt. R. Edgar Werneck - Sent. Barra da Tijuca - Cidade de Deus </t>
  </si>
  <si>
    <t xml:space="preserve">Estr. do Tindiba - Alt. Nº 845 - Sent. Pechincha - Taquara </t>
  </si>
  <si>
    <t>Google Maps / Alarme HxGN / Tixxi Cam 8763</t>
  </si>
  <si>
    <t xml:space="preserve">AC ON x MT </t>
  </si>
  <si>
    <t xml:space="preserve">R. Elias da Silva - Alt. R. João Barbalho - Em ambos snetidos - Quintino Bocaiúva </t>
  </si>
  <si>
    <t xml:space="preserve">R. Vinte e Quatro de Maio - Alt. Est. Engenho Novo - Engenho Novo </t>
  </si>
  <si>
    <t xml:space="preserve">Manutenção na via (RIOLUZ) </t>
  </si>
  <si>
    <t>Google Maps / Alarme HxGN / Tixxi Cam 90</t>
  </si>
  <si>
    <t>AC envol. VP</t>
  </si>
  <si>
    <t xml:space="preserve">Av. Dom Hélder Câmara - Alt. R. Gandavo - Sent. Pilares - Cachambi </t>
  </si>
  <si>
    <t xml:space="preserve">R. Ângelo Dantas - Alt. Av. Ernani Cardoso - Cascadura </t>
  </si>
  <si>
    <t xml:space="preserve">Av. Brasil - Alt. Av. Padre Guilherme Decaminada - Sent. Centro - Santa Cruz </t>
  </si>
  <si>
    <t>Estr. Mal. Alencastro - Alt. R. Ten. Serafim - Sent. Av. Brasil - Deodoro</t>
  </si>
  <si>
    <t>Google Maps / Alarme HxGN / Tixxi Cam 260</t>
  </si>
  <si>
    <t xml:space="preserve">Matheus/Jackson/Maggessi </t>
  </si>
  <si>
    <t>Google Maps / Alarme HxGN / Tixxi Cam 5416</t>
  </si>
  <si>
    <t xml:space="preserve">Capotamento VP </t>
  </si>
  <si>
    <t xml:space="preserve">Av. Menezes Cortes - Alt. KM 6.5 - Sent. Anil - Jacarepaguá </t>
  </si>
  <si>
    <t>Google Maps / Alarme HxGN / Tixxi Cam 7809</t>
  </si>
  <si>
    <t xml:space="preserve">Estr. do Monteiro - Alt. R. Jequitaí - Sent. Av. Brasil - Campo Grande </t>
  </si>
  <si>
    <t>Google Maps / Alarme HxGN / Tixxi Cam 7289</t>
  </si>
  <si>
    <t xml:space="preserve">Av. das Américas - Alt. Est. BRT Interlagos - Sent. Recreio dos Bandeirantes - Barra da Tijuca </t>
  </si>
  <si>
    <t xml:space="preserve">R. Cândido Benício - Alt. R. Comendador Pinto - Sent. Tanque </t>
  </si>
  <si>
    <t>Google Maps/Tixxi</t>
  </si>
  <si>
    <t>Maggessi/Matheus/Jackson</t>
  </si>
  <si>
    <t xml:space="preserve"> LINHA VERMELHA - ALT. KM 12.5 - SENT. CENTRO - GALEÃO</t>
  </si>
  <si>
    <t>Google Maps / Alarme HxGN / Tixxi Cam 5874</t>
  </si>
  <si>
    <t xml:space="preserve">Av. Brás de Pina - Alt. Vto Luis Carlos da Vila - Sent. Olaria - Penha Circular </t>
  </si>
  <si>
    <t>Google Maps / Alarme HxGN / Tixxi Cam 7334</t>
  </si>
  <si>
    <t xml:space="preserve">Av. Jambeiro - Alt. R. Porto Santana - Sent. Osvaldo Cruz - Vila Valqueire </t>
  </si>
  <si>
    <t xml:space="preserve">Linha Vermelha - Alt. KM 4 - Sent. Centro - Caju </t>
  </si>
  <si>
    <t>Leonardo / Hugo / Alex</t>
  </si>
  <si>
    <t xml:space="preserve">Rua Prof. Arlindo Rodrigues - Alt. R. Rivadávia Corrêa - Sent. Av. Venezuela - Gamboa </t>
  </si>
  <si>
    <t>Av. Brasil - Alt. Passarela 35 - Sent. Centro - Guadalupe</t>
  </si>
  <si>
    <t>Unusual / Google Maps / Alarme HXG</t>
  </si>
  <si>
    <t>Estr. do Campinho - Alt. Estr. de Inhoaíba - Sent. Bangu - Inhoaíba</t>
  </si>
  <si>
    <t>Estr. de Jacarepaguá - Alt. R. Potiguara - Sent. Av. Geremário Dantas - Freguesia Jacarepaguá</t>
  </si>
  <si>
    <t>Elevado Eng Freyssinet - Sent. Lagoa - Rio Comprido</t>
  </si>
  <si>
    <t>Linha Amarela - Alt. Av. Geremário Dantas - Sent. Barra - Freguesia Jacarepaguá</t>
  </si>
  <si>
    <t>Viaduto Saint Hilaire - Sent. Lagoa - Jardim Botânico</t>
  </si>
  <si>
    <t>Linha Vermelha - Alt. Km 3,5 - Sent. Centro - Caju</t>
  </si>
  <si>
    <t>Av. Brasil - Alt. Batan - Sent. Z. Oeste - Realengo</t>
  </si>
  <si>
    <t xml:space="preserve">Av. Brasil - Alt. Estande de Tiro - Sent. Z. Oeste - Vila Militar </t>
  </si>
  <si>
    <t>Av. Alfred Agache - Alt. III COMAR  - Sent. Aterro - Centro</t>
  </si>
  <si>
    <t>Estr. Intendente Magalhães - Alt. R. Conde de Linhares - Sent. Sulacap - Campinho</t>
  </si>
  <si>
    <t xml:space="preserve">Maggessi / Jackson / Felipe </t>
  </si>
  <si>
    <t>VIADUTO SANTIAGO DANTAS - SENT. COPACABANA - BOTAFOGO</t>
  </si>
  <si>
    <t xml:space="preserve">Manutenção na via  </t>
  </si>
  <si>
    <t>AVENIDA BRASIL - ALT. CENTRO HOSPITALAR DA FIOCRUZ - SENT. Z. OESTE - MARÉ</t>
  </si>
  <si>
    <t>Leonardo / Hugo / Daniel</t>
  </si>
  <si>
    <t>Av. Prof. Manoel de Abreu - Alt. R. Dona Zumira - Sent. Centro - Maracanã</t>
  </si>
  <si>
    <t>Av. Pres. Vargas - Alt. R. do Santana - Sent. Praça da Bandeira - Centro</t>
  </si>
  <si>
    <t>Estr. do Gabinal - Alt. N° 186 - Sent. Barra - Freguesia Jacarepaguá</t>
  </si>
  <si>
    <t>R. Conselheiro Galvão &amp; Av. Ministro Edgard Romero - Sent. Cascadura - Madureira</t>
  </si>
  <si>
    <t>Linha Vermelha - Alt. KM 11 - Sent. Baixada - Galeão</t>
  </si>
  <si>
    <t>R. Elias da Silva - Alt. N° 27 - Sent. Cascadura - Piedade</t>
  </si>
  <si>
    <t>Elevado Eng. Rufino Pizarro - Sent. Centro - Praça da Bandeira</t>
  </si>
  <si>
    <t xml:space="preserve">R. Conde de Bonfim - Alt. R. Félix da Cunha - Tijuca </t>
  </si>
  <si>
    <t xml:space="preserve">Unusual - Alarme HXG - Google Maps </t>
  </si>
  <si>
    <t>Linha Vermelha - Alt. KM 10 - Sent. Baixada - Galeão</t>
  </si>
  <si>
    <t>Av. Brasil - Alt. VIaduto Barros Filho - Sent. Z. Oeste - Barros Filho</t>
  </si>
  <si>
    <t xml:space="preserve">AC 4 VP </t>
  </si>
  <si>
    <t xml:space="preserve">Av. Trinta e Um de Março - Alt. R. Benedito Hipólito - Sent. Santo Cristo - Cidade Nova </t>
  </si>
  <si>
    <t>Google Maps / Alarme HxGN / Tixxi Cam 399</t>
  </si>
  <si>
    <t xml:space="preserve">Márcio / Ricardo  / Felipe </t>
  </si>
  <si>
    <t>LINHA AMARELA - ALT. ESTRADA ADHEMAR BEBIANO - SENT. BARRA DA TIJUCA - INHAÚMA</t>
  </si>
  <si>
    <t>Google Maps / Alarme HxGN / Tixxi Cam 5698</t>
  </si>
  <si>
    <t>RUA DAS LARANJEIRAS - ALTR. R. ALICE - SENT. FLAMENGO - CATETE</t>
  </si>
  <si>
    <t>Google Maps / Alarme HxGN / Tixxi Cam 217</t>
  </si>
  <si>
    <t>ELEVADO DO GASÔMETRO - SENT. AV. BRASIL - CAJU</t>
  </si>
  <si>
    <t>Google Maps / Alarme HxGN / Tixxi Cam 5487</t>
  </si>
  <si>
    <t>ESTRADA DO PAU-FERRO - ALT. R. CLAUDINO DE OLIVEIRA - SENT. TAQUARA - PECHINCHA</t>
  </si>
  <si>
    <t>Google Maps / Alarme HxGN / Tixxi Cam 4525</t>
  </si>
  <si>
    <t>LINHA VERMELHA - ALT. KM 5 -SENT. CENTRO - MARÉ</t>
  </si>
  <si>
    <t>Google Maps / Alarme HxGN / Tixxi Cam 4401</t>
  </si>
  <si>
    <t xml:space="preserve"> AVENIDA BRASIL - ALT. EST. BRT PISCINÃO DE RAMOS - SENT. CENTRO - OLARIA</t>
  </si>
  <si>
    <t xml:space="preserve">AC VP x MT seguido de capotamento </t>
  </si>
  <si>
    <t>AVENIDA BRASIL - ALT. ESTR. DO QUAFA - SENT. SANTA CRUZ - SANTÍSSIMO</t>
  </si>
  <si>
    <t>Google Maps / Alarme HxGN / Tixxi Cam 379</t>
  </si>
  <si>
    <t xml:space="preserve">AC VP x MT  </t>
  </si>
  <si>
    <t>VENIDA PASTOR MARTIN LUTHER KING JÚNIOR - ALT. R. ÁLVARO DE MIRANDA - SENT. JACARÉ - INHAÚMA</t>
  </si>
  <si>
    <t xml:space="preserve">Matheus/Jackson/Vinícius/Márcio </t>
  </si>
  <si>
    <t xml:space="preserve">Av. Salvador Allende - Alt. Est. BRT Catedral do Recreio - Sent. Curicica - Barra da Tijuca </t>
  </si>
  <si>
    <t>AVENIDA DAS AMÉRICAS - ALT. EST. BRT NOVA BARRA - SENT. SÃO CONRADO - BARRA DA TIJUCA</t>
  </si>
  <si>
    <t>Google Maps / Alarme HxGN / Tixxi Cam 8709</t>
  </si>
  <si>
    <t xml:space="preserve">R. João Vicente - Alt. R. do Queimado - Sent. Marechal Hermes - Bento Ribeiro </t>
  </si>
  <si>
    <t>Google Maps / Alarme HxGN / Tixxi Cam 4422</t>
  </si>
  <si>
    <t xml:space="preserve">Av. Brasil - Alt. Est. BRT Jardim Guadalupe - Sent. Centro - Guadalupe </t>
  </si>
  <si>
    <t>Google Maps / Alarme HxGN / Tixxi Cam 7740</t>
  </si>
  <si>
    <t xml:space="preserve">Av. Ayrton Senna - Alt. R. Carlos Menezes - Sent. Orla - Gardênia Azul </t>
  </si>
  <si>
    <t>Google Maps / Alarme HxGN / Tixxi Cam 8540</t>
  </si>
  <si>
    <t xml:space="preserve">R. Álvaro de Macedo - Alt. R. Cordovil - Parada de Lucas </t>
  </si>
  <si>
    <t xml:space="preserve">Av. Brasil - Alt. Passarela 6 - Sent. Z. Oeste - Bonsucesso </t>
  </si>
  <si>
    <t>Google Maps / Alarme HxGN / Tixxi Cam 136</t>
  </si>
  <si>
    <t xml:space="preserve">Av. Ayrton Senna - Alt. Nº 5500 - Sent. Linha Amarela - Barra da Tijuca </t>
  </si>
  <si>
    <t xml:space="preserve">Estr. do Pontal - Alt. N 6500 - Sent. Av. Lúcio Costa - Recreio dos Bandeirantes </t>
  </si>
  <si>
    <t xml:space="preserve">Transolímpica - Alt. Est. BRT Colônia - Sent. Av. Brasil - Curicica </t>
  </si>
  <si>
    <t xml:space="preserve">Av. das Américas - Alt. Est. BRT Guiomar Novaes - Sent. Guaratiba - Recreio dos Bandeirantes </t>
  </si>
  <si>
    <t xml:space="preserve">Av. Dom Hélder Câmara - Alt. R. Conde de Azambuja - Sent. Del Castilho - Maria da Graça </t>
  </si>
  <si>
    <t>Google Maps / Alarme HxGN / Tixxi Cam 883</t>
  </si>
  <si>
    <t xml:space="preserve">Av. das Américas - Alt. Est. BRT Santa Mônica Jardins - Sent. Recreio dos Bandeirantes - Barra da Tijuca </t>
  </si>
  <si>
    <t>Google Maps / Alarme HxGN / Tixxi Cam 114</t>
  </si>
  <si>
    <t xml:space="preserve">Av. Brasil - Alt. Estr. João Paulo - Sent. Centro - Barros Filho </t>
  </si>
  <si>
    <t xml:space="preserve">Av. Brasil - Alt. Lutécia - Sent. Santa Cruz - Realengo </t>
  </si>
  <si>
    <t>Google Maps / Alarme HxGN / Tixxi Cam 7689</t>
  </si>
  <si>
    <t>Google Maps / Tixxi Cam</t>
  </si>
  <si>
    <t>Av. Salvador Allende - Alt. Est. BRT Asa Branca - Sent. Recreio - Barra Olímpica</t>
  </si>
  <si>
    <t>Maggessi / Vinícius / Felipe</t>
  </si>
  <si>
    <t>End.: PADRE LEONEL FRANCA - GÁVEA - Sent. São Conrado</t>
  </si>
  <si>
    <t>RESÍDUO NA VIA</t>
  </si>
  <si>
    <t>ELEVADO PRESIDENTE ITAMAR FRANCO - SENT. BARRA - BARRA DA TIJUCA</t>
  </si>
  <si>
    <t>TRANSOLÍMPICA - ALT. EST. BRT  ESTAÇÃO PADRE JOÃO CRIBBIN - SENT. AV. BRASIL - JARDIM SULACAP</t>
  </si>
  <si>
    <t>PONTE RIO - NITERÓI - CAJU - SENT. NITERÓI</t>
  </si>
  <si>
    <t>PONTE</t>
  </si>
  <si>
    <t>TIXXI - Google Maps</t>
  </si>
  <si>
    <t>AVENIDA PRINCESA ISABEL - ALT. N°320 - SENT. BOTAFOGO - COPACABANA</t>
  </si>
  <si>
    <t>SETEMBRO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</si>
</sst>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m"/>
    <numFmt numFmtId="165" formatCode="d\-mmm"/>
  </numFmts>
  <fonts count="30">
    <font>
      <sz val="11"/>
      <color theme="1"/>
      <name val="Calibri"/>
      <charset val="1"/>
    </font>
    <font>
      <sz val="8"/>
      <color theme="0"/>
      <name val="Aptos Narrow"/>
      <charset val="1"/>
    </font>
    <font>
      <sz val="8"/>
      <color theme="1"/>
      <name val="Arial"/>
      <charset val="1"/>
    </font>
    <font>
      <sz val="8"/>
      <color theme="1"/>
      <name val="Aptos Narrow"/>
      <charset val="1"/>
    </font>
    <font>
      <sz val="8"/>
      <color rgb="FFFFFFFF"/>
      <name val="Aptos Narrow"/>
      <charset val="1"/>
    </font>
    <font>
      <sz val="8"/>
      <color rgb="FF333333"/>
      <name val="Arial"/>
      <charset val="1"/>
    </font>
    <font>
      <sz val="11"/>
      <color theme="1"/>
      <name val="Arial"/>
      <charset val="1"/>
    </font>
    <font>
      <sz val="11"/>
      <color rgb="FF333333"/>
      <name val="-apple-system"/>
      <charset val="1"/>
    </font>
    <font>
      <sz val="8"/>
      <color theme="1"/>
      <name val="Calibri"/>
      <charset val="1"/>
    </font>
    <font>
      <sz val="7"/>
      <color theme="1"/>
      <name val="Arial"/>
      <charset val="1"/>
    </font>
    <font>
      <sz val="7"/>
      <color theme="1"/>
      <name val="Aptos Narrow"/>
      <charset val="1"/>
    </font>
    <font>
      <i/>
      <sz val="8"/>
      <color theme="1"/>
      <name val="Arial"/>
      <charset val="1"/>
    </font>
    <font>
      <sz val="9"/>
      <color theme="1"/>
      <name val="Arial"/>
      <charset val="1"/>
    </font>
    <font>
      <sz val="8"/>
      <color rgb="FF444746"/>
      <name val="Arial"/>
      <charset val="1"/>
    </font>
    <font>
      <sz val="11"/>
      <color theme="1"/>
      <name val="Calibri"/>
      <charset val="1"/>
    </font>
    <font>
      <sz val="8"/>
      <color theme="1"/>
      <name val="Arial"/>
    </font>
    <font>
      <sz val="8"/>
      <color theme="1"/>
      <name val="Aptos Narrow"/>
    </font>
    <font>
      <sz val="9"/>
      <color theme="1"/>
      <name val="Arial"/>
    </font>
    <font>
      <sz val="9"/>
      <color theme="1"/>
      <name val="Aptos Narrow"/>
    </font>
    <font>
      <sz val="8"/>
      <color theme="1"/>
      <name val="Calibri"/>
      <scheme val="minor"/>
    </font>
    <font>
      <sz val="10"/>
      <color theme="1"/>
      <name val="Arial"/>
    </font>
    <font>
      <sz val="10"/>
      <color theme="1"/>
      <name val="Aptos Narrow"/>
    </font>
    <font>
      <sz val="10"/>
      <color theme="1"/>
      <name val="Calibri"/>
      <scheme val="minor"/>
    </font>
    <font>
      <sz val="12"/>
      <color rgb="FF333333"/>
      <name val="-apple-system"/>
    </font>
    <font>
      <sz val="8"/>
      <color rgb="FF000000"/>
      <name val="Arial"/>
    </font>
    <font>
      <sz val="8"/>
      <name val="Calibri"/>
      <charset val="1"/>
    </font>
    <font>
      <sz val="8"/>
      <color theme="1"/>
      <name val="Calibri"/>
      <family val="2"/>
    </font>
    <font>
      <sz val="8"/>
      <color theme="0"/>
      <name val="Aptos Narrow"/>
      <family val="2"/>
    </font>
    <font>
      <sz val="8"/>
      <color theme="1"/>
      <name val="Arial"/>
      <family val="2"/>
    </font>
    <font>
      <sz val="8"/>
      <color rgb="FF333333"/>
      <name val="Arial"/>
    </font>
  </fonts>
  <fills count="6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theme="0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4" fillId="0" borderId="0" applyBorder="0" applyProtection="0"/>
  </cellStyleXfs>
  <cellXfs count="7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164" fontId="2" fillId="0" borderId="2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0" xfId="0" applyFont="1"/>
    <xf numFmtId="0" fontId="1" fillId="2" borderId="4" xfId="0" applyFont="1" applyFill="1" applyBorder="1" applyAlignment="1">
      <alignment horizontal="center"/>
    </xf>
    <xf numFmtId="0" fontId="3" fillId="0" borderId="0" xfId="0" applyFont="1"/>
    <xf numFmtId="0" fontId="3" fillId="3" borderId="0" xfId="0" applyFont="1" applyFill="1"/>
    <xf numFmtId="164" fontId="3" fillId="0" borderId="3" xfId="0" applyNumberFormat="1" applyFont="1" applyBorder="1" applyAlignment="1">
      <alignment horizontal="center"/>
    </xf>
    <xf numFmtId="0" fontId="2" fillId="0" borderId="2" xfId="0" applyFont="1" applyBorder="1"/>
    <xf numFmtId="0" fontId="4" fillId="0" borderId="4" xfId="0" applyFont="1" applyBorder="1" applyAlignment="1">
      <alignment horizontal="center"/>
    </xf>
    <xf numFmtId="9" fontId="4" fillId="0" borderId="0" xfId="1" applyFont="1" applyBorder="1" applyProtection="1"/>
    <xf numFmtId="9" fontId="3" fillId="0" borderId="0" xfId="0" applyNumberFormat="1" applyFont="1"/>
    <xf numFmtId="9" fontId="3" fillId="0" borderId="0" xfId="1" applyFont="1" applyBorder="1" applyProtection="1"/>
    <xf numFmtId="0" fontId="3" fillId="0" borderId="3" xfId="0" applyFont="1" applyBorder="1"/>
    <xf numFmtId="0" fontId="5" fillId="3" borderId="0" xfId="0" applyFont="1" applyFill="1"/>
    <xf numFmtId="0" fontId="6" fillId="0" borderId="0" xfId="0" applyFont="1"/>
    <xf numFmtId="165" fontId="2" fillId="0" borderId="3" xfId="0" applyNumberFormat="1" applyFont="1" applyBorder="1" applyAlignment="1">
      <alignment horizontal="center"/>
    </xf>
    <xf numFmtId="0" fontId="7" fillId="0" borderId="0" xfId="0" applyFont="1" applyAlignment="1">
      <alignment wrapText="1"/>
    </xf>
    <xf numFmtId="0" fontId="8" fillId="0" borderId="0" xfId="0" applyFont="1"/>
    <xf numFmtId="0" fontId="9" fillId="0" borderId="3" xfId="0" applyFont="1" applyBorder="1"/>
    <xf numFmtId="0" fontId="10" fillId="0" borderId="3" xfId="0" applyFont="1" applyBorder="1"/>
    <xf numFmtId="0" fontId="11" fillId="0" borderId="3" xfId="0" applyFont="1" applyBorder="1"/>
    <xf numFmtId="0" fontId="11" fillId="0" borderId="0" xfId="0" applyFont="1"/>
    <xf numFmtId="0" fontId="5" fillId="0" borderId="3" xfId="0" applyFont="1" applyBorder="1" applyAlignment="1">
      <alignment wrapText="1"/>
    </xf>
    <xf numFmtId="0" fontId="12" fillId="0" borderId="0" xfId="0" applyFont="1"/>
    <xf numFmtId="0" fontId="12" fillId="0" borderId="3" xfId="0" applyFont="1" applyBorder="1"/>
    <xf numFmtId="0" fontId="13" fillId="0" borderId="3" xfId="0" applyFont="1" applyBorder="1"/>
    <xf numFmtId="0" fontId="13" fillId="0" borderId="0" xfId="0" applyFont="1"/>
    <xf numFmtId="16" fontId="15" fillId="0" borderId="6" xfId="0" applyNumberFormat="1" applyFont="1" applyBorder="1" applyAlignment="1">
      <alignment horizontal="center"/>
    </xf>
    <xf numFmtId="0" fontId="15" fillId="0" borderId="0" xfId="0" applyFont="1"/>
    <xf numFmtId="0" fontId="15" fillId="0" borderId="7" xfId="0" applyFont="1" applyBorder="1"/>
    <xf numFmtId="16" fontId="16" fillId="0" borderId="7" xfId="0" applyNumberFormat="1" applyFont="1" applyBorder="1" applyAlignment="1">
      <alignment horizontal="center"/>
    </xf>
    <xf numFmtId="0" fontId="16" fillId="0" borderId="7" xfId="0" applyFont="1" applyBorder="1"/>
    <xf numFmtId="16" fontId="17" fillId="0" borderId="6" xfId="0" applyNumberFormat="1" applyFont="1" applyBorder="1" applyAlignment="1">
      <alignment horizontal="center"/>
    </xf>
    <xf numFmtId="0" fontId="17" fillId="0" borderId="0" xfId="0" applyFont="1"/>
    <xf numFmtId="0" fontId="17" fillId="0" borderId="7" xfId="0" applyFont="1" applyBorder="1"/>
    <xf numFmtId="16" fontId="18" fillId="0" borderId="7" xfId="0" applyNumberFormat="1" applyFont="1" applyBorder="1" applyAlignment="1">
      <alignment horizontal="center"/>
    </xf>
    <xf numFmtId="0" fontId="18" fillId="0" borderId="7" xfId="0" applyFont="1" applyBorder="1"/>
    <xf numFmtId="0" fontId="19" fillId="0" borderId="0" xfId="0" applyFont="1"/>
    <xf numFmtId="0" fontId="16" fillId="0" borderId="0" xfId="0" applyFont="1"/>
    <xf numFmtId="16" fontId="20" fillId="0" borderId="6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0" xfId="0" applyFont="1" applyAlignment="1">
      <alignment horizontal="center"/>
    </xf>
    <xf numFmtId="16" fontId="20" fillId="0" borderId="6" xfId="0" applyNumberFormat="1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7" xfId="0" applyFont="1" applyBorder="1" applyAlignment="1">
      <alignment horizontal="center"/>
    </xf>
    <xf numFmtId="16" fontId="15" fillId="0" borderId="6" xfId="0" applyNumberFormat="1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15" fillId="0" borderId="7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23" fillId="4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16" fontId="15" fillId="0" borderId="6" xfId="0" applyNumberFormat="1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6" fillId="0" borderId="7" xfId="0" applyFont="1" applyBorder="1" applyAlignment="1">
      <alignment horizontal="center"/>
    </xf>
    <xf numFmtId="0" fontId="24" fillId="5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7" fillId="2" borderId="1" xfId="0" applyFont="1" applyFill="1" applyBorder="1" applyAlignment="1">
      <alignment horizontal="left"/>
    </xf>
    <xf numFmtId="0" fontId="28" fillId="0" borderId="3" xfId="0" applyFont="1" applyBorder="1" applyAlignment="1">
      <alignment horizontal="left"/>
    </xf>
    <xf numFmtId="0" fontId="28" fillId="0" borderId="5" xfId="0" applyFont="1" applyBorder="1" applyAlignment="1">
      <alignment horizontal="left"/>
    </xf>
    <xf numFmtId="0" fontId="28" fillId="0" borderId="7" xfId="0" applyFont="1" applyBorder="1" applyAlignment="1">
      <alignment horizontal="left"/>
    </xf>
    <xf numFmtId="0" fontId="28" fillId="0" borderId="7" xfId="0" applyFont="1" applyBorder="1" applyAlignment="1">
      <alignment horizontal="left" vertical="center"/>
    </xf>
    <xf numFmtId="0" fontId="22" fillId="0" borderId="0" xfId="0" applyFont="1"/>
    <xf numFmtId="0" fontId="19" fillId="0" borderId="7" xfId="0" applyFont="1" applyBorder="1" applyAlignment="1">
      <alignment horizontal="left"/>
    </xf>
    <xf numFmtId="0" fontId="29" fillId="4" borderId="0" xfId="0" applyFont="1" applyFill="1" applyAlignment="1">
      <alignment horizontal="left"/>
    </xf>
    <xf numFmtId="0" fontId="19" fillId="0" borderId="7" xfId="0" applyFont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44746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182"/>
  <sheetViews>
    <sheetView tabSelected="1" zoomScaleNormal="100" workbookViewId="0">
      <selection activeCell="O5" sqref="O5"/>
    </sheetView>
  </sheetViews>
  <sheetFormatPr defaultColWidth="14" defaultRowHeight="15" customHeight="1"/>
  <cols>
    <col min="1" max="2" width="11.88671875" customWidth="1"/>
    <col min="3" max="3" width="43" customWidth="1"/>
    <col min="4" max="4" width="36.21875" customWidth="1"/>
    <col min="5" max="5" width="33" style="64" customWidth="1"/>
    <col min="6" max="6" width="78.5546875" customWidth="1"/>
    <col min="7" max="7" width="23" customWidth="1"/>
    <col min="8" max="8" width="7" customWidth="1"/>
    <col min="9" max="9" width="20.44140625" customWidth="1"/>
    <col min="10" max="10" width="16.33203125" customWidth="1"/>
    <col min="11" max="11" width="16.6640625" customWidth="1"/>
    <col min="12" max="12" width="22.88671875" customWidth="1"/>
    <col min="13" max="13" width="23.33203125" customWidth="1"/>
    <col min="14" max="14" width="23.6640625" customWidth="1"/>
    <col min="15" max="15" width="7.88671875" bestFit="1" customWidth="1"/>
    <col min="16" max="16" width="6" customWidth="1"/>
    <col min="17" max="17" width="11.88671875" customWidth="1"/>
    <col min="18" max="25" width="9.5546875" customWidth="1"/>
  </cols>
  <sheetData>
    <row r="1" spans="2:22" ht="9.75" customHeight="1"/>
    <row r="2" spans="2:22" ht="9.75" customHeight="1"/>
    <row r="3" spans="2:22" ht="9.75" customHeight="1">
      <c r="B3" s="1" t="s">
        <v>0</v>
      </c>
      <c r="C3" s="1" t="s">
        <v>1</v>
      </c>
      <c r="D3" s="1" t="s">
        <v>2</v>
      </c>
      <c r="E3" s="65" t="s">
        <v>3</v>
      </c>
      <c r="F3" s="1" t="s">
        <v>4</v>
      </c>
      <c r="G3" s="1" t="s">
        <v>5</v>
      </c>
      <c r="H3" s="2"/>
      <c r="J3" s="3" t="s">
        <v>6</v>
      </c>
      <c r="K3" s="3" t="s">
        <v>7</v>
      </c>
      <c r="L3" s="3" t="s">
        <v>8</v>
      </c>
      <c r="M3" s="3" t="s">
        <v>2141</v>
      </c>
      <c r="N3" s="3" t="s">
        <v>2899</v>
      </c>
      <c r="O3" s="3" t="s">
        <v>3340</v>
      </c>
      <c r="P3" s="2"/>
      <c r="Q3" s="2"/>
      <c r="R3" s="2"/>
      <c r="S3" s="4"/>
    </row>
    <row r="4" spans="2:22" ht="9.75" customHeight="1">
      <c r="B4" s="5">
        <v>46113</v>
      </c>
      <c r="C4" s="6" t="s">
        <v>9</v>
      </c>
      <c r="D4" s="6" t="s">
        <v>10</v>
      </c>
      <c r="E4" s="66" t="s">
        <v>11</v>
      </c>
      <c r="F4" s="6" t="s">
        <v>12</v>
      </c>
      <c r="G4" s="6"/>
      <c r="H4" s="7"/>
      <c r="I4" s="8" t="s">
        <v>13</v>
      </c>
      <c r="J4" s="9">
        <v>2286</v>
      </c>
      <c r="K4" s="9">
        <v>2019</v>
      </c>
      <c r="L4" s="9">
        <v>1877</v>
      </c>
      <c r="M4" s="9">
        <v>2530</v>
      </c>
      <c r="N4" s="9">
        <v>2470</v>
      </c>
      <c r="O4" s="9">
        <v>2060</v>
      </c>
      <c r="P4" s="4"/>
      <c r="Q4" s="4"/>
      <c r="R4" s="4"/>
      <c r="S4" s="10"/>
      <c r="T4" s="9"/>
      <c r="U4" s="9"/>
      <c r="V4" s="9"/>
    </row>
    <row r="5" spans="2:22" ht="9.75" customHeight="1">
      <c r="B5" s="11">
        <f>B4</f>
        <v>46113</v>
      </c>
      <c r="C5" s="6" t="s">
        <v>14</v>
      </c>
      <c r="D5" s="6" t="s">
        <v>15</v>
      </c>
      <c r="E5" s="66" t="s">
        <v>11</v>
      </c>
      <c r="F5" s="6" t="s">
        <v>16</v>
      </c>
      <c r="G5" s="6"/>
      <c r="H5" s="7"/>
      <c r="I5" s="8" t="s">
        <v>17</v>
      </c>
      <c r="J5" s="9">
        <v>273</v>
      </c>
      <c r="K5" s="9">
        <v>472</v>
      </c>
      <c r="L5" s="9">
        <v>257</v>
      </c>
      <c r="M5" s="9">
        <v>367</v>
      </c>
      <c r="N5" s="9">
        <v>504</v>
      </c>
      <c r="O5" s="9">
        <v>299</v>
      </c>
      <c r="P5" s="10"/>
      <c r="Q5" s="10"/>
      <c r="R5" s="10"/>
      <c r="S5" s="10"/>
      <c r="T5" s="9"/>
      <c r="U5" s="9"/>
      <c r="V5" s="9"/>
    </row>
    <row r="6" spans="2:22" ht="9.75" customHeight="1">
      <c r="B6" s="5">
        <v>46115</v>
      </c>
      <c r="C6" s="12" t="s">
        <v>18</v>
      </c>
      <c r="D6" s="12" t="s">
        <v>19</v>
      </c>
      <c r="E6" s="66" t="s">
        <v>11</v>
      </c>
      <c r="F6" s="12" t="s">
        <v>20</v>
      </c>
      <c r="G6" s="12" t="s">
        <v>21</v>
      </c>
      <c r="H6" s="7"/>
      <c r="I6" s="13"/>
      <c r="J6" s="14"/>
      <c r="K6" s="14"/>
      <c r="L6" s="14"/>
      <c r="M6" s="9"/>
      <c r="N6" s="10"/>
      <c r="O6" s="10"/>
      <c r="P6" s="10"/>
      <c r="Q6" s="10"/>
      <c r="R6" s="10"/>
      <c r="S6" s="10"/>
      <c r="T6" s="9"/>
      <c r="U6" s="9"/>
      <c r="V6" s="9"/>
    </row>
    <row r="7" spans="2:22" ht="9.75" customHeight="1">
      <c r="B7" s="11">
        <f>B6</f>
        <v>46115</v>
      </c>
      <c r="C7" s="6" t="s">
        <v>22</v>
      </c>
      <c r="D7" s="6" t="s">
        <v>23</v>
      </c>
      <c r="E7" s="66" t="s">
        <v>11</v>
      </c>
      <c r="F7" s="12" t="s">
        <v>20</v>
      </c>
      <c r="G7" s="6"/>
      <c r="H7" s="7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2:22" ht="9.75" customHeight="1">
      <c r="B8" s="11">
        <f>B7</f>
        <v>46115</v>
      </c>
      <c r="C8" s="6" t="s">
        <v>24</v>
      </c>
      <c r="D8" s="6" t="s">
        <v>25</v>
      </c>
      <c r="E8" s="66" t="s">
        <v>11</v>
      </c>
      <c r="F8" s="6" t="s">
        <v>26</v>
      </c>
      <c r="G8" s="6"/>
      <c r="H8" s="7"/>
      <c r="J8" s="3" t="s">
        <v>6</v>
      </c>
      <c r="K8" s="3" t="s">
        <v>7</v>
      </c>
      <c r="L8" s="3" t="s">
        <v>8</v>
      </c>
      <c r="M8" s="3" t="s">
        <v>2141</v>
      </c>
      <c r="N8" s="3" t="s">
        <v>2899</v>
      </c>
      <c r="O8" s="3" t="s">
        <v>3340</v>
      </c>
      <c r="P8" s="9"/>
      <c r="Q8" s="9"/>
      <c r="R8" s="9"/>
      <c r="S8" s="9"/>
      <c r="T8" s="9"/>
      <c r="U8" s="9"/>
      <c r="V8" s="9"/>
    </row>
    <row r="9" spans="2:22" ht="9.75" customHeight="1">
      <c r="B9" s="5">
        <v>46116</v>
      </c>
      <c r="C9" s="12" t="s">
        <v>27</v>
      </c>
      <c r="D9" s="6" t="s">
        <v>15</v>
      </c>
      <c r="E9" s="66" t="s">
        <v>28</v>
      </c>
      <c r="F9" s="6" t="s">
        <v>29</v>
      </c>
      <c r="G9" s="6" t="s">
        <v>30</v>
      </c>
      <c r="H9" s="7"/>
      <c r="I9" s="8" t="s">
        <v>31</v>
      </c>
      <c r="J9" s="15">
        <f>100%-J10</f>
        <v>0.88057742782152204</v>
      </c>
      <c r="K9" s="16">
        <f>100%-K10</f>
        <v>0.76622090143635502</v>
      </c>
      <c r="L9" s="16">
        <f>100%-L10</f>
        <v>0.86307938199254097</v>
      </c>
      <c r="M9" s="16">
        <f>100%-M10</f>
        <v>0.85494071146245054</v>
      </c>
      <c r="N9" s="16">
        <f>100%-N10</f>
        <v>0.79595141700404859</v>
      </c>
      <c r="O9" s="16">
        <f t="shared" ref="O9" si="0">100%-O10</f>
        <v>0.85485436893203881</v>
      </c>
      <c r="P9" s="9"/>
      <c r="Q9" s="9"/>
      <c r="R9" s="9"/>
      <c r="S9" s="9"/>
      <c r="T9" s="9"/>
      <c r="U9" s="9"/>
      <c r="V9" s="9"/>
    </row>
    <row r="10" spans="2:22" ht="9.75" customHeight="1">
      <c r="B10" s="11">
        <f t="shared" ref="B10:B16" si="1">B9</f>
        <v>46116</v>
      </c>
      <c r="C10" s="6" t="s">
        <v>27</v>
      </c>
      <c r="D10" s="6" t="s">
        <v>32</v>
      </c>
      <c r="E10" s="66" t="s">
        <v>28</v>
      </c>
      <c r="F10" s="6" t="s">
        <v>33</v>
      </c>
      <c r="G10" s="6" t="s">
        <v>34</v>
      </c>
      <c r="H10" s="7"/>
      <c r="I10" s="8" t="s">
        <v>17</v>
      </c>
      <c r="J10" s="16">
        <v>0.119422572178478</v>
      </c>
      <c r="K10" s="16">
        <v>0.23377909856364501</v>
      </c>
      <c r="L10" s="16">
        <v>0.136920618007459</v>
      </c>
      <c r="M10" s="16">
        <f>M5/M4</f>
        <v>0.1450592885375494</v>
      </c>
      <c r="N10" s="16">
        <f>N5/N4</f>
        <v>0.20404858299595141</v>
      </c>
      <c r="O10" s="16">
        <f t="shared" ref="O10" si="2">O5/O4</f>
        <v>0.14514563106796116</v>
      </c>
      <c r="P10" s="9"/>
      <c r="Q10" s="9"/>
      <c r="R10" s="9"/>
      <c r="S10" s="9"/>
      <c r="T10" s="9"/>
      <c r="U10" s="9"/>
      <c r="V10" s="9"/>
    </row>
    <row r="11" spans="2:22" ht="9.75" customHeight="1">
      <c r="B11" s="11">
        <f t="shared" si="1"/>
        <v>46116</v>
      </c>
      <c r="C11" s="6" t="s">
        <v>35</v>
      </c>
      <c r="D11" s="6" t="s">
        <v>36</v>
      </c>
      <c r="E11" s="66" t="s">
        <v>28</v>
      </c>
      <c r="F11" s="6" t="s">
        <v>37</v>
      </c>
      <c r="G11" s="6" t="s">
        <v>30</v>
      </c>
      <c r="H11" s="7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2:22" ht="9.75" customHeight="1">
      <c r="B12" s="11">
        <f t="shared" si="1"/>
        <v>46116</v>
      </c>
      <c r="C12" s="6" t="s">
        <v>27</v>
      </c>
      <c r="D12" s="6" t="s">
        <v>38</v>
      </c>
      <c r="E12" s="66" t="s">
        <v>28</v>
      </c>
      <c r="F12" s="6" t="s">
        <v>39</v>
      </c>
      <c r="G12" s="6" t="s">
        <v>34</v>
      </c>
      <c r="H12" s="7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2:22" ht="9.75" customHeight="1">
      <c r="B13" s="11">
        <f t="shared" si="1"/>
        <v>46116</v>
      </c>
      <c r="C13" s="6" t="s">
        <v>27</v>
      </c>
      <c r="D13" s="6" t="s">
        <v>23</v>
      </c>
      <c r="E13" s="66" t="s">
        <v>28</v>
      </c>
      <c r="F13" s="6" t="s">
        <v>40</v>
      </c>
      <c r="G13" s="6" t="s">
        <v>41</v>
      </c>
      <c r="H13" s="7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2:22" ht="9.75" customHeight="1">
      <c r="B14" s="11">
        <f t="shared" si="1"/>
        <v>46116</v>
      </c>
      <c r="C14" s="6" t="s">
        <v>27</v>
      </c>
      <c r="D14" s="6" t="s">
        <v>42</v>
      </c>
      <c r="E14" s="66" t="s">
        <v>28</v>
      </c>
      <c r="F14" s="6" t="s">
        <v>43</v>
      </c>
      <c r="G14" s="6" t="s">
        <v>34</v>
      </c>
      <c r="H14" s="7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2:22" ht="9.75" customHeight="1">
      <c r="B15" s="11">
        <f t="shared" si="1"/>
        <v>46116</v>
      </c>
      <c r="C15" s="6" t="s">
        <v>27</v>
      </c>
      <c r="D15" s="6" t="s">
        <v>44</v>
      </c>
      <c r="E15" s="66" t="s">
        <v>28</v>
      </c>
      <c r="F15" s="6" t="s">
        <v>45</v>
      </c>
      <c r="G15" s="6" t="s">
        <v>30</v>
      </c>
      <c r="H15" s="7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2:22" ht="9.75" customHeight="1">
      <c r="B16" s="11">
        <f t="shared" si="1"/>
        <v>46116</v>
      </c>
      <c r="C16" s="6" t="s">
        <v>27</v>
      </c>
      <c r="D16" s="6" t="s">
        <v>42</v>
      </c>
      <c r="E16" s="66" t="s">
        <v>28</v>
      </c>
      <c r="F16" s="6" t="s">
        <v>46</v>
      </c>
      <c r="G16" s="6" t="s">
        <v>30</v>
      </c>
      <c r="H16" s="7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2:22" ht="9.75" customHeight="1">
      <c r="B17" s="5">
        <v>46117</v>
      </c>
      <c r="C17" s="12" t="s">
        <v>47</v>
      </c>
      <c r="D17" s="6" t="s">
        <v>44</v>
      </c>
      <c r="E17" s="66" t="s">
        <v>11</v>
      </c>
      <c r="F17" s="12" t="s">
        <v>48</v>
      </c>
      <c r="G17" s="12"/>
      <c r="H17" s="7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2:22" ht="9.75" customHeight="1">
      <c r="B18" s="11">
        <f>B17</f>
        <v>46117</v>
      </c>
      <c r="C18" s="6" t="s">
        <v>49</v>
      </c>
      <c r="D18" s="6" t="s">
        <v>19</v>
      </c>
      <c r="E18" s="66" t="s">
        <v>11</v>
      </c>
      <c r="F18" s="6" t="s">
        <v>50</v>
      </c>
      <c r="G18" s="6" t="s">
        <v>51</v>
      </c>
      <c r="H18" s="7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2:22" ht="9.75" customHeight="1">
      <c r="B19" s="11">
        <f>B18</f>
        <v>46117</v>
      </c>
      <c r="C19" s="6" t="s">
        <v>35</v>
      </c>
      <c r="D19" s="6" t="s">
        <v>52</v>
      </c>
      <c r="E19" s="66" t="s">
        <v>11</v>
      </c>
      <c r="F19" s="6" t="s">
        <v>53</v>
      </c>
      <c r="G19" s="6" t="s">
        <v>54</v>
      </c>
      <c r="H19" s="7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2:22" ht="9.75" customHeight="1">
      <c r="B20" s="11">
        <f>B19</f>
        <v>46117</v>
      </c>
      <c r="C20" s="6" t="s">
        <v>55</v>
      </c>
      <c r="D20" s="6" t="s">
        <v>56</v>
      </c>
      <c r="E20" s="66" t="s">
        <v>11</v>
      </c>
      <c r="F20" s="6" t="s">
        <v>57</v>
      </c>
      <c r="G20" s="6" t="s">
        <v>58</v>
      </c>
      <c r="H20" s="7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2:22" ht="9.75" customHeight="1">
      <c r="B21" s="5">
        <v>46118</v>
      </c>
      <c r="C21" s="12" t="s">
        <v>59</v>
      </c>
      <c r="D21" s="12" t="s">
        <v>60</v>
      </c>
      <c r="E21" s="66" t="s">
        <v>11</v>
      </c>
      <c r="F21" s="12" t="s">
        <v>61</v>
      </c>
      <c r="G21" s="12" t="s">
        <v>51</v>
      </c>
      <c r="H21" s="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2:22" ht="9.75" customHeight="1">
      <c r="B22" s="11">
        <f t="shared" ref="B22:B33" si="3">B21</f>
        <v>46118</v>
      </c>
      <c r="C22" s="6" t="s">
        <v>59</v>
      </c>
      <c r="D22" s="6" t="s">
        <v>62</v>
      </c>
      <c r="E22" s="66" t="s">
        <v>11</v>
      </c>
      <c r="F22" s="6" t="s">
        <v>63</v>
      </c>
      <c r="G22" s="6" t="s">
        <v>64</v>
      </c>
      <c r="H22" s="7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2:22" ht="9.75" customHeight="1">
      <c r="B23" s="11">
        <f t="shared" si="3"/>
        <v>46118</v>
      </c>
      <c r="C23" s="6" t="s">
        <v>65</v>
      </c>
      <c r="D23" s="6" t="s">
        <v>42</v>
      </c>
      <c r="E23" s="66" t="s">
        <v>28</v>
      </c>
      <c r="F23" s="6" t="s">
        <v>66</v>
      </c>
      <c r="G23" s="6" t="s">
        <v>30</v>
      </c>
      <c r="H23" s="7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2:22" ht="9.75" customHeight="1">
      <c r="B24" s="11">
        <f t="shared" si="3"/>
        <v>46118</v>
      </c>
      <c r="C24" s="6" t="s">
        <v>67</v>
      </c>
      <c r="D24" s="6" t="s">
        <v>68</v>
      </c>
      <c r="E24" s="66" t="s">
        <v>28</v>
      </c>
      <c r="F24" s="6" t="s">
        <v>69</v>
      </c>
      <c r="G24" s="6" t="s">
        <v>70</v>
      </c>
      <c r="H24" s="7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2:22" ht="9.75" customHeight="1">
      <c r="B25" s="11">
        <f t="shared" si="3"/>
        <v>46118</v>
      </c>
      <c r="C25" s="6" t="s">
        <v>71</v>
      </c>
      <c r="D25" s="6" t="s">
        <v>32</v>
      </c>
      <c r="E25" s="66" t="s">
        <v>28</v>
      </c>
      <c r="F25" s="6" t="s">
        <v>72</v>
      </c>
      <c r="G25" s="6" t="s">
        <v>30</v>
      </c>
      <c r="H25" s="7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2:22" ht="9.75" customHeight="1">
      <c r="B26" s="11">
        <f t="shared" si="3"/>
        <v>46118</v>
      </c>
      <c r="C26" s="6" t="s">
        <v>65</v>
      </c>
      <c r="D26" s="6" t="s">
        <v>42</v>
      </c>
      <c r="E26" s="66" t="s">
        <v>28</v>
      </c>
      <c r="F26" s="6" t="s">
        <v>73</v>
      </c>
      <c r="G26" s="6" t="s">
        <v>30</v>
      </c>
      <c r="H26" s="7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2:22" ht="9.75" customHeight="1">
      <c r="B27" s="11">
        <f t="shared" si="3"/>
        <v>46118</v>
      </c>
      <c r="C27" s="6" t="s">
        <v>65</v>
      </c>
      <c r="D27" s="6" t="s">
        <v>42</v>
      </c>
      <c r="E27" s="66" t="s">
        <v>28</v>
      </c>
      <c r="F27" s="6" t="s">
        <v>74</v>
      </c>
      <c r="G27" s="6" t="s">
        <v>30</v>
      </c>
      <c r="H27" s="7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2:22" ht="9.75" customHeight="1">
      <c r="B28" s="11">
        <f t="shared" si="3"/>
        <v>46118</v>
      </c>
      <c r="C28" s="6" t="s">
        <v>75</v>
      </c>
      <c r="D28" s="6" t="s">
        <v>76</v>
      </c>
      <c r="E28" s="66" t="s">
        <v>28</v>
      </c>
      <c r="F28" s="6" t="s">
        <v>77</v>
      </c>
      <c r="G28" s="6" t="s">
        <v>30</v>
      </c>
      <c r="H28" s="7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2:22" ht="9.75" customHeight="1">
      <c r="B29" s="11">
        <f t="shared" si="3"/>
        <v>46118</v>
      </c>
      <c r="C29" s="6" t="s">
        <v>75</v>
      </c>
      <c r="D29" s="6" t="s">
        <v>78</v>
      </c>
      <c r="E29" s="66" t="s">
        <v>28</v>
      </c>
      <c r="F29" s="6" t="s">
        <v>79</v>
      </c>
      <c r="G29" s="6" t="s">
        <v>80</v>
      </c>
      <c r="H29" s="7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2:22" ht="9.75" customHeight="1">
      <c r="B30" s="11">
        <f t="shared" si="3"/>
        <v>46118</v>
      </c>
      <c r="C30" s="6" t="s">
        <v>75</v>
      </c>
      <c r="D30" s="6" t="s">
        <v>81</v>
      </c>
      <c r="E30" s="66" t="s">
        <v>28</v>
      </c>
      <c r="F30" s="6" t="s">
        <v>82</v>
      </c>
      <c r="G30" s="6" t="s">
        <v>83</v>
      </c>
      <c r="H30" s="7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2:22" ht="9.75" customHeight="1">
      <c r="B31" s="11">
        <f t="shared" si="3"/>
        <v>46118</v>
      </c>
      <c r="C31" s="6" t="s">
        <v>65</v>
      </c>
      <c r="D31" s="6" t="s">
        <v>42</v>
      </c>
      <c r="E31" s="66" t="s">
        <v>28</v>
      </c>
      <c r="F31" s="6" t="s">
        <v>84</v>
      </c>
      <c r="G31" s="6" t="s">
        <v>30</v>
      </c>
      <c r="H31" s="7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2:22" ht="9.75" customHeight="1">
      <c r="B32" s="11">
        <f t="shared" si="3"/>
        <v>46118</v>
      </c>
      <c r="C32" s="6" t="s">
        <v>35</v>
      </c>
      <c r="D32" s="6" t="s">
        <v>85</v>
      </c>
      <c r="E32" s="66" t="s">
        <v>11</v>
      </c>
      <c r="F32" s="6" t="s">
        <v>86</v>
      </c>
      <c r="G32" s="6" t="s">
        <v>87</v>
      </c>
      <c r="H32" s="7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2:22" ht="9.75" customHeight="1">
      <c r="B33" s="11">
        <f t="shared" si="3"/>
        <v>46118</v>
      </c>
      <c r="C33" s="6" t="s">
        <v>88</v>
      </c>
      <c r="D33" s="6" t="s">
        <v>19</v>
      </c>
      <c r="E33" s="66" t="s">
        <v>11</v>
      </c>
      <c r="F33" s="6" t="s">
        <v>89</v>
      </c>
      <c r="G33" s="6" t="s">
        <v>21</v>
      </c>
      <c r="H33" s="7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2:22" ht="9.75" customHeight="1">
      <c r="B34" s="5">
        <v>46119</v>
      </c>
      <c r="C34" s="12" t="s">
        <v>90</v>
      </c>
      <c r="D34" s="12" t="s">
        <v>42</v>
      </c>
      <c r="E34" s="66" t="s">
        <v>28</v>
      </c>
      <c r="F34" s="12" t="s">
        <v>91</v>
      </c>
      <c r="G34" s="12" t="s">
        <v>92</v>
      </c>
      <c r="H34" s="7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2:22" ht="9.75" customHeight="1">
      <c r="B35" s="11">
        <f t="shared" ref="B35:B41" si="4">B34</f>
        <v>46119</v>
      </c>
      <c r="C35" s="6" t="s">
        <v>93</v>
      </c>
      <c r="D35" s="6" t="s">
        <v>94</v>
      </c>
      <c r="E35" s="66" t="s">
        <v>28</v>
      </c>
      <c r="F35" s="6" t="s">
        <v>95</v>
      </c>
      <c r="G35" s="12" t="s">
        <v>92</v>
      </c>
      <c r="H35" s="7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2:22" ht="9.75" customHeight="1">
      <c r="B36" s="11">
        <f t="shared" si="4"/>
        <v>46119</v>
      </c>
      <c r="C36" s="6" t="s">
        <v>93</v>
      </c>
      <c r="D36" s="6" t="s">
        <v>96</v>
      </c>
      <c r="E36" s="66" t="s">
        <v>28</v>
      </c>
      <c r="F36" s="6" t="s">
        <v>97</v>
      </c>
      <c r="G36" s="12" t="s">
        <v>92</v>
      </c>
      <c r="H36" s="7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2:22" ht="9.75" customHeight="1">
      <c r="B37" s="11">
        <f t="shared" si="4"/>
        <v>46119</v>
      </c>
      <c r="C37" s="6" t="s">
        <v>93</v>
      </c>
      <c r="D37" s="6" t="s">
        <v>96</v>
      </c>
      <c r="E37" s="66" t="s">
        <v>28</v>
      </c>
      <c r="F37" s="6" t="s">
        <v>98</v>
      </c>
      <c r="G37" s="12" t="s">
        <v>92</v>
      </c>
      <c r="H37" s="7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2:22" ht="9.75" customHeight="1">
      <c r="B38" s="11">
        <f t="shared" si="4"/>
        <v>46119</v>
      </c>
      <c r="C38" s="6" t="s">
        <v>93</v>
      </c>
      <c r="D38" s="6" t="s">
        <v>99</v>
      </c>
      <c r="E38" s="66" t="s">
        <v>28</v>
      </c>
      <c r="F38" s="6" t="s">
        <v>100</v>
      </c>
      <c r="G38" s="12" t="s">
        <v>92</v>
      </c>
      <c r="H38" s="7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2:22" ht="9.75" customHeight="1">
      <c r="B39" s="11">
        <f t="shared" si="4"/>
        <v>46119</v>
      </c>
      <c r="C39" s="6" t="s">
        <v>93</v>
      </c>
      <c r="D39" s="6" t="s">
        <v>42</v>
      </c>
      <c r="E39" s="66" t="s">
        <v>28</v>
      </c>
      <c r="F39" s="6" t="s">
        <v>101</v>
      </c>
      <c r="G39" s="12" t="s">
        <v>92</v>
      </c>
      <c r="H39" s="7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2:22" ht="9.75" customHeight="1">
      <c r="B40" s="11">
        <f t="shared" si="4"/>
        <v>46119</v>
      </c>
      <c r="C40" s="6" t="s">
        <v>102</v>
      </c>
      <c r="D40" s="6" t="s">
        <v>103</v>
      </c>
      <c r="E40" s="66" t="s">
        <v>11</v>
      </c>
      <c r="F40" s="6" t="s">
        <v>104</v>
      </c>
      <c r="G40" s="6" t="s">
        <v>105</v>
      </c>
      <c r="H40" s="7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2:22" ht="9.75" customHeight="1">
      <c r="B41" s="11">
        <f t="shared" si="4"/>
        <v>46119</v>
      </c>
      <c r="C41" s="6" t="s">
        <v>106</v>
      </c>
      <c r="D41" s="6" t="s">
        <v>107</v>
      </c>
      <c r="E41" s="66" t="s">
        <v>11</v>
      </c>
      <c r="F41" s="6" t="s">
        <v>108</v>
      </c>
      <c r="G41" s="6"/>
      <c r="H41" s="7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2:22" ht="9.75" customHeight="1">
      <c r="B42" s="5">
        <v>46120</v>
      </c>
      <c r="C42" s="12" t="s">
        <v>35</v>
      </c>
      <c r="D42" s="12" t="s">
        <v>42</v>
      </c>
      <c r="E42" s="66" t="s">
        <v>28</v>
      </c>
      <c r="F42" s="12" t="s">
        <v>109</v>
      </c>
      <c r="G42" s="12" t="s">
        <v>30</v>
      </c>
      <c r="H42" s="7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2:22" ht="9.75" customHeight="1">
      <c r="B43" s="11">
        <f t="shared" ref="B43:B53" si="5">B42</f>
        <v>46120</v>
      </c>
      <c r="C43" s="12" t="s">
        <v>110</v>
      </c>
      <c r="D43" s="6" t="s">
        <v>111</v>
      </c>
      <c r="E43" s="66" t="s">
        <v>28</v>
      </c>
      <c r="F43" s="6" t="s">
        <v>112</v>
      </c>
      <c r="G43" s="6" t="s">
        <v>113</v>
      </c>
      <c r="H43" s="7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2:22" ht="9.75" customHeight="1">
      <c r="B44" s="11">
        <f t="shared" si="5"/>
        <v>46120</v>
      </c>
      <c r="C44" s="12" t="s">
        <v>110</v>
      </c>
      <c r="D44" s="6" t="s">
        <v>44</v>
      </c>
      <c r="E44" s="66" t="s">
        <v>28</v>
      </c>
      <c r="F44" s="6" t="s">
        <v>114</v>
      </c>
      <c r="G44" s="6" t="s">
        <v>30</v>
      </c>
      <c r="H44" s="7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spans="2:22" ht="9.75" customHeight="1">
      <c r="B45" s="11">
        <f t="shared" si="5"/>
        <v>46120</v>
      </c>
      <c r="C45" s="12" t="s">
        <v>115</v>
      </c>
      <c r="D45" s="6" t="s">
        <v>116</v>
      </c>
      <c r="E45" s="66" t="s">
        <v>28</v>
      </c>
      <c r="F45" s="6" t="s">
        <v>117</v>
      </c>
      <c r="G45" s="6" t="s">
        <v>30</v>
      </c>
      <c r="H45" s="7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spans="2:22" ht="9.75" customHeight="1">
      <c r="B46" s="11">
        <f t="shared" si="5"/>
        <v>46120</v>
      </c>
      <c r="C46" s="12" t="s">
        <v>110</v>
      </c>
      <c r="D46" s="6" t="s">
        <v>15</v>
      </c>
      <c r="E46" s="66" t="s">
        <v>28</v>
      </c>
      <c r="F46" s="6" t="s">
        <v>118</v>
      </c>
      <c r="G46" s="6" t="s">
        <v>30</v>
      </c>
      <c r="H46" s="7"/>
    </row>
    <row r="47" spans="2:22" ht="9.75" customHeight="1">
      <c r="B47" s="11">
        <f t="shared" si="5"/>
        <v>46120</v>
      </c>
      <c r="C47" s="12" t="s">
        <v>110</v>
      </c>
      <c r="D47" s="6" t="s">
        <v>119</v>
      </c>
      <c r="E47" s="66" t="s">
        <v>28</v>
      </c>
      <c r="F47" s="6" t="s">
        <v>120</v>
      </c>
      <c r="G47" s="6" t="s">
        <v>83</v>
      </c>
      <c r="H47" s="7"/>
    </row>
    <row r="48" spans="2:22" ht="9.75" customHeight="1">
      <c r="B48" s="11">
        <f t="shared" si="5"/>
        <v>46120</v>
      </c>
      <c r="C48" s="12" t="s">
        <v>115</v>
      </c>
      <c r="D48" s="6" t="s">
        <v>121</v>
      </c>
      <c r="E48" s="66" t="s">
        <v>28</v>
      </c>
      <c r="F48" s="17" t="s">
        <v>122</v>
      </c>
      <c r="G48" s="6" t="s">
        <v>123</v>
      </c>
      <c r="H48" s="7"/>
    </row>
    <row r="49" spans="2:8" ht="9.75" customHeight="1">
      <c r="B49" s="11">
        <f t="shared" si="5"/>
        <v>46120</v>
      </c>
      <c r="C49" s="6" t="s">
        <v>35</v>
      </c>
      <c r="D49" s="6" t="s">
        <v>42</v>
      </c>
      <c r="E49" s="66" t="s">
        <v>28</v>
      </c>
      <c r="F49" s="17" t="s">
        <v>124</v>
      </c>
      <c r="G49" s="6" t="s">
        <v>30</v>
      </c>
      <c r="H49" s="7"/>
    </row>
    <row r="50" spans="2:8" ht="9.75" customHeight="1">
      <c r="B50" s="11">
        <f t="shared" si="5"/>
        <v>46120</v>
      </c>
      <c r="C50" s="17"/>
      <c r="D50" s="17"/>
      <c r="E50" s="66" t="s">
        <v>28</v>
      </c>
      <c r="F50" s="17"/>
      <c r="G50" s="17"/>
      <c r="H50" s="9"/>
    </row>
    <row r="51" spans="2:8" ht="9.75" customHeight="1">
      <c r="B51" s="11">
        <f t="shared" si="5"/>
        <v>46120</v>
      </c>
      <c r="C51" s="6" t="s">
        <v>125</v>
      </c>
      <c r="D51" s="6" t="s">
        <v>76</v>
      </c>
      <c r="E51" s="66" t="s">
        <v>11</v>
      </c>
      <c r="F51" s="6" t="s">
        <v>126</v>
      </c>
      <c r="G51" s="6" t="s">
        <v>34</v>
      </c>
      <c r="H51" s="7"/>
    </row>
    <row r="52" spans="2:8" ht="9.75" customHeight="1">
      <c r="B52" s="11">
        <f t="shared" si="5"/>
        <v>46120</v>
      </c>
      <c r="C52" s="6" t="s">
        <v>127</v>
      </c>
      <c r="D52" s="6" t="s">
        <v>42</v>
      </c>
      <c r="E52" s="66" t="s">
        <v>11</v>
      </c>
      <c r="F52" s="6" t="s">
        <v>128</v>
      </c>
      <c r="G52" s="6" t="s">
        <v>129</v>
      </c>
      <c r="H52" s="7"/>
    </row>
    <row r="53" spans="2:8" ht="9.75" customHeight="1">
      <c r="B53" s="11">
        <f t="shared" si="5"/>
        <v>46120</v>
      </c>
      <c r="C53" s="6" t="s">
        <v>127</v>
      </c>
      <c r="D53" s="6" t="s">
        <v>130</v>
      </c>
      <c r="E53" s="66" t="s">
        <v>11</v>
      </c>
      <c r="F53" s="6" t="s">
        <v>131</v>
      </c>
      <c r="G53" s="6" t="s">
        <v>34</v>
      </c>
      <c r="H53" s="7"/>
    </row>
    <row r="54" spans="2:8" ht="9.75" customHeight="1">
      <c r="B54" s="5">
        <v>46121</v>
      </c>
      <c r="C54" s="12" t="s">
        <v>18</v>
      </c>
      <c r="D54" s="12" t="s">
        <v>132</v>
      </c>
      <c r="E54" s="66" t="s">
        <v>11</v>
      </c>
      <c r="F54" s="12" t="s">
        <v>133</v>
      </c>
      <c r="G54" s="12" t="s">
        <v>30</v>
      </c>
      <c r="H54" s="7"/>
    </row>
    <row r="55" spans="2:8" ht="9.75" customHeight="1">
      <c r="B55" s="5">
        <v>46122</v>
      </c>
      <c r="C55" s="12" t="s">
        <v>35</v>
      </c>
      <c r="D55" s="12" t="s">
        <v>134</v>
      </c>
      <c r="E55" s="67" t="s">
        <v>11</v>
      </c>
      <c r="F55" s="12" t="s">
        <v>135</v>
      </c>
      <c r="G55" s="12" t="s">
        <v>30</v>
      </c>
      <c r="H55" s="7"/>
    </row>
    <row r="56" spans="2:8" ht="9.75" customHeight="1">
      <c r="B56" s="11">
        <f>B55</f>
        <v>46122</v>
      </c>
      <c r="C56" s="6" t="s">
        <v>35</v>
      </c>
      <c r="D56" s="12" t="s">
        <v>19</v>
      </c>
      <c r="E56" s="66" t="s">
        <v>11</v>
      </c>
      <c r="F56" s="6" t="s">
        <v>136</v>
      </c>
      <c r="G56" s="6" t="s">
        <v>30</v>
      </c>
      <c r="H56" s="7"/>
    </row>
    <row r="57" spans="2:8" ht="9.75" customHeight="1">
      <c r="B57" s="5">
        <v>46123</v>
      </c>
      <c r="C57" s="12" t="s">
        <v>137</v>
      </c>
      <c r="D57" s="12" t="s">
        <v>138</v>
      </c>
      <c r="E57" s="66" t="s">
        <v>11</v>
      </c>
      <c r="F57" s="12" t="s">
        <v>139</v>
      </c>
      <c r="G57" s="12" t="s">
        <v>140</v>
      </c>
      <c r="H57" s="7"/>
    </row>
    <row r="58" spans="2:8" ht="9.75" customHeight="1">
      <c r="B58" s="11">
        <f t="shared" ref="B58:B64" si="6">B57</f>
        <v>46123</v>
      </c>
      <c r="C58" s="6" t="s">
        <v>141</v>
      </c>
      <c r="D58" s="6" t="s">
        <v>142</v>
      </c>
      <c r="E58" s="66" t="s">
        <v>11</v>
      </c>
      <c r="F58" s="6" t="s">
        <v>143</v>
      </c>
      <c r="G58" s="6" t="s">
        <v>144</v>
      </c>
      <c r="H58" s="7"/>
    </row>
    <row r="59" spans="2:8" ht="9.75" customHeight="1">
      <c r="B59" s="11">
        <f t="shared" si="6"/>
        <v>46123</v>
      </c>
      <c r="C59" s="6" t="s">
        <v>145</v>
      </c>
      <c r="D59" s="6" t="s">
        <v>81</v>
      </c>
      <c r="E59" s="66" t="s">
        <v>11</v>
      </c>
      <c r="F59" s="6" t="s">
        <v>146</v>
      </c>
      <c r="G59" s="6" t="s">
        <v>147</v>
      </c>
      <c r="H59" s="7"/>
    </row>
    <row r="60" spans="2:8" ht="9.75" customHeight="1">
      <c r="B60" s="11">
        <f t="shared" si="6"/>
        <v>46123</v>
      </c>
      <c r="C60" s="6" t="s">
        <v>148</v>
      </c>
      <c r="D60" s="6" t="s">
        <v>149</v>
      </c>
      <c r="E60" s="66" t="s">
        <v>11</v>
      </c>
      <c r="F60" s="6" t="s">
        <v>150</v>
      </c>
      <c r="G60" s="6" t="s">
        <v>147</v>
      </c>
      <c r="H60" s="7"/>
    </row>
    <row r="61" spans="2:8" ht="9.75" customHeight="1">
      <c r="B61" s="11">
        <f t="shared" si="6"/>
        <v>46123</v>
      </c>
      <c r="C61" s="6" t="s">
        <v>151</v>
      </c>
      <c r="D61" s="6" t="s">
        <v>81</v>
      </c>
      <c r="E61" s="66" t="s">
        <v>11</v>
      </c>
      <c r="F61" s="6" t="s">
        <v>152</v>
      </c>
      <c r="G61" s="6" t="s">
        <v>147</v>
      </c>
      <c r="H61" s="7"/>
    </row>
    <row r="62" spans="2:8" ht="9.75" customHeight="1">
      <c r="B62" s="11">
        <f t="shared" si="6"/>
        <v>46123</v>
      </c>
      <c r="C62" s="6" t="s">
        <v>141</v>
      </c>
      <c r="D62" s="6" t="s">
        <v>153</v>
      </c>
      <c r="E62" s="66" t="s">
        <v>11</v>
      </c>
      <c r="F62" s="6" t="s">
        <v>154</v>
      </c>
      <c r="G62" s="6" t="s">
        <v>155</v>
      </c>
      <c r="H62" s="7"/>
    </row>
    <row r="63" spans="2:8" ht="9.75" customHeight="1">
      <c r="B63" s="11">
        <f t="shared" si="6"/>
        <v>46123</v>
      </c>
      <c r="C63" s="6" t="s">
        <v>156</v>
      </c>
      <c r="D63" s="6" t="s">
        <v>76</v>
      </c>
      <c r="E63" s="66" t="s">
        <v>11</v>
      </c>
      <c r="F63" s="6" t="s">
        <v>157</v>
      </c>
      <c r="G63" s="6" t="s">
        <v>158</v>
      </c>
      <c r="H63" s="7"/>
    </row>
    <row r="64" spans="2:8" ht="9.75" customHeight="1">
      <c r="B64" s="11">
        <f t="shared" si="6"/>
        <v>46123</v>
      </c>
      <c r="C64" s="6" t="s">
        <v>159</v>
      </c>
      <c r="D64" s="6" t="s">
        <v>23</v>
      </c>
      <c r="E64" s="66" t="s">
        <v>11</v>
      </c>
      <c r="F64" s="6" t="s">
        <v>160</v>
      </c>
      <c r="G64" s="6" t="s">
        <v>158</v>
      </c>
      <c r="H64" s="7"/>
    </row>
    <row r="65" spans="2:8" ht="9.75" customHeight="1">
      <c r="B65" s="5">
        <v>46124</v>
      </c>
      <c r="C65" s="12" t="s">
        <v>161</v>
      </c>
      <c r="D65" s="12" t="s">
        <v>23</v>
      </c>
      <c r="E65" s="66" t="s">
        <v>11</v>
      </c>
      <c r="F65" s="12" t="s">
        <v>162</v>
      </c>
      <c r="G65" s="12"/>
      <c r="H65" s="7"/>
    </row>
    <row r="66" spans="2:8" ht="9.75" customHeight="1">
      <c r="B66" s="11">
        <f t="shared" ref="B66:B76" si="7">B65</f>
        <v>46124</v>
      </c>
      <c r="C66" s="6" t="s">
        <v>163</v>
      </c>
      <c r="D66" s="6" t="s">
        <v>164</v>
      </c>
      <c r="E66" s="66" t="s">
        <v>28</v>
      </c>
      <c r="F66" s="6" t="s">
        <v>165</v>
      </c>
      <c r="G66" s="6" t="s">
        <v>83</v>
      </c>
      <c r="H66" s="7"/>
    </row>
    <row r="67" spans="2:8" ht="9.75" customHeight="1">
      <c r="B67" s="11">
        <f t="shared" si="7"/>
        <v>46124</v>
      </c>
      <c r="C67" s="6" t="s">
        <v>166</v>
      </c>
      <c r="D67" s="6" t="s">
        <v>167</v>
      </c>
      <c r="E67" s="66" t="s">
        <v>28</v>
      </c>
      <c r="F67" s="6" t="s">
        <v>168</v>
      </c>
      <c r="G67" s="6" t="s">
        <v>30</v>
      </c>
      <c r="H67" s="7"/>
    </row>
    <row r="68" spans="2:8" ht="9.75" customHeight="1">
      <c r="B68" s="11">
        <f t="shared" si="7"/>
        <v>46124</v>
      </c>
      <c r="C68" s="6" t="s">
        <v>163</v>
      </c>
      <c r="D68" s="6" t="s">
        <v>42</v>
      </c>
      <c r="E68" s="66" t="s">
        <v>28</v>
      </c>
      <c r="F68" s="6" t="s">
        <v>169</v>
      </c>
      <c r="G68" s="6" t="s">
        <v>83</v>
      </c>
      <c r="H68" s="7"/>
    </row>
    <row r="69" spans="2:8" ht="9.75" customHeight="1">
      <c r="B69" s="11">
        <f t="shared" si="7"/>
        <v>46124</v>
      </c>
      <c r="C69" s="6" t="s">
        <v>67</v>
      </c>
      <c r="D69" s="6" t="s">
        <v>116</v>
      </c>
      <c r="E69" s="66" t="s">
        <v>28</v>
      </c>
      <c r="F69" s="6" t="s">
        <v>170</v>
      </c>
      <c r="G69" s="6" t="s">
        <v>70</v>
      </c>
      <c r="H69" s="7"/>
    </row>
    <row r="70" spans="2:8" ht="9.75" customHeight="1">
      <c r="B70" s="11">
        <f t="shared" si="7"/>
        <v>46124</v>
      </c>
      <c r="C70" s="6" t="s">
        <v>67</v>
      </c>
      <c r="D70" s="6" t="s">
        <v>44</v>
      </c>
      <c r="E70" s="66" t="s">
        <v>28</v>
      </c>
      <c r="F70" s="6" t="s">
        <v>171</v>
      </c>
      <c r="G70" s="6" t="s">
        <v>70</v>
      </c>
      <c r="H70" s="7"/>
    </row>
    <row r="71" spans="2:8" ht="9.75" customHeight="1">
      <c r="B71" s="11">
        <f t="shared" si="7"/>
        <v>46124</v>
      </c>
      <c r="C71" s="6" t="s">
        <v>67</v>
      </c>
      <c r="D71" s="6" t="s">
        <v>172</v>
      </c>
      <c r="E71" s="66" t="s">
        <v>28</v>
      </c>
      <c r="F71" s="6" t="s">
        <v>173</v>
      </c>
      <c r="G71" s="6" t="s">
        <v>70</v>
      </c>
      <c r="H71" s="7"/>
    </row>
    <row r="72" spans="2:8" ht="9.75" customHeight="1">
      <c r="B72" s="11">
        <f t="shared" si="7"/>
        <v>46124</v>
      </c>
      <c r="C72" s="6" t="s">
        <v>67</v>
      </c>
      <c r="D72" s="6" t="s">
        <v>116</v>
      </c>
      <c r="E72" s="66" t="s">
        <v>28</v>
      </c>
      <c r="F72" s="6" t="s">
        <v>174</v>
      </c>
      <c r="G72" s="6" t="s">
        <v>70</v>
      </c>
      <c r="H72" s="7"/>
    </row>
    <row r="73" spans="2:8" ht="9.75" customHeight="1">
      <c r="B73" s="11">
        <f t="shared" si="7"/>
        <v>46124</v>
      </c>
      <c r="C73" s="6" t="s">
        <v>67</v>
      </c>
      <c r="D73" s="6" t="s">
        <v>172</v>
      </c>
      <c r="E73" s="66" t="s">
        <v>28</v>
      </c>
      <c r="F73" s="6" t="s">
        <v>175</v>
      </c>
      <c r="G73" s="6" t="s">
        <v>70</v>
      </c>
      <c r="H73" s="7"/>
    </row>
    <row r="74" spans="2:8" ht="9.75" customHeight="1">
      <c r="B74" s="11">
        <f t="shared" si="7"/>
        <v>46124</v>
      </c>
      <c r="C74" s="6" t="s">
        <v>176</v>
      </c>
      <c r="D74" s="6" t="s">
        <v>177</v>
      </c>
      <c r="E74" s="66" t="s">
        <v>11</v>
      </c>
      <c r="F74" s="6" t="s">
        <v>178</v>
      </c>
      <c r="G74" s="6" t="s">
        <v>179</v>
      </c>
      <c r="H74" s="7"/>
    </row>
    <row r="75" spans="2:8" ht="9.75" customHeight="1">
      <c r="B75" s="11">
        <f t="shared" si="7"/>
        <v>46124</v>
      </c>
      <c r="C75" s="6" t="s">
        <v>176</v>
      </c>
      <c r="D75" s="6" t="s">
        <v>180</v>
      </c>
      <c r="E75" s="66" t="s">
        <v>11</v>
      </c>
      <c r="F75" s="6" t="s">
        <v>181</v>
      </c>
      <c r="G75" s="6" t="s">
        <v>179</v>
      </c>
      <c r="H75" s="7"/>
    </row>
    <row r="76" spans="2:8" ht="9.75" customHeight="1">
      <c r="B76" s="11">
        <f t="shared" si="7"/>
        <v>46124</v>
      </c>
      <c r="C76" s="6" t="s">
        <v>182</v>
      </c>
      <c r="D76" s="6" t="s">
        <v>81</v>
      </c>
      <c r="E76" s="66" t="s">
        <v>11</v>
      </c>
      <c r="F76" s="6" t="s">
        <v>183</v>
      </c>
      <c r="G76" s="6"/>
      <c r="H76" s="7"/>
    </row>
    <row r="77" spans="2:8" ht="9.75" customHeight="1">
      <c r="B77" s="5">
        <v>46125</v>
      </c>
      <c r="C77" s="12" t="s">
        <v>141</v>
      </c>
      <c r="D77" s="12" t="s">
        <v>116</v>
      </c>
      <c r="E77" s="66" t="s">
        <v>11</v>
      </c>
      <c r="F77" s="12" t="s">
        <v>184</v>
      </c>
      <c r="G77" s="12"/>
      <c r="H77" s="7"/>
    </row>
    <row r="78" spans="2:8" ht="9.75" customHeight="1">
      <c r="B78" s="5">
        <v>46128</v>
      </c>
      <c r="C78" s="12" t="s">
        <v>35</v>
      </c>
      <c r="D78" s="12" t="s">
        <v>185</v>
      </c>
      <c r="E78" s="66" t="s">
        <v>28</v>
      </c>
      <c r="F78" s="12" t="s">
        <v>186</v>
      </c>
      <c r="G78" s="12" t="s">
        <v>187</v>
      </c>
      <c r="H78" s="7"/>
    </row>
    <row r="79" spans="2:8" ht="9.75" customHeight="1">
      <c r="B79" s="11">
        <f t="shared" ref="B79:B96" si="8">B78</f>
        <v>46128</v>
      </c>
      <c r="C79" s="12" t="s">
        <v>35</v>
      </c>
      <c r="D79" s="6" t="s">
        <v>188</v>
      </c>
      <c r="E79" s="66" t="s">
        <v>28</v>
      </c>
      <c r="F79" s="6" t="s">
        <v>189</v>
      </c>
      <c r="G79" s="6" t="s">
        <v>113</v>
      </c>
      <c r="H79" s="7"/>
    </row>
    <row r="80" spans="2:8" ht="9.75" customHeight="1">
      <c r="B80" s="11">
        <f t="shared" si="8"/>
        <v>46128</v>
      </c>
      <c r="C80" s="6" t="s">
        <v>18</v>
      </c>
      <c r="D80" s="6" t="s">
        <v>52</v>
      </c>
      <c r="E80" s="66" t="s">
        <v>28</v>
      </c>
      <c r="F80" s="17" t="s">
        <v>190</v>
      </c>
      <c r="G80" s="6" t="s">
        <v>191</v>
      </c>
      <c r="H80" s="7"/>
    </row>
    <row r="81" spans="2:8" ht="9.75" customHeight="1">
      <c r="B81" s="11">
        <f t="shared" si="8"/>
        <v>46128</v>
      </c>
      <c r="C81" s="6" t="s">
        <v>192</v>
      </c>
      <c r="D81" s="6" t="s">
        <v>193</v>
      </c>
      <c r="E81" s="66" t="s">
        <v>28</v>
      </c>
      <c r="F81" s="6" t="s">
        <v>194</v>
      </c>
      <c r="G81" s="6" t="s">
        <v>187</v>
      </c>
      <c r="H81" s="7"/>
    </row>
    <row r="82" spans="2:8" ht="9.75" customHeight="1">
      <c r="B82" s="11">
        <f t="shared" si="8"/>
        <v>46128</v>
      </c>
      <c r="C82" s="6" t="s">
        <v>35</v>
      </c>
      <c r="D82" s="6" t="s">
        <v>195</v>
      </c>
      <c r="E82" s="66" t="s">
        <v>28</v>
      </c>
      <c r="F82" s="18" t="s">
        <v>196</v>
      </c>
      <c r="G82" s="6" t="s">
        <v>191</v>
      </c>
      <c r="H82" s="7"/>
    </row>
    <row r="83" spans="2:8" ht="9.75" customHeight="1">
      <c r="B83" s="11">
        <f t="shared" si="8"/>
        <v>46128</v>
      </c>
      <c r="C83" s="6" t="s">
        <v>197</v>
      </c>
      <c r="D83" s="6" t="s">
        <v>198</v>
      </c>
      <c r="E83" s="66" t="s">
        <v>28</v>
      </c>
      <c r="F83" s="6" t="s">
        <v>199</v>
      </c>
      <c r="G83" s="6" t="s">
        <v>70</v>
      </c>
      <c r="H83" s="7"/>
    </row>
    <row r="84" spans="2:8" ht="9.75" customHeight="1">
      <c r="B84" s="11">
        <f t="shared" si="8"/>
        <v>46128</v>
      </c>
      <c r="C84" s="6" t="s">
        <v>197</v>
      </c>
      <c r="D84" s="6" t="s">
        <v>200</v>
      </c>
      <c r="E84" s="66" t="s">
        <v>28</v>
      </c>
      <c r="F84" s="6" t="s">
        <v>201</v>
      </c>
      <c r="G84" s="6" t="s">
        <v>51</v>
      </c>
      <c r="H84" s="7"/>
    </row>
    <row r="85" spans="2:8" ht="9.75" customHeight="1">
      <c r="B85" s="11">
        <f t="shared" si="8"/>
        <v>46128</v>
      </c>
      <c r="C85" s="6" t="s">
        <v>176</v>
      </c>
      <c r="D85" s="6" t="s">
        <v>202</v>
      </c>
      <c r="E85" s="66" t="s">
        <v>28</v>
      </c>
      <c r="F85" s="6" t="s">
        <v>203</v>
      </c>
      <c r="G85" s="6" t="s">
        <v>70</v>
      </c>
      <c r="H85" s="7"/>
    </row>
    <row r="86" spans="2:8" ht="9.75" customHeight="1">
      <c r="B86" s="11">
        <f t="shared" si="8"/>
        <v>46128</v>
      </c>
      <c r="C86" s="6" t="s">
        <v>35</v>
      </c>
      <c r="D86" s="6" t="s">
        <v>116</v>
      </c>
      <c r="E86" s="66" t="s">
        <v>28</v>
      </c>
      <c r="F86" s="19" t="s">
        <v>204</v>
      </c>
      <c r="G86" s="6" t="s">
        <v>70</v>
      </c>
      <c r="H86" s="7"/>
    </row>
    <row r="87" spans="2:8" ht="9.75" customHeight="1">
      <c r="B87" s="11">
        <f t="shared" si="8"/>
        <v>46128</v>
      </c>
      <c r="C87" s="6" t="s">
        <v>35</v>
      </c>
      <c r="D87" s="19" t="s">
        <v>205</v>
      </c>
      <c r="E87" s="66" t="s">
        <v>28</v>
      </c>
      <c r="F87" s="19" t="s">
        <v>206</v>
      </c>
      <c r="G87" s="6" t="s">
        <v>70</v>
      </c>
      <c r="H87" s="7"/>
    </row>
    <row r="88" spans="2:8" ht="9.75" customHeight="1">
      <c r="B88" s="11">
        <f t="shared" si="8"/>
        <v>46128</v>
      </c>
      <c r="C88" s="6" t="s">
        <v>35</v>
      </c>
      <c r="D88" t="s">
        <v>207</v>
      </c>
      <c r="E88" s="66" t="s">
        <v>28</v>
      </c>
      <c r="F88" t="s">
        <v>208</v>
      </c>
      <c r="G88" s="6" t="s">
        <v>70</v>
      </c>
      <c r="H88" s="7"/>
    </row>
    <row r="89" spans="2:8" ht="9.75" customHeight="1">
      <c r="B89" s="11">
        <f t="shared" si="8"/>
        <v>46128</v>
      </c>
      <c r="C89" s="6" t="s">
        <v>35</v>
      </c>
      <c r="D89" t="s">
        <v>209</v>
      </c>
      <c r="E89" s="66" t="s">
        <v>28</v>
      </c>
      <c r="F89" t="s">
        <v>210</v>
      </c>
      <c r="G89" s="6" t="s">
        <v>70</v>
      </c>
      <c r="H89" s="7"/>
    </row>
    <row r="90" spans="2:8" ht="9.75" customHeight="1">
      <c r="B90" s="11">
        <f t="shared" si="8"/>
        <v>46128</v>
      </c>
      <c r="C90" s="6" t="s">
        <v>197</v>
      </c>
      <c r="D90" s="6" t="s">
        <v>23</v>
      </c>
      <c r="E90" s="66" t="s">
        <v>28</v>
      </c>
      <c r="F90" s="6" t="s">
        <v>211</v>
      </c>
      <c r="G90" s="6" t="s">
        <v>191</v>
      </c>
      <c r="H90" s="7"/>
    </row>
    <row r="91" spans="2:8" ht="9.75" customHeight="1">
      <c r="B91" s="11">
        <f t="shared" si="8"/>
        <v>46128</v>
      </c>
      <c r="C91" s="6" t="s">
        <v>197</v>
      </c>
      <c r="D91" s="6" t="s">
        <v>94</v>
      </c>
      <c r="E91" s="66" t="s">
        <v>28</v>
      </c>
      <c r="F91" s="6" t="s">
        <v>212</v>
      </c>
      <c r="G91" s="6" t="s">
        <v>51</v>
      </c>
      <c r="H91" s="7"/>
    </row>
    <row r="92" spans="2:8" ht="9.75" customHeight="1">
      <c r="B92" s="11">
        <f t="shared" si="8"/>
        <v>46128</v>
      </c>
      <c r="C92" s="6" t="s">
        <v>197</v>
      </c>
      <c r="D92" s="6" t="s">
        <v>213</v>
      </c>
      <c r="E92" s="66" t="s">
        <v>28</v>
      </c>
      <c r="F92" s="6" t="s">
        <v>214</v>
      </c>
      <c r="G92" s="6" t="s">
        <v>70</v>
      </c>
      <c r="H92" s="7"/>
    </row>
    <row r="93" spans="2:8" ht="9.75" customHeight="1">
      <c r="B93" s="11">
        <f t="shared" si="8"/>
        <v>46128</v>
      </c>
      <c r="C93" s="6" t="s">
        <v>215</v>
      </c>
      <c r="D93" s="6" t="s">
        <v>44</v>
      </c>
      <c r="E93" s="66" t="s">
        <v>11</v>
      </c>
      <c r="F93" s="6" t="s">
        <v>216</v>
      </c>
      <c r="G93" s="6" t="s">
        <v>217</v>
      </c>
      <c r="H93" s="7"/>
    </row>
    <row r="94" spans="2:8" ht="9.75" customHeight="1">
      <c r="B94" s="11">
        <f t="shared" si="8"/>
        <v>46128</v>
      </c>
      <c r="C94" s="6" t="s">
        <v>218</v>
      </c>
      <c r="D94" s="6" t="s">
        <v>76</v>
      </c>
      <c r="E94" s="66" t="s">
        <v>11</v>
      </c>
      <c r="F94" s="6" t="s">
        <v>219</v>
      </c>
      <c r="G94" s="6" t="s">
        <v>51</v>
      </c>
      <c r="H94" s="7"/>
    </row>
    <row r="95" spans="2:8" ht="9.75" customHeight="1">
      <c r="B95" s="11">
        <f t="shared" si="8"/>
        <v>46128</v>
      </c>
      <c r="C95" s="6" t="s">
        <v>220</v>
      </c>
      <c r="D95" s="6" t="s">
        <v>221</v>
      </c>
      <c r="E95" s="66" t="s">
        <v>11</v>
      </c>
      <c r="F95" s="6" t="s">
        <v>222</v>
      </c>
      <c r="G95" s="6" t="s">
        <v>51</v>
      </c>
      <c r="H95" s="7"/>
    </row>
    <row r="96" spans="2:8" ht="9.75" customHeight="1">
      <c r="B96" s="11">
        <f t="shared" si="8"/>
        <v>46128</v>
      </c>
      <c r="C96" s="6" t="s">
        <v>223</v>
      </c>
      <c r="D96" s="6" t="s">
        <v>224</v>
      </c>
      <c r="E96" s="66" t="s">
        <v>11</v>
      </c>
      <c r="F96" s="6" t="s">
        <v>225</v>
      </c>
      <c r="G96" s="6" t="s">
        <v>51</v>
      </c>
      <c r="H96" s="7"/>
    </row>
    <row r="97" spans="2:8" ht="9.75" customHeight="1">
      <c r="B97" s="5">
        <v>46129</v>
      </c>
      <c r="C97" s="6" t="s">
        <v>35</v>
      </c>
      <c r="D97" s="6" t="s">
        <v>226</v>
      </c>
      <c r="E97" s="66" t="s">
        <v>28</v>
      </c>
      <c r="F97" s="6" t="s">
        <v>227</v>
      </c>
      <c r="G97" s="6" t="s">
        <v>30</v>
      </c>
      <c r="H97" s="7"/>
    </row>
    <row r="98" spans="2:8" ht="9.75" customHeight="1">
      <c r="B98" s="11">
        <f t="shared" ref="B98:B114" si="9">B97</f>
        <v>46129</v>
      </c>
      <c r="C98" s="6" t="s">
        <v>35</v>
      </c>
      <c r="D98" s="6" t="s">
        <v>213</v>
      </c>
      <c r="E98" s="66" t="s">
        <v>28</v>
      </c>
      <c r="F98" s="6" t="s">
        <v>228</v>
      </c>
      <c r="G98" s="6" t="s">
        <v>30</v>
      </c>
      <c r="H98" s="7"/>
    </row>
    <row r="99" spans="2:8" ht="9.75" customHeight="1">
      <c r="B99" s="11">
        <f t="shared" si="9"/>
        <v>46129</v>
      </c>
      <c r="C99" s="6" t="s">
        <v>27</v>
      </c>
      <c r="D99" s="6" t="s">
        <v>23</v>
      </c>
      <c r="E99" s="66" t="s">
        <v>28</v>
      </c>
      <c r="F99" s="6" t="s">
        <v>229</v>
      </c>
      <c r="G99" s="6" t="s">
        <v>30</v>
      </c>
      <c r="H99" s="7"/>
    </row>
    <row r="100" spans="2:8" ht="9.75" customHeight="1">
      <c r="B100" s="11">
        <f t="shared" si="9"/>
        <v>46129</v>
      </c>
      <c r="C100" s="6" t="s">
        <v>27</v>
      </c>
      <c r="D100" s="6" t="s">
        <v>81</v>
      </c>
      <c r="E100" s="66" t="s">
        <v>28</v>
      </c>
      <c r="F100" s="6" t="s">
        <v>230</v>
      </c>
      <c r="G100" s="6" t="s">
        <v>34</v>
      </c>
      <c r="H100" s="7"/>
    </row>
    <row r="101" spans="2:8" ht="9.6" customHeight="1">
      <c r="B101" s="11">
        <f t="shared" si="9"/>
        <v>46129</v>
      </c>
      <c r="C101" s="6" t="s">
        <v>176</v>
      </c>
      <c r="D101" s="6" t="s">
        <v>15</v>
      </c>
      <c r="E101" s="66" t="s">
        <v>28</v>
      </c>
      <c r="F101" s="6" t="s">
        <v>231</v>
      </c>
      <c r="G101" s="6" t="s">
        <v>30</v>
      </c>
      <c r="H101" s="7"/>
    </row>
    <row r="102" spans="2:8" ht="9.6" customHeight="1">
      <c r="B102" s="11">
        <f t="shared" si="9"/>
        <v>46129</v>
      </c>
      <c r="C102" s="6" t="s">
        <v>27</v>
      </c>
      <c r="D102" s="6" t="s">
        <v>232</v>
      </c>
      <c r="E102" s="66" t="s">
        <v>28</v>
      </c>
      <c r="F102" s="6" t="s">
        <v>233</v>
      </c>
      <c r="G102" s="6" t="s">
        <v>234</v>
      </c>
      <c r="H102" s="7"/>
    </row>
    <row r="103" spans="2:8" ht="9.6" customHeight="1">
      <c r="B103" s="11">
        <f t="shared" si="9"/>
        <v>46129</v>
      </c>
      <c r="C103" s="6" t="s">
        <v>27</v>
      </c>
      <c r="D103" s="6" t="s">
        <v>42</v>
      </c>
      <c r="E103" s="66" t="s">
        <v>28</v>
      </c>
      <c r="F103" s="6" t="s">
        <v>235</v>
      </c>
      <c r="G103" s="6" t="s">
        <v>30</v>
      </c>
      <c r="H103" s="7"/>
    </row>
    <row r="104" spans="2:8" ht="9.6" customHeight="1">
      <c r="B104" s="11">
        <f t="shared" si="9"/>
        <v>46129</v>
      </c>
      <c r="C104" s="6" t="s">
        <v>176</v>
      </c>
      <c r="D104" s="6" t="s">
        <v>42</v>
      </c>
      <c r="E104" s="66" t="s">
        <v>28</v>
      </c>
      <c r="F104" s="6" t="s">
        <v>236</v>
      </c>
      <c r="G104" s="6" t="s">
        <v>237</v>
      </c>
      <c r="H104" s="7"/>
    </row>
    <row r="105" spans="2:8" ht="9.6" customHeight="1">
      <c r="B105" s="11">
        <f t="shared" si="9"/>
        <v>46129</v>
      </c>
      <c r="C105" s="6" t="s">
        <v>27</v>
      </c>
      <c r="D105" s="6" t="s">
        <v>213</v>
      </c>
      <c r="E105" s="66" t="s">
        <v>28</v>
      </c>
      <c r="F105" s="6" t="s">
        <v>238</v>
      </c>
      <c r="G105" s="6" t="s">
        <v>70</v>
      </c>
      <c r="H105" s="7"/>
    </row>
    <row r="106" spans="2:8" ht="9.6" customHeight="1">
      <c r="B106" s="11">
        <f t="shared" si="9"/>
        <v>46129</v>
      </c>
      <c r="C106" s="6" t="s">
        <v>27</v>
      </c>
      <c r="D106" s="6" t="s">
        <v>44</v>
      </c>
      <c r="E106" s="66" t="s">
        <v>28</v>
      </c>
      <c r="F106" s="6" t="s">
        <v>239</v>
      </c>
      <c r="G106" s="6" t="s">
        <v>34</v>
      </c>
      <c r="H106" s="7"/>
    </row>
    <row r="107" spans="2:8" ht="9.6" customHeight="1">
      <c r="B107" s="11">
        <f t="shared" si="9"/>
        <v>46129</v>
      </c>
      <c r="C107" s="6" t="s">
        <v>176</v>
      </c>
      <c r="D107" s="6" t="s">
        <v>10</v>
      </c>
      <c r="E107" s="66" t="s">
        <v>28</v>
      </c>
      <c r="F107" s="6" t="s">
        <v>240</v>
      </c>
      <c r="G107" s="6" t="s">
        <v>70</v>
      </c>
      <c r="H107" s="7"/>
    </row>
    <row r="108" spans="2:8" ht="9.6" customHeight="1">
      <c r="B108" s="11">
        <f t="shared" si="9"/>
        <v>46129</v>
      </c>
      <c r="C108" s="6" t="s">
        <v>27</v>
      </c>
      <c r="D108" s="6" t="s">
        <v>42</v>
      </c>
      <c r="E108" s="66" t="s">
        <v>28</v>
      </c>
      <c r="F108" s="6" t="s">
        <v>241</v>
      </c>
      <c r="G108" s="6" t="s">
        <v>30</v>
      </c>
      <c r="H108" s="7"/>
    </row>
    <row r="109" spans="2:8" ht="9.6" customHeight="1">
      <c r="B109" s="11">
        <f t="shared" si="9"/>
        <v>46129</v>
      </c>
      <c r="C109" s="6" t="s">
        <v>27</v>
      </c>
      <c r="D109" s="6" t="s">
        <v>242</v>
      </c>
      <c r="E109" s="66" t="s">
        <v>28</v>
      </c>
      <c r="F109" s="6" t="s">
        <v>243</v>
      </c>
      <c r="G109" s="6" t="s">
        <v>70</v>
      </c>
      <c r="H109" s="7"/>
    </row>
    <row r="110" spans="2:8" ht="9.6" customHeight="1">
      <c r="B110" s="11">
        <f t="shared" si="9"/>
        <v>46129</v>
      </c>
      <c r="C110" s="6" t="s">
        <v>27</v>
      </c>
      <c r="D110" s="6" t="s">
        <v>44</v>
      </c>
      <c r="E110" s="66" t="s">
        <v>28</v>
      </c>
      <c r="F110" s="6" t="s">
        <v>244</v>
      </c>
      <c r="G110" s="6" t="s">
        <v>70</v>
      </c>
      <c r="H110" s="7"/>
    </row>
    <row r="111" spans="2:8" ht="9.6" customHeight="1">
      <c r="B111" s="11">
        <f t="shared" si="9"/>
        <v>46129</v>
      </c>
      <c r="C111" s="6" t="s">
        <v>176</v>
      </c>
      <c r="D111" s="6" t="s">
        <v>10</v>
      </c>
      <c r="E111" s="66" t="s">
        <v>28</v>
      </c>
      <c r="F111" s="6" t="s">
        <v>245</v>
      </c>
      <c r="G111" s="6" t="s">
        <v>30</v>
      </c>
      <c r="H111" s="7"/>
    </row>
    <row r="112" spans="2:8" ht="9.6" customHeight="1">
      <c r="B112" s="11">
        <f t="shared" si="9"/>
        <v>46129</v>
      </c>
      <c r="C112" s="6" t="s">
        <v>27</v>
      </c>
      <c r="D112" s="6" t="s">
        <v>19</v>
      </c>
      <c r="E112" s="66" t="s">
        <v>28</v>
      </c>
      <c r="F112" s="6" t="s">
        <v>246</v>
      </c>
      <c r="G112" s="6" t="s">
        <v>34</v>
      </c>
      <c r="H112" s="7"/>
    </row>
    <row r="113" spans="2:8" ht="9.6" customHeight="1">
      <c r="B113" s="11">
        <f t="shared" si="9"/>
        <v>46129</v>
      </c>
      <c r="C113" s="6" t="s">
        <v>27</v>
      </c>
      <c r="D113" s="6" t="s">
        <v>44</v>
      </c>
      <c r="E113" s="66" t="s">
        <v>28</v>
      </c>
      <c r="F113" s="6" t="s">
        <v>247</v>
      </c>
      <c r="G113" s="6" t="s">
        <v>70</v>
      </c>
      <c r="H113" s="7"/>
    </row>
    <row r="114" spans="2:8" ht="9.6" customHeight="1">
      <c r="B114" s="11">
        <f t="shared" si="9"/>
        <v>46129</v>
      </c>
      <c r="C114" s="6" t="s">
        <v>27</v>
      </c>
      <c r="D114" s="6" t="s">
        <v>15</v>
      </c>
      <c r="E114" s="66" t="s">
        <v>11</v>
      </c>
      <c r="F114" s="6" t="s">
        <v>248</v>
      </c>
      <c r="G114" s="6" t="s">
        <v>30</v>
      </c>
      <c r="H114" s="7"/>
    </row>
    <row r="115" spans="2:8" ht="9.6" customHeight="1">
      <c r="B115" s="5">
        <v>46130</v>
      </c>
      <c r="C115" s="12" t="s">
        <v>249</v>
      </c>
      <c r="D115" s="12" t="s">
        <v>250</v>
      </c>
      <c r="E115" s="66" t="s">
        <v>28</v>
      </c>
      <c r="F115" s="12" t="s">
        <v>251</v>
      </c>
      <c r="G115" s="12" t="s">
        <v>30</v>
      </c>
      <c r="H115" s="7"/>
    </row>
    <row r="116" spans="2:8" ht="9.6" customHeight="1">
      <c r="B116" s="11">
        <f>B115</f>
        <v>46130</v>
      </c>
      <c r="C116" s="6" t="s">
        <v>27</v>
      </c>
      <c r="D116" s="6" t="s">
        <v>42</v>
      </c>
      <c r="E116" s="66" t="s">
        <v>28</v>
      </c>
      <c r="F116" s="6" t="s">
        <v>246</v>
      </c>
      <c r="G116" s="6" t="s">
        <v>34</v>
      </c>
      <c r="H116" s="7"/>
    </row>
    <row r="117" spans="2:8" ht="9.6" customHeight="1">
      <c r="B117" s="11">
        <f>B116</f>
        <v>46130</v>
      </c>
      <c r="C117" s="6" t="s">
        <v>35</v>
      </c>
      <c r="D117" s="6" t="s">
        <v>42</v>
      </c>
      <c r="E117" s="66" t="s">
        <v>28</v>
      </c>
      <c r="F117" s="6" t="s">
        <v>252</v>
      </c>
      <c r="G117" s="6" t="s">
        <v>30</v>
      </c>
      <c r="H117" s="7"/>
    </row>
    <row r="118" spans="2:8" ht="9.6" customHeight="1">
      <c r="B118" s="11">
        <f>B117</f>
        <v>46130</v>
      </c>
      <c r="C118" s="6" t="s">
        <v>35</v>
      </c>
      <c r="D118" s="6" t="s">
        <v>253</v>
      </c>
      <c r="E118" s="66" t="s">
        <v>28</v>
      </c>
      <c r="F118" s="6" t="s">
        <v>254</v>
      </c>
      <c r="G118" s="6" t="s">
        <v>30</v>
      </c>
      <c r="H118" s="7"/>
    </row>
    <row r="119" spans="2:8" ht="9.6" customHeight="1">
      <c r="B119" s="5">
        <v>46131</v>
      </c>
      <c r="C119" s="12" t="s">
        <v>255</v>
      </c>
      <c r="D119" s="12" t="s">
        <v>256</v>
      </c>
      <c r="E119" s="66" t="s">
        <v>11</v>
      </c>
      <c r="F119" s="12" t="s">
        <v>257</v>
      </c>
      <c r="G119" s="12" t="s">
        <v>51</v>
      </c>
      <c r="H119" s="7"/>
    </row>
    <row r="120" spans="2:8" ht="9.6" customHeight="1">
      <c r="B120" s="11">
        <f t="shared" ref="B120:B129" si="10">B119</f>
        <v>46131</v>
      </c>
      <c r="C120" s="6" t="s">
        <v>258</v>
      </c>
      <c r="D120" s="6" t="s">
        <v>23</v>
      </c>
      <c r="E120" s="66" t="s">
        <v>28</v>
      </c>
      <c r="F120" s="6" t="s">
        <v>259</v>
      </c>
      <c r="G120" s="6" t="s">
        <v>30</v>
      </c>
      <c r="H120" s="7"/>
    </row>
    <row r="121" spans="2:8" ht="9.6" customHeight="1">
      <c r="B121" s="11">
        <f t="shared" si="10"/>
        <v>46131</v>
      </c>
      <c r="C121" s="6" t="s">
        <v>260</v>
      </c>
      <c r="D121" s="6" t="s">
        <v>261</v>
      </c>
      <c r="E121" s="66" t="s">
        <v>28</v>
      </c>
      <c r="F121" s="6" t="s">
        <v>262</v>
      </c>
      <c r="G121" s="6" t="s">
        <v>41</v>
      </c>
      <c r="H121" s="7"/>
    </row>
    <row r="122" spans="2:8" ht="9.6" customHeight="1">
      <c r="B122" s="11">
        <f t="shared" si="10"/>
        <v>46131</v>
      </c>
      <c r="C122" s="6" t="s">
        <v>258</v>
      </c>
      <c r="D122" s="6" t="s">
        <v>32</v>
      </c>
      <c r="E122" s="66" t="s">
        <v>28</v>
      </c>
      <c r="F122" s="6" t="s">
        <v>263</v>
      </c>
      <c r="G122" s="6" t="s">
        <v>51</v>
      </c>
      <c r="H122" s="7"/>
    </row>
    <row r="123" spans="2:8" ht="9.6" customHeight="1">
      <c r="B123" s="11">
        <f t="shared" si="10"/>
        <v>46131</v>
      </c>
      <c r="C123" s="6" t="s">
        <v>176</v>
      </c>
      <c r="D123" s="6" t="s">
        <v>81</v>
      </c>
      <c r="E123" s="66" t="s">
        <v>28</v>
      </c>
      <c r="F123" s="6" t="s">
        <v>264</v>
      </c>
      <c r="G123" s="6" t="s">
        <v>30</v>
      </c>
      <c r="H123" s="7"/>
    </row>
    <row r="124" spans="2:8" ht="9.6" customHeight="1">
      <c r="B124" s="11">
        <f t="shared" si="10"/>
        <v>46131</v>
      </c>
      <c r="C124" s="6" t="s">
        <v>258</v>
      </c>
      <c r="D124" s="6" t="s">
        <v>42</v>
      </c>
      <c r="E124" s="66" t="s">
        <v>28</v>
      </c>
      <c r="F124" s="6" t="s">
        <v>265</v>
      </c>
      <c r="G124" s="6" t="s">
        <v>51</v>
      </c>
      <c r="H124" s="7"/>
    </row>
    <row r="125" spans="2:8" ht="9.6" customHeight="1">
      <c r="B125" s="11">
        <f t="shared" si="10"/>
        <v>46131</v>
      </c>
      <c r="C125" s="6" t="s">
        <v>35</v>
      </c>
      <c r="D125" s="6" t="s">
        <v>42</v>
      </c>
      <c r="E125" s="66" t="s">
        <v>28</v>
      </c>
      <c r="F125" s="6" t="s">
        <v>37</v>
      </c>
      <c r="G125" s="6" t="s">
        <v>30</v>
      </c>
      <c r="H125" s="7"/>
    </row>
    <row r="126" spans="2:8" ht="9.6" customHeight="1">
      <c r="B126" s="11">
        <f t="shared" si="10"/>
        <v>46131</v>
      </c>
      <c r="C126" s="6" t="s">
        <v>27</v>
      </c>
      <c r="D126" s="6" t="s">
        <v>42</v>
      </c>
      <c r="E126" s="66" t="s">
        <v>28</v>
      </c>
      <c r="F126" s="6" t="s">
        <v>266</v>
      </c>
      <c r="G126" s="6" t="s">
        <v>51</v>
      </c>
      <c r="H126" s="7"/>
    </row>
    <row r="127" spans="2:8" ht="9.6" customHeight="1">
      <c r="B127" s="11">
        <f t="shared" si="10"/>
        <v>46131</v>
      </c>
      <c r="C127" s="6" t="s">
        <v>260</v>
      </c>
      <c r="D127" s="6" t="s">
        <v>44</v>
      </c>
      <c r="E127" s="66" t="s">
        <v>28</v>
      </c>
      <c r="F127" s="6" t="s">
        <v>267</v>
      </c>
      <c r="G127" s="6" t="s">
        <v>70</v>
      </c>
      <c r="H127" s="7"/>
    </row>
    <row r="128" spans="2:8" ht="9.6" customHeight="1">
      <c r="B128" s="11">
        <f t="shared" si="10"/>
        <v>46131</v>
      </c>
      <c r="C128" s="6" t="s">
        <v>260</v>
      </c>
      <c r="D128" s="6" t="s">
        <v>44</v>
      </c>
      <c r="E128" s="66" t="s">
        <v>28</v>
      </c>
      <c r="F128" s="6" t="s">
        <v>268</v>
      </c>
      <c r="G128" s="6" t="s">
        <v>41</v>
      </c>
      <c r="H128" s="7"/>
    </row>
    <row r="129" spans="2:8" ht="9.6" customHeight="1">
      <c r="B129" s="11">
        <f t="shared" si="10"/>
        <v>46131</v>
      </c>
      <c r="C129" s="6" t="s">
        <v>27</v>
      </c>
      <c r="D129" s="6" t="s">
        <v>103</v>
      </c>
      <c r="E129" s="66" t="s">
        <v>28</v>
      </c>
      <c r="F129" s="6" t="s">
        <v>269</v>
      </c>
      <c r="G129" s="6" t="s">
        <v>51</v>
      </c>
      <c r="H129" s="7"/>
    </row>
    <row r="130" spans="2:8" ht="9.6" customHeight="1">
      <c r="B130" s="5">
        <v>46132</v>
      </c>
      <c r="C130" s="6" t="s">
        <v>163</v>
      </c>
      <c r="D130" s="6" t="s">
        <v>270</v>
      </c>
      <c r="E130" s="66" t="s">
        <v>28</v>
      </c>
      <c r="F130" s="6" t="s">
        <v>271</v>
      </c>
      <c r="G130" s="6" t="s">
        <v>30</v>
      </c>
      <c r="H130" s="7"/>
    </row>
    <row r="131" spans="2:8" ht="9.6" customHeight="1">
      <c r="B131" s="11">
        <f t="shared" ref="B131:B141" si="11">B130</f>
        <v>46132</v>
      </c>
      <c r="C131" s="6" t="s">
        <v>163</v>
      </c>
      <c r="D131" s="6" t="s">
        <v>272</v>
      </c>
      <c r="E131" s="66" t="s">
        <v>28</v>
      </c>
      <c r="F131" s="6" t="s">
        <v>273</v>
      </c>
      <c r="G131" s="6" t="s">
        <v>30</v>
      </c>
      <c r="H131" s="7"/>
    </row>
    <row r="132" spans="2:8" ht="9.6" customHeight="1">
      <c r="B132" s="11">
        <f t="shared" si="11"/>
        <v>46132</v>
      </c>
      <c r="C132" s="6" t="s">
        <v>163</v>
      </c>
      <c r="D132" s="6" t="s">
        <v>270</v>
      </c>
      <c r="E132" s="66" t="s">
        <v>28</v>
      </c>
      <c r="F132" s="6" t="s">
        <v>274</v>
      </c>
      <c r="G132" s="6" t="s">
        <v>275</v>
      </c>
      <c r="H132" s="7"/>
    </row>
    <row r="133" spans="2:8" ht="9.6" customHeight="1">
      <c r="B133" s="11">
        <f t="shared" si="11"/>
        <v>46132</v>
      </c>
      <c r="C133" s="6" t="s">
        <v>163</v>
      </c>
      <c r="D133" s="6" t="s">
        <v>276</v>
      </c>
      <c r="E133" s="66" t="s">
        <v>28</v>
      </c>
      <c r="F133" s="6" t="s">
        <v>277</v>
      </c>
      <c r="G133" s="6" t="s">
        <v>30</v>
      </c>
      <c r="H133" s="7"/>
    </row>
    <row r="134" spans="2:8" ht="9.6" customHeight="1">
      <c r="B134" s="11">
        <f t="shared" si="11"/>
        <v>46132</v>
      </c>
      <c r="C134" s="6" t="s">
        <v>163</v>
      </c>
      <c r="D134" s="6" t="s">
        <v>278</v>
      </c>
      <c r="E134" s="66" t="s">
        <v>28</v>
      </c>
      <c r="F134" s="6" t="s">
        <v>279</v>
      </c>
      <c r="G134" s="6" t="s">
        <v>280</v>
      </c>
      <c r="H134" s="7"/>
    </row>
    <row r="135" spans="2:8" ht="9.6" customHeight="1">
      <c r="B135" s="11">
        <f t="shared" si="11"/>
        <v>46132</v>
      </c>
      <c r="C135" s="6" t="s">
        <v>281</v>
      </c>
      <c r="D135" s="6" t="s">
        <v>116</v>
      </c>
      <c r="E135" s="66" t="s">
        <v>28</v>
      </c>
      <c r="F135" s="6" t="s">
        <v>282</v>
      </c>
      <c r="G135" s="6" t="s">
        <v>70</v>
      </c>
      <c r="H135" s="7"/>
    </row>
    <row r="136" spans="2:8" ht="9.6" customHeight="1">
      <c r="B136" s="11">
        <f t="shared" si="11"/>
        <v>46132</v>
      </c>
      <c r="C136" s="6" t="s">
        <v>163</v>
      </c>
      <c r="D136" s="6" t="s">
        <v>283</v>
      </c>
      <c r="E136" s="66" t="s">
        <v>28</v>
      </c>
      <c r="F136" s="6" t="s">
        <v>284</v>
      </c>
      <c r="G136" s="6" t="s">
        <v>70</v>
      </c>
      <c r="H136" s="7"/>
    </row>
    <row r="137" spans="2:8" ht="9.6" customHeight="1">
      <c r="B137" s="11">
        <f t="shared" si="11"/>
        <v>46132</v>
      </c>
      <c r="C137" s="6" t="s">
        <v>163</v>
      </c>
      <c r="D137" s="6" t="s">
        <v>285</v>
      </c>
      <c r="E137" s="66" t="s">
        <v>28</v>
      </c>
      <c r="F137" s="6" t="s">
        <v>286</v>
      </c>
      <c r="G137" s="6" t="s">
        <v>70</v>
      </c>
      <c r="H137" s="7"/>
    </row>
    <row r="138" spans="2:8" ht="9.6" customHeight="1">
      <c r="B138" s="11">
        <f t="shared" si="11"/>
        <v>46132</v>
      </c>
      <c r="C138" s="6" t="s">
        <v>163</v>
      </c>
      <c r="D138" s="6" t="s">
        <v>42</v>
      </c>
      <c r="E138" s="66" t="s">
        <v>28</v>
      </c>
      <c r="F138" s="6"/>
      <c r="G138" s="17"/>
      <c r="H138" s="9"/>
    </row>
    <row r="139" spans="2:8" ht="9.6" customHeight="1">
      <c r="B139" s="11">
        <f t="shared" si="11"/>
        <v>46132</v>
      </c>
      <c r="C139" s="6" t="s">
        <v>287</v>
      </c>
      <c r="D139" s="6" t="s">
        <v>76</v>
      </c>
      <c r="E139" s="66" t="s">
        <v>11</v>
      </c>
      <c r="F139" s="6" t="s">
        <v>288</v>
      </c>
      <c r="G139" s="6" t="s">
        <v>34</v>
      </c>
      <c r="H139" s="7"/>
    </row>
    <row r="140" spans="2:8" ht="9.6" customHeight="1">
      <c r="B140" s="11">
        <f t="shared" si="11"/>
        <v>46132</v>
      </c>
      <c r="C140" s="6" t="s">
        <v>289</v>
      </c>
      <c r="D140" s="6" t="s">
        <v>15</v>
      </c>
      <c r="E140" s="66" t="s">
        <v>11</v>
      </c>
      <c r="F140" s="6" t="s">
        <v>290</v>
      </c>
      <c r="G140" s="17"/>
      <c r="H140" s="9"/>
    </row>
    <row r="141" spans="2:8" ht="9.6" customHeight="1">
      <c r="B141" s="11">
        <f t="shared" si="11"/>
        <v>46132</v>
      </c>
      <c r="C141" s="6" t="s">
        <v>291</v>
      </c>
      <c r="D141" s="6" t="s">
        <v>292</v>
      </c>
      <c r="E141" s="66" t="s">
        <v>11</v>
      </c>
      <c r="F141" s="6" t="s">
        <v>293</v>
      </c>
      <c r="G141" s="6" t="s">
        <v>294</v>
      </c>
      <c r="H141" s="7"/>
    </row>
    <row r="142" spans="2:8" ht="9.6" customHeight="1">
      <c r="B142" s="20">
        <v>46133</v>
      </c>
      <c r="C142" s="6" t="s">
        <v>295</v>
      </c>
      <c r="D142" t="s">
        <v>94</v>
      </c>
      <c r="E142" s="66" t="s">
        <v>28</v>
      </c>
      <c r="F142" s="6" t="s">
        <v>296</v>
      </c>
      <c r="G142" s="6" t="s">
        <v>83</v>
      </c>
      <c r="H142" s="7"/>
    </row>
    <row r="143" spans="2:8" ht="9.6" customHeight="1">
      <c r="B143" s="11">
        <f t="shared" ref="B143:B148" si="12">B142</f>
        <v>46133</v>
      </c>
      <c r="C143" s="6" t="s">
        <v>295</v>
      </c>
      <c r="D143" s="6" t="s">
        <v>297</v>
      </c>
      <c r="E143" s="66" t="s">
        <v>28</v>
      </c>
      <c r="F143" s="6" t="s">
        <v>298</v>
      </c>
      <c r="G143" s="6" t="s">
        <v>83</v>
      </c>
      <c r="H143" s="7"/>
    </row>
    <row r="144" spans="2:8" ht="9.6" customHeight="1">
      <c r="B144" s="11">
        <f t="shared" si="12"/>
        <v>46133</v>
      </c>
      <c r="C144" s="6" t="s">
        <v>35</v>
      </c>
      <c r="D144" s="6" t="s">
        <v>19</v>
      </c>
      <c r="E144" s="66" t="s">
        <v>28</v>
      </c>
      <c r="F144" s="6" t="s">
        <v>299</v>
      </c>
      <c r="G144" s="6" t="s">
        <v>30</v>
      </c>
      <c r="H144" s="7"/>
    </row>
    <row r="145" spans="2:8" ht="9.6" customHeight="1">
      <c r="B145" s="11">
        <f t="shared" si="12"/>
        <v>46133</v>
      </c>
      <c r="C145" s="6" t="s">
        <v>35</v>
      </c>
      <c r="D145" s="6" t="s">
        <v>213</v>
      </c>
      <c r="E145" s="66" t="s">
        <v>28</v>
      </c>
      <c r="F145" s="6" t="s">
        <v>300</v>
      </c>
      <c r="G145" s="6" t="s">
        <v>30</v>
      </c>
      <c r="H145" s="7"/>
    </row>
    <row r="146" spans="2:8" ht="9.6" customHeight="1">
      <c r="B146" s="11">
        <f t="shared" si="12"/>
        <v>46133</v>
      </c>
      <c r="C146" s="6" t="s">
        <v>176</v>
      </c>
      <c r="D146" s="6" t="s">
        <v>94</v>
      </c>
      <c r="E146" s="66" t="s">
        <v>28</v>
      </c>
      <c r="F146" s="6" t="s">
        <v>301</v>
      </c>
      <c r="G146" s="6" t="s">
        <v>30</v>
      </c>
      <c r="H146" s="7"/>
    </row>
    <row r="147" spans="2:8" ht="9.6" customHeight="1">
      <c r="B147" s="11">
        <f t="shared" si="12"/>
        <v>46133</v>
      </c>
      <c r="C147" s="6" t="s">
        <v>176</v>
      </c>
      <c r="D147" s="6" t="s">
        <v>42</v>
      </c>
      <c r="E147" s="66" t="s">
        <v>28</v>
      </c>
      <c r="F147" s="6" t="s">
        <v>302</v>
      </c>
      <c r="G147" s="6" t="s">
        <v>30</v>
      </c>
      <c r="H147" s="7"/>
    </row>
    <row r="148" spans="2:8" ht="9.6" customHeight="1">
      <c r="B148" s="11">
        <f t="shared" si="12"/>
        <v>46133</v>
      </c>
      <c r="C148" s="6" t="s">
        <v>176</v>
      </c>
      <c r="D148" s="6" t="s">
        <v>44</v>
      </c>
      <c r="E148" s="66" t="s">
        <v>28</v>
      </c>
      <c r="F148" s="17" t="s">
        <v>303</v>
      </c>
      <c r="G148" s="6" t="s">
        <v>30</v>
      </c>
      <c r="H148" s="7"/>
    </row>
    <row r="149" spans="2:8" ht="9.6" customHeight="1">
      <c r="B149" s="5">
        <v>46134</v>
      </c>
      <c r="C149" s="12" t="s">
        <v>260</v>
      </c>
      <c r="D149" s="7" t="s">
        <v>10</v>
      </c>
      <c r="E149" s="66" t="s">
        <v>28</v>
      </c>
      <c r="F149" s="12" t="s">
        <v>304</v>
      </c>
      <c r="G149" s="12" t="s">
        <v>30</v>
      </c>
      <c r="H149" s="7"/>
    </row>
    <row r="150" spans="2:8" ht="9.6" customHeight="1">
      <c r="B150" s="11">
        <f t="shared" ref="B150:B163" si="13">B149</f>
        <v>46134</v>
      </c>
      <c r="C150" s="6" t="s">
        <v>176</v>
      </c>
      <c r="D150" s="6" t="s">
        <v>76</v>
      </c>
      <c r="E150" s="66" t="s">
        <v>28</v>
      </c>
      <c r="F150" s="6" t="s">
        <v>305</v>
      </c>
      <c r="G150" s="6" t="s">
        <v>306</v>
      </c>
      <c r="H150" s="7"/>
    </row>
    <row r="151" spans="2:8" ht="9.6" customHeight="1">
      <c r="B151" s="11">
        <f t="shared" si="13"/>
        <v>46134</v>
      </c>
      <c r="C151" s="6" t="s">
        <v>260</v>
      </c>
      <c r="D151" s="6" t="s">
        <v>32</v>
      </c>
      <c r="E151" s="66" t="s">
        <v>28</v>
      </c>
      <c r="F151" s="6" t="s">
        <v>307</v>
      </c>
      <c r="G151" s="6" t="s">
        <v>34</v>
      </c>
      <c r="H151" s="7"/>
    </row>
    <row r="152" spans="2:8" ht="9.6" customHeight="1">
      <c r="B152" s="11">
        <f t="shared" si="13"/>
        <v>46134</v>
      </c>
      <c r="C152" s="6" t="s">
        <v>308</v>
      </c>
      <c r="D152" s="6" t="s">
        <v>309</v>
      </c>
      <c r="E152" s="66" t="s">
        <v>28</v>
      </c>
      <c r="F152" s="6" t="s">
        <v>310</v>
      </c>
      <c r="G152" s="6" t="s">
        <v>41</v>
      </c>
      <c r="H152" s="7"/>
    </row>
    <row r="153" spans="2:8" ht="9.6" customHeight="1">
      <c r="B153" s="11">
        <f t="shared" si="13"/>
        <v>46134</v>
      </c>
      <c r="C153" s="6" t="s">
        <v>27</v>
      </c>
      <c r="D153" s="6" t="s">
        <v>32</v>
      </c>
      <c r="E153" s="66" t="s">
        <v>28</v>
      </c>
      <c r="F153" s="6" t="s">
        <v>311</v>
      </c>
      <c r="G153" s="6" t="s">
        <v>34</v>
      </c>
      <c r="H153" s="7"/>
    </row>
    <row r="154" spans="2:8" ht="9.6" customHeight="1">
      <c r="B154" s="11">
        <f t="shared" si="13"/>
        <v>46134</v>
      </c>
      <c r="C154" s="6" t="s">
        <v>27</v>
      </c>
      <c r="D154" s="6" t="s">
        <v>32</v>
      </c>
      <c r="E154" s="66" t="s">
        <v>28</v>
      </c>
      <c r="F154" s="6" t="s">
        <v>312</v>
      </c>
      <c r="G154" s="6" t="s">
        <v>34</v>
      </c>
      <c r="H154" s="7"/>
    </row>
    <row r="155" spans="2:8" ht="9.6" customHeight="1">
      <c r="B155" s="11">
        <f t="shared" si="13"/>
        <v>46134</v>
      </c>
      <c r="C155" s="6" t="s">
        <v>83</v>
      </c>
      <c r="D155" s="6" t="s">
        <v>36</v>
      </c>
      <c r="E155" s="66" t="s">
        <v>28</v>
      </c>
      <c r="F155" s="6" t="s">
        <v>313</v>
      </c>
      <c r="G155" s="6" t="s">
        <v>34</v>
      </c>
      <c r="H155" s="7"/>
    </row>
    <row r="156" spans="2:8" ht="9.6" customHeight="1">
      <c r="B156" s="11">
        <f t="shared" si="13"/>
        <v>46134</v>
      </c>
      <c r="C156" s="6" t="s">
        <v>260</v>
      </c>
      <c r="D156" s="6" t="s">
        <v>44</v>
      </c>
      <c r="E156" s="66" t="s">
        <v>28</v>
      </c>
      <c r="F156" s="6" t="s">
        <v>314</v>
      </c>
      <c r="G156" s="6" t="s">
        <v>30</v>
      </c>
      <c r="H156" s="7"/>
    </row>
    <row r="157" spans="2:8" ht="9.6" customHeight="1">
      <c r="B157" s="11">
        <f t="shared" si="13"/>
        <v>46134</v>
      </c>
      <c r="C157" s="6" t="s">
        <v>83</v>
      </c>
      <c r="D157" s="6" t="s">
        <v>315</v>
      </c>
      <c r="E157" s="66" t="s">
        <v>28</v>
      </c>
      <c r="F157" s="6" t="s">
        <v>316</v>
      </c>
      <c r="G157" s="6" t="s">
        <v>34</v>
      </c>
      <c r="H157" s="7"/>
    </row>
    <row r="158" spans="2:8" ht="9.6" customHeight="1">
      <c r="B158" s="11">
        <f t="shared" si="13"/>
        <v>46134</v>
      </c>
      <c r="C158" s="6" t="s">
        <v>27</v>
      </c>
      <c r="D158" s="6" t="s">
        <v>317</v>
      </c>
      <c r="E158" s="66" t="s">
        <v>28</v>
      </c>
      <c r="F158" s="6" t="s">
        <v>318</v>
      </c>
      <c r="G158" s="6" t="s">
        <v>30</v>
      </c>
      <c r="H158" s="7"/>
    </row>
    <row r="159" spans="2:8" ht="9.6" customHeight="1">
      <c r="B159" s="11">
        <f t="shared" si="13"/>
        <v>46134</v>
      </c>
      <c r="C159" s="6" t="s">
        <v>27</v>
      </c>
      <c r="D159" s="6" t="s">
        <v>42</v>
      </c>
      <c r="E159" s="66" t="s">
        <v>28</v>
      </c>
      <c r="F159" s="6" t="s">
        <v>319</v>
      </c>
      <c r="G159" s="6" t="s">
        <v>34</v>
      </c>
      <c r="H159" s="7"/>
    </row>
    <row r="160" spans="2:8" ht="9.6" customHeight="1">
      <c r="B160" s="11">
        <f t="shared" si="13"/>
        <v>46134</v>
      </c>
      <c r="C160" s="6" t="s">
        <v>27</v>
      </c>
      <c r="D160" s="6" t="s">
        <v>250</v>
      </c>
      <c r="E160" s="66" t="s">
        <v>28</v>
      </c>
      <c r="F160" s="6" t="s">
        <v>320</v>
      </c>
      <c r="G160" s="6" t="s">
        <v>30</v>
      </c>
      <c r="H160" s="7"/>
    </row>
    <row r="161" spans="2:8" ht="9.6" customHeight="1">
      <c r="B161" s="11">
        <f t="shared" si="13"/>
        <v>46134</v>
      </c>
      <c r="C161" s="6" t="s">
        <v>27</v>
      </c>
      <c r="D161" s="6" t="s">
        <v>94</v>
      </c>
      <c r="E161" s="66" t="s">
        <v>28</v>
      </c>
      <c r="F161" s="6" t="s">
        <v>321</v>
      </c>
      <c r="G161" s="6" t="s">
        <v>34</v>
      </c>
      <c r="H161" s="7"/>
    </row>
    <row r="162" spans="2:8" ht="9.6" customHeight="1">
      <c r="B162" s="11">
        <f t="shared" si="13"/>
        <v>46134</v>
      </c>
      <c r="C162" s="6" t="s">
        <v>27</v>
      </c>
      <c r="D162" s="6" t="s">
        <v>42</v>
      </c>
      <c r="E162" s="66" t="s">
        <v>28</v>
      </c>
      <c r="F162" s="6" t="s">
        <v>322</v>
      </c>
      <c r="G162" s="6" t="s">
        <v>34</v>
      </c>
      <c r="H162" s="7"/>
    </row>
    <row r="163" spans="2:8" ht="9.6" customHeight="1">
      <c r="B163" s="11">
        <f t="shared" si="13"/>
        <v>46134</v>
      </c>
      <c r="C163" s="6" t="s">
        <v>27</v>
      </c>
      <c r="D163" s="6" t="s">
        <v>44</v>
      </c>
      <c r="E163" s="66" t="s">
        <v>28</v>
      </c>
      <c r="F163" s="6" t="s">
        <v>323</v>
      </c>
      <c r="G163" s="6" t="s">
        <v>30</v>
      </c>
      <c r="H163" s="7"/>
    </row>
    <row r="164" spans="2:8" ht="9.6" customHeight="1">
      <c r="B164" s="5">
        <v>46135</v>
      </c>
      <c r="C164" s="12" t="s">
        <v>65</v>
      </c>
      <c r="D164" s="12" t="s">
        <v>270</v>
      </c>
      <c r="E164" s="66" t="s">
        <v>28</v>
      </c>
      <c r="F164" s="12" t="s">
        <v>324</v>
      </c>
      <c r="G164" s="12" t="s">
        <v>30</v>
      </c>
      <c r="H164" s="7"/>
    </row>
    <row r="165" spans="2:8" ht="9.6" customHeight="1">
      <c r="B165" s="11">
        <f t="shared" ref="B165:B186" si="14">B164</f>
        <v>46135</v>
      </c>
      <c r="C165" s="6" t="s">
        <v>75</v>
      </c>
      <c r="D165" s="12" t="s">
        <v>270</v>
      </c>
      <c r="E165" s="66" t="s">
        <v>28</v>
      </c>
      <c r="F165" s="6" t="s">
        <v>325</v>
      </c>
      <c r="G165" s="12" t="s">
        <v>30</v>
      </c>
      <c r="H165" s="7"/>
    </row>
    <row r="166" spans="2:8" ht="9.6" customHeight="1">
      <c r="B166" s="11">
        <f t="shared" si="14"/>
        <v>46135</v>
      </c>
      <c r="C166" s="6" t="s">
        <v>75</v>
      </c>
      <c r="D166" s="6" t="s">
        <v>326</v>
      </c>
      <c r="E166" s="66" t="s">
        <v>28</v>
      </c>
      <c r="F166" s="6" t="s">
        <v>327</v>
      </c>
      <c r="G166" s="12" t="s">
        <v>30</v>
      </c>
      <c r="H166" s="7"/>
    </row>
    <row r="167" spans="2:8" ht="9.6" customHeight="1">
      <c r="B167" s="11">
        <f t="shared" si="14"/>
        <v>46135</v>
      </c>
      <c r="C167" s="12" t="s">
        <v>65</v>
      </c>
      <c r="D167" s="6" t="s">
        <v>270</v>
      </c>
      <c r="E167" s="66" t="s">
        <v>28</v>
      </c>
      <c r="F167" s="6" t="s">
        <v>328</v>
      </c>
      <c r="G167" s="12" t="s">
        <v>30</v>
      </c>
      <c r="H167" s="7"/>
    </row>
    <row r="168" spans="2:8" ht="9.6" customHeight="1">
      <c r="B168" s="11">
        <f t="shared" si="14"/>
        <v>46135</v>
      </c>
      <c r="C168" s="12" t="s">
        <v>65</v>
      </c>
      <c r="D168" s="6" t="s">
        <v>329</v>
      </c>
      <c r="E168" s="66" t="s">
        <v>28</v>
      </c>
      <c r="F168" s="12" t="s">
        <v>330</v>
      </c>
      <c r="G168" s="12" t="s">
        <v>30</v>
      </c>
      <c r="H168" s="7"/>
    </row>
    <row r="169" spans="2:8" ht="9.6" customHeight="1">
      <c r="B169" s="11">
        <f t="shared" si="14"/>
        <v>46135</v>
      </c>
      <c r="C169" s="6" t="s">
        <v>75</v>
      </c>
      <c r="D169" s="6" t="s">
        <v>331</v>
      </c>
      <c r="E169" s="66" t="s">
        <v>28</v>
      </c>
      <c r="F169" s="12" t="s">
        <v>332</v>
      </c>
      <c r="G169" s="12" t="s">
        <v>30</v>
      </c>
      <c r="H169" s="7"/>
    </row>
    <row r="170" spans="2:8" ht="9.6" customHeight="1">
      <c r="B170" s="11">
        <f t="shared" si="14"/>
        <v>46135</v>
      </c>
      <c r="C170" s="6" t="s">
        <v>75</v>
      </c>
      <c r="D170" s="6" t="s">
        <v>116</v>
      </c>
      <c r="E170" s="66" t="s">
        <v>28</v>
      </c>
      <c r="F170" s="6" t="s">
        <v>333</v>
      </c>
      <c r="G170" s="12" t="s">
        <v>30</v>
      </c>
      <c r="H170" s="7"/>
    </row>
    <row r="171" spans="2:8" ht="9.6" customHeight="1">
      <c r="B171" s="11">
        <f t="shared" si="14"/>
        <v>46135</v>
      </c>
      <c r="C171" s="6" t="s">
        <v>67</v>
      </c>
      <c r="D171" s="6" t="s">
        <v>270</v>
      </c>
      <c r="E171" s="66" t="s">
        <v>28</v>
      </c>
      <c r="F171" s="6" t="s">
        <v>334</v>
      </c>
      <c r="G171" s="6" t="s">
        <v>70</v>
      </c>
      <c r="H171" s="7"/>
    </row>
    <row r="172" spans="2:8" ht="9.6" customHeight="1">
      <c r="B172" s="11">
        <f t="shared" si="14"/>
        <v>46135</v>
      </c>
      <c r="C172" s="6" t="s">
        <v>67</v>
      </c>
      <c r="D172" s="6" t="s">
        <v>335</v>
      </c>
      <c r="E172" s="66" t="s">
        <v>28</v>
      </c>
      <c r="F172" s="6" t="s">
        <v>336</v>
      </c>
      <c r="G172" s="6" t="s">
        <v>70</v>
      </c>
      <c r="H172" s="7"/>
    </row>
    <row r="173" spans="2:8" ht="9.6" customHeight="1">
      <c r="B173" s="11">
        <f t="shared" si="14"/>
        <v>46135</v>
      </c>
      <c r="C173" s="6" t="s">
        <v>67</v>
      </c>
      <c r="D173" s="6" t="s">
        <v>331</v>
      </c>
      <c r="E173" s="66" t="s">
        <v>28</v>
      </c>
      <c r="F173" s="6" t="s">
        <v>337</v>
      </c>
      <c r="G173" s="6" t="s">
        <v>70</v>
      </c>
      <c r="H173" s="7"/>
    </row>
    <row r="174" spans="2:8" ht="9.6" customHeight="1">
      <c r="B174" s="11">
        <f t="shared" si="14"/>
        <v>46135</v>
      </c>
      <c r="C174" s="6" t="s">
        <v>67</v>
      </c>
      <c r="D174" s="6" t="s">
        <v>338</v>
      </c>
      <c r="E174" s="66" t="s">
        <v>28</v>
      </c>
      <c r="F174" s="6" t="s">
        <v>339</v>
      </c>
      <c r="G174" s="6" t="s">
        <v>70</v>
      </c>
      <c r="H174" s="7"/>
    </row>
    <row r="175" spans="2:8" ht="9.6" customHeight="1">
      <c r="B175" s="11">
        <f t="shared" si="14"/>
        <v>46135</v>
      </c>
      <c r="C175" s="6" t="s">
        <v>67</v>
      </c>
      <c r="D175" s="6" t="s">
        <v>270</v>
      </c>
      <c r="E175" s="66" t="s">
        <v>28</v>
      </c>
      <c r="F175" s="6" t="s">
        <v>340</v>
      </c>
      <c r="G175" s="6" t="s">
        <v>70</v>
      </c>
      <c r="H175" s="7"/>
    </row>
    <row r="176" spans="2:8" ht="9.6" customHeight="1">
      <c r="B176" s="11">
        <f t="shared" si="14"/>
        <v>46135</v>
      </c>
      <c r="C176" s="6" t="s">
        <v>67</v>
      </c>
      <c r="D176" s="6" t="s">
        <v>338</v>
      </c>
      <c r="E176" s="66" t="s">
        <v>28</v>
      </c>
      <c r="F176" s="6" t="s">
        <v>341</v>
      </c>
      <c r="G176" s="6" t="s">
        <v>70</v>
      </c>
      <c r="H176" s="7"/>
    </row>
    <row r="177" spans="2:8" ht="9.6" customHeight="1">
      <c r="B177" s="11">
        <f t="shared" si="14"/>
        <v>46135</v>
      </c>
      <c r="C177" s="6" t="s">
        <v>67</v>
      </c>
      <c r="D177" s="6" t="s">
        <v>338</v>
      </c>
      <c r="E177" s="66" t="s">
        <v>28</v>
      </c>
      <c r="F177" s="6" t="s">
        <v>342</v>
      </c>
      <c r="G177" s="6" t="s">
        <v>70</v>
      </c>
      <c r="H177" s="7"/>
    </row>
    <row r="178" spans="2:8" ht="9.6" customHeight="1">
      <c r="B178" s="11">
        <f t="shared" si="14"/>
        <v>46135</v>
      </c>
      <c r="C178" s="6" t="s">
        <v>67</v>
      </c>
      <c r="D178" s="6" t="s">
        <v>270</v>
      </c>
      <c r="E178" s="66" t="s">
        <v>28</v>
      </c>
      <c r="F178" s="6" t="s">
        <v>343</v>
      </c>
      <c r="G178" s="6" t="s">
        <v>70</v>
      </c>
      <c r="H178" s="7"/>
    </row>
    <row r="179" spans="2:8" ht="9.6" customHeight="1">
      <c r="B179" s="11">
        <f t="shared" si="14"/>
        <v>46135</v>
      </c>
      <c r="C179" s="6" t="s">
        <v>67</v>
      </c>
      <c r="D179" s="6" t="s">
        <v>116</v>
      </c>
      <c r="E179" s="66" t="s">
        <v>28</v>
      </c>
      <c r="F179" s="6" t="s">
        <v>344</v>
      </c>
      <c r="G179" s="6" t="s">
        <v>70</v>
      </c>
      <c r="H179" s="7"/>
    </row>
    <row r="180" spans="2:8" ht="9.6" customHeight="1">
      <c r="B180" s="11">
        <f t="shared" si="14"/>
        <v>46135</v>
      </c>
      <c r="C180" s="6" t="s">
        <v>67</v>
      </c>
      <c r="D180" s="6" t="s">
        <v>338</v>
      </c>
      <c r="E180" s="66" t="s">
        <v>28</v>
      </c>
      <c r="F180" s="6" t="s">
        <v>345</v>
      </c>
      <c r="G180" s="6" t="s">
        <v>70</v>
      </c>
      <c r="H180" s="7"/>
    </row>
    <row r="181" spans="2:8" ht="9.6" customHeight="1">
      <c r="B181" s="11">
        <f t="shared" si="14"/>
        <v>46135</v>
      </c>
      <c r="C181" s="6" t="s">
        <v>67</v>
      </c>
      <c r="D181" s="6" t="s">
        <v>331</v>
      </c>
      <c r="E181" s="66" t="s">
        <v>28</v>
      </c>
      <c r="F181" s="6" t="s">
        <v>346</v>
      </c>
      <c r="G181" s="6" t="s">
        <v>30</v>
      </c>
      <c r="H181" s="7"/>
    </row>
    <row r="182" spans="2:8" ht="9.6" customHeight="1">
      <c r="B182" s="11">
        <f t="shared" si="14"/>
        <v>46135</v>
      </c>
      <c r="C182" s="6" t="s">
        <v>67</v>
      </c>
      <c r="D182" s="6" t="s">
        <v>331</v>
      </c>
      <c r="E182" s="66" t="s">
        <v>28</v>
      </c>
      <c r="F182" s="6" t="s">
        <v>347</v>
      </c>
      <c r="G182" s="12" t="s">
        <v>30</v>
      </c>
      <c r="H182" s="7"/>
    </row>
    <row r="183" spans="2:8" ht="9.6" customHeight="1">
      <c r="B183" s="11">
        <f t="shared" si="14"/>
        <v>46135</v>
      </c>
      <c r="C183" s="6" t="s">
        <v>67</v>
      </c>
      <c r="D183" s="6" t="s">
        <v>335</v>
      </c>
      <c r="E183" s="66" t="s">
        <v>28</v>
      </c>
      <c r="F183" s="6" t="s">
        <v>348</v>
      </c>
      <c r="G183" s="6" t="s">
        <v>70</v>
      </c>
      <c r="H183" s="7"/>
    </row>
    <row r="184" spans="2:8" ht="9.6" customHeight="1">
      <c r="B184" s="11">
        <f t="shared" si="14"/>
        <v>46135</v>
      </c>
      <c r="C184" s="6" t="s">
        <v>67</v>
      </c>
      <c r="D184" s="6" t="s">
        <v>270</v>
      </c>
      <c r="E184" s="66" t="s">
        <v>28</v>
      </c>
      <c r="F184" s="6" t="s">
        <v>349</v>
      </c>
      <c r="G184" s="6" t="s">
        <v>70</v>
      </c>
      <c r="H184" s="7"/>
    </row>
    <row r="185" spans="2:8" ht="9.6" customHeight="1">
      <c r="B185" s="11">
        <f t="shared" si="14"/>
        <v>46135</v>
      </c>
      <c r="C185" s="6" t="s">
        <v>67</v>
      </c>
      <c r="D185" s="6" t="s">
        <v>338</v>
      </c>
      <c r="E185" s="66" t="s">
        <v>28</v>
      </c>
      <c r="F185" s="6" t="s">
        <v>350</v>
      </c>
      <c r="G185" s="6" t="s">
        <v>70</v>
      </c>
      <c r="H185" s="7"/>
    </row>
    <row r="186" spans="2:8" ht="9.6" customHeight="1">
      <c r="B186" s="11">
        <f t="shared" si="14"/>
        <v>46135</v>
      </c>
      <c r="C186" s="6" t="s">
        <v>83</v>
      </c>
      <c r="D186" s="6" t="s">
        <v>42</v>
      </c>
      <c r="E186" s="66" t="s">
        <v>28</v>
      </c>
      <c r="F186" s="6" t="s">
        <v>351</v>
      </c>
      <c r="G186" s="6" t="s">
        <v>83</v>
      </c>
      <c r="H186" s="7"/>
    </row>
    <row r="187" spans="2:8" ht="9.6" customHeight="1">
      <c r="B187" s="5">
        <v>46136</v>
      </c>
      <c r="C187" s="12" t="s">
        <v>295</v>
      </c>
      <c r="D187" s="12" t="s">
        <v>352</v>
      </c>
      <c r="E187" s="66" t="s">
        <v>28</v>
      </c>
      <c r="F187" s="12" t="s">
        <v>353</v>
      </c>
      <c r="G187" s="12" t="s">
        <v>21</v>
      </c>
      <c r="H187" s="7"/>
    </row>
    <row r="188" spans="2:8" ht="9.6" customHeight="1">
      <c r="B188" s="11">
        <f t="shared" ref="B188:B194" si="15">B187</f>
        <v>46136</v>
      </c>
      <c r="C188" s="12" t="s">
        <v>295</v>
      </c>
      <c r="D188" s="6" t="s">
        <v>103</v>
      </c>
      <c r="E188" s="66" t="s">
        <v>28</v>
      </c>
      <c r="F188" s="6" t="s">
        <v>354</v>
      </c>
      <c r="G188" s="6" t="s">
        <v>83</v>
      </c>
      <c r="H188" s="7"/>
    </row>
    <row r="189" spans="2:8" ht="9.6" customHeight="1">
      <c r="B189" s="11">
        <f t="shared" si="15"/>
        <v>46136</v>
      </c>
      <c r="C189" s="6" t="s">
        <v>176</v>
      </c>
      <c r="D189" s="6" t="s">
        <v>32</v>
      </c>
      <c r="E189" s="66" t="s">
        <v>28</v>
      </c>
      <c r="F189" s="6" t="s">
        <v>355</v>
      </c>
      <c r="G189" s="6" t="s">
        <v>21</v>
      </c>
      <c r="H189" s="7"/>
    </row>
    <row r="190" spans="2:8" ht="9.6" customHeight="1">
      <c r="B190" s="11">
        <f t="shared" si="15"/>
        <v>46136</v>
      </c>
      <c r="C190" s="6" t="s">
        <v>176</v>
      </c>
      <c r="D190" s="6" t="s">
        <v>44</v>
      </c>
      <c r="E190" s="66" t="s">
        <v>28</v>
      </c>
      <c r="F190" s="6" t="s">
        <v>356</v>
      </c>
      <c r="G190" s="6" t="s">
        <v>21</v>
      </c>
      <c r="H190" s="7"/>
    </row>
    <row r="191" spans="2:8" ht="9.6" customHeight="1">
      <c r="B191" s="11">
        <f t="shared" si="15"/>
        <v>46136</v>
      </c>
      <c r="C191" s="12" t="s">
        <v>295</v>
      </c>
      <c r="D191" s="6" t="s">
        <v>352</v>
      </c>
      <c r="E191" s="66" t="s">
        <v>28</v>
      </c>
      <c r="F191" s="17" t="s">
        <v>357</v>
      </c>
      <c r="G191" s="6" t="s">
        <v>21</v>
      </c>
      <c r="H191" s="7"/>
    </row>
    <row r="192" spans="2:8" ht="9.6" customHeight="1">
      <c r="B192" s="11">
        <f t="shared" si="15"/>
        <v>46136</v>
      </c>
      <c r="C192" s="12" t="s">
        <v>295</v>
      </c>
      <c r="D192" s="6" t="s">
        <v>94</v>
      </c>
      <c r="E192" s="66" t="s">
        <v>28</v>
      </c>
      <c r="F192" s="17" t="s">
        <v>358</v>
      </c>
      <c r="G192" s="6" t="s">
        <v>21</v>
      </c>
      <c r="H192" s="7"/>
    </row>
    <row r="193" spans="2:8" ht="9.6" customHeight="1">
      <c r="B193" s="11">
        <f t="shared" si="15"/>
        <v>46136</v>
      </c>
      <c r="C193" s="6" t="s">
        <v>176</v>
      </c>
      <c r="D193" s="6" t="s">
        <v>23</v>
      </c>
      <c r="E193" s="66" t="s">
        <v>28</v>
      </c>
      <c r="F193" s="17" t="s">
        <v>359</v>
      </c>
      <c r="G193" s="6" t="s">
        <v>21</v>
      </c>
      <c r="H193" s="7"/>
    </row>
    <row r="194" spans="2:8" ht="9.6" customHeight="1">
      <c r="B194" s="11">
        <f t="shared" si="15"/>
        <v>46136</v>
      </c>
      <c r="C194" s="17" t="s">
        <v>360</v>
      </c>
      <c r="D194" s="6" t="s">
        <v>42</v>
      </c>
      <c r="E194" s="66" t="s">
        <v>11</v>
      </c>
      <c r="F194" s="6" t="s">
        <v>361</v>
      </c>
      <c r="G194" s="17"/>
      <c r="H194" s="9"/>
    </row>
    <row r="195" spans="2:8" ht="9.6" customHeight="1">
      <c r="B195" s="5">
        <v>46137</v>
      </c>
      <c r="C195" s="12" t="s">
        <v>176</v>
      </c>
      <c r="D195" s="12" t="s">
        <v>44</v>
      </c>
      <c r="E195" s="66" t="s">
        <v>28</v>
      </c>
      <c r="F195" s="12" t="s">
        <v>362</v>
      </c>
      <c r="G195" s="12" t="s">
        <v>30</v>
      </c>
      <c r="H195" s="7"/>
    </row>
    <row r="196" spans="2:8" ht="9.6" customHeight="1">
      <c r="B196" s="11">
        <f t="shared" ref="B196:B208" si="16">B195</f>
        <v>46137</v>
      </c>
      <c r="C196" s="6" t="s">
        <v>27</v>
      </c>
      <c r="D196" s="6" t="s">
        <v>352</v>
      </c>
      <c r="E196" s="66" t="s">
        <v>28</v>
      </c>
      <c r="F196" s="6" t="s">
        <v>363</v>
      </c>
      <c r="G196" s="6" t="s">
        <v>30</v>
      </c>
      <c r="H196" s="7"/>
    </row>
    <row r="197" spans="2:8" ht="9.6" customHeight="1">
      <c r="B197" s="11">
        <f t="shared" si="16"/>
        <v>46137</v>
      </c>
      <c r="C197" s="6" t="s">
        <v>83</v>
      </c>
      <c r="D197" s="6" t="s">
        <v>23</v>
      </c>
      <c r="E197" s="66" t="s">
        <v>28</v>
      </c>
      <c r="F197" s="6" t="s">
        <v>364</v>
      </c>
      <c r="G197" s="6" t="s">
        <v>34</v>
      </c>
      <c r="H197" s="7"/>
    </row>
    <row r="198" spans="2:8" ht="9.6" customHeight="1">
      <c r="B198" s="11">
        <f t="shared" si="16"/>
        <v>46137</v>
      </c>
      <c r="C198" s="6" t="s">
        <v>27</v>
      </c>
      <c r="D198" s="6" t="s">
        <v>365</v>
      </c>
      <c r="E198" s="66" t="s">
        <v>28</v>
      </c>
      <c r="F198" s="6" t="s">
        <v>366</v>
      </c>
      <c r="G198" s="6" t="s">
        <v>30</v>
      </c>
      <c r="H198" s="7"/>
    </row>
    <row r="199" spans="2:8" ht="9.6" customHeight="1">
      <c r="B199" s="11">
        <f t="shared" si="16"/>
        <v>46137</v>
      </c>
      <c r="C199" s="12" t="s">
        <v>176</v>
      </c>
      <c r="D199" s="6" t="s">
        <v>213</v>
      </c>
      <c r="E199" s="66" t="s">
        <v>28</v>
      </c>
      <c r="F199" s="6" t="s">
        <v>367</v>
      </c>
      <c r="G199" s="6" t="s">
        <v>30</v>
      </c>
      <c r="H199" s="7"/>
    </row>
    <row r="200" spans="2:8" ht="9.6" customHeight="1">
      <c r="B200" s="11">
        <f t="shared" si="16"/>
        <v>46137</v>
      </c>
      <c r="C200" s="12" t="s">
        <v>176</v>
      </c>
      <c r="D200" s="6" t="s">
        <v>213</v>
      </c>
      <c r="E200" s="66" t="s">
        <v>28</v>
      </c>
      <c r="F200" s="6" t="s">
        <v>368</v>
      </c>
      <c r="G200" s="6" t="s">
        <v>41</v>
      </c>
      <c r="H200" s="7"/>
    </row>
    <row r="201" spans="2:8" ht="9.6" customHeight="1">
      <c r="B201" s="11">
        <f t="shared" si="16"/>
        <v>46137</v>
      </c>
      <c r="C201" s="12" t="s">
        <v>27</v>
      </c>
      <c r="D201" s="6" t="s">
        <v>15</v>
      </c>
      <c r="E201" s="66" t="s">
        <v>28</v>
      </c>
      <c r="F201" s="6" t="s">
        <v>369</v>
      </c>
      <c r="G201" s="6" t="s">
        <v>34</v>
      </c>
      <c r="H201" s="7"/>
    </row>
    <row r="202" spans="2:8" ht="9.6" customHeight="1">
      <c r="B202" s="11">
        <f t="shared" si="16"/>
        <v>46137</v>
      </c>
      <c r="C202" s="6" t="s">
        <v>176</v>
      </c>
      <c r="D202" s="6" t="s">
        <v>42</v>
      </c>
      <c r="E202" s="66" t="s">
        <v>28</v>
      </c>
      <c r="F202" s="6" t="s">
        <v>370</v>
      </c>
      <c r="G202" s="6" t="s">
        <v>371</v>
      </c>
      <c r="H202" s="7"/>
    </row>
    <row r="203" spans="2:8" ht="9.6" customHeight="1">
      <c r="B203" s="11">
        <f t="shared" si="16"/>
        <v>46137</v>
      </c>
      <c r="C203" s="6" t="s">
        <v>176</v>
      </c>
      <c r="D203" s="6" t="s">
        <v>42</v>
      </c>
      <c r="E203" s="66" t="s">
        <v>28</v>
      </c>
      <c r="F203" s="6" t="s">
        <v>372</v>
      </c>
      <c r="G203" s="6" t="s">
        <v>30</v>
      </c>
      <c r="H203" s="7"/>
    </row>
    <row r="204" spans="2:8" ht="9.6" customHeight="1">
      <c r="B204" s="11">
        <f t="shared" si="16"/>
        <v>46137</v>
      </c>
      <c r="C204" s="6" t="s">
        <v>176</v>
      </c>
      <c r="D204" s="12" t="s">
        <v>44</v>
      </c>
      <c r="E204" s="66" t="s">
        <v>28</v>
      </c>
      <c r="F204" s="6" t="s">
        <v>373</v>
      </c>
      <c r="G204" s="6" t="s">
        <v>30</v>
      </c>
      <c r="H204" s="7"/>
    </row>
    <row r="205" spans="2:8" ht="9.6" customHeight="1">
      <c r="B205" s="11">
        <f t="shared" si="16"/>
        <v>46137</v>
      </c>
      <c r="C205" s="12" t="s">
        <v>27</v>
      </c>
      <c r="D205" s="6" t="s">
        <v>374</v>
      </c>
      <c r="E205" s="66" t="s">
        <v>28</v>
      </c>
      <c r="F205" s="6" t="s">
        <v>375</v>
      </c>
      <c r="G205" s="6" t="s">
        <v>34</v>
      </c>
      <c r="H205" s="7"/>
    </row>
    <row r="206" spans="2:8" ht="9.6" customHeight="1">
      <c r="B206" s="11">
        <f t="shared" si="16"/>
        <v>46137</v>
      </c>
      <c r="C206" s="12" t="s">
        <v>27</v>
      </c>
      <c r="D206" s="6" t="s">
        <v>76</v>
      </c>
      <c r="E206" s="66" t="s">
        <v>28</v>
      </c>
      <c r="F206" s="6" t="s">
        <v>376</v>
      </c>
      <c r="G206" s="6" t="s">
        <v>34</v>
      </c>
      <c r="H206" s="7"/>
    </row>
    <row r="207" spans="2:8" ht="9.6" customHeight="1">
      <c r="B207" s="11">
        <f t="shared" si="16"/>
        <v>46137</v>
      </c>
      <c r="C207" s="12" t="s">
        <v>27</v>
      </c>
      <c r="D207" s="6" t="s">
        <v>377</v>
      </c>
      <c r="E207" s="66" t="s">
        <v>28</v>
      </c>
      <c r="F207" s="6" t="s">
        <v>378</v>
      </c>
      <c r="G207" s="6" t="s">
        <v>379</v>
      </c>
      <c r="H207" s="7"/>
    </row>
    <row r="208" spans="2:8" ht="9.6" customHeight="1">
      <c r="B208" s="11">
        <f t="shared" si="16"/>
        <v>46137</v>
      </c>
      <c r="C208" s="6" t="s">
        <v>380</v>
      </c>
      <c r="D208" s="6" t="s">
        <v>381</v>
      </c>
      <c r="E208" s="66" t="s">
        <v>11</v>
      </c>
      <c r="F208" s="6" t="s">
        <v>382</v>
      </c>
      <c r="G208" s="6" t="s">
        <v>51</v>
      </c>
      <c r="H208" s="7"/>
    </row>
    <row r="209" spans="2:8" ht="9.6" customHeight="1">
      <c r="B209" s="5">
        <v>46138</v>
      </c>
      <c r="C209" s="12" t="s">
        <v>383</v>
      </c>
      <c r="D209" s="12" t="s">
        <v>256</v>
      </c>
      <c r="E209" s="66" t="s">
        <v>11</v>
      </c>
      <c r="F209" s="12" t="s">
        <v>384</v>
      </c>
      <c r="G209" s="12" t="s">
        <v>51</v>
      </c>
      <c r="H209" s="7"/>
    </row>
    <row r="210" spans="2:8" ht="9.6" customHeight="1">
      <c r="B210" s="11">
        <f t="shared" ref="B210:B227" si="17">B209</f>
        <v>46138</v>
      </c>
      <c r="C210" s="12" t="s">
        <v>35</v>
      </c>
      <c r="D210" s="6" t="s">
        <v>385</v>
      </c>
      <c r="E210" s="66" t="s">
        <v>11</v>
      </c>
      <c r="F210" s="6" t="s">
        <v>386</v>
      </c>
      <c r="G210" s="6" t="s">
        <v>87</v>
      </c>
      <c r="H210" s="7"/>
    </row>
    <row r="211" spans="2:8" ht="9.6" customHeight="1">
      <c r="B211" s="11">
        <f t="shared" si="17"/>
        <v>46138</v>
      </c>
      <c r="C211" s="6" t="s">
        <v>176</v>
      </c>
      <c r="D211" s="6" t="s">
        <v>81</v>
      </c>
      <c r="E211" s="66" t="s">
        <v>28</v>
      </c>
      <c r="F211" s="6" t="s">
        <v>387</v>
      </c>
      <c r="G211" s="6" t="s">
        <v>30</v>
      </c>
      <c r="H211" s="7"/>
    </row>
    <row r="212" spans="2:8" ht="9.6" customHeight="1">
      <c r="B212" s="11">
        <f t="shared" si="17"/>
        <v>46138</v>
      </c>
      <c r="C212" s="6" t="s">
        <v>27</v>
      </c>
      <c r="D212" s="6" t="s">
        <v>81</v>
      </c>
      <c r="E212" s="66" t="s">
        <v>28</v>
      </c>
      <c r="F212" s="6" t="s">
        <v>388</v>
      </c>
      <c r="G212" s="6" t="s">
        <v>51</v>
      </c>
      <c r="H212" s="7"/>
    </row>
    <row r="213" spans="2:8" ht="9.6" customHeight="1">
      <c r="B213" s="11">
        <f t="shared" si="17"/>
        <v>46138</v>
      </c>
      <c r="C213" s="6" t="s">
        <v>27</v>
      </c>
      <c r="D213" s="6" t="s">
        <v>389</v>
      </c>
      <c r="E213" s="66" t="s">
        <v>28</v>
      </c>
      <c r="F213" s="6" t="s">
        <v>390</v>
      </c>
      <c r="G213" s="6" t="s">
        <v>51</v>
      </c>
      <c r="H213" s="7"/>
    </row>
    <row r="214" spans="2:8" ht="9.6" customHeight="1">
      <c r="B214" s="11">
        <f t="shared" si="17"/>
        <v>46138</v>
      </c>
      <c r="C214" s="6" t="s">
        <v>27</v>
      </c>
      <c r="D214" s="6" t="s">
        <v>213</v>
      </c>
      <c r="E214" s="66" t="s">
        <v>28</v>
      </c>
      <c r="F214" s="6" t="s">
        <v>391</v>
      </c>
      <c r="G214" s="6" t="s">
        <v>51</v>
      </c>
      <c r="H214" s="7"/>
    </row>
    <row r="215" spans="2:8" ht="9.6" customHeight="1">
      <c r="B215" s="11">
        <f t="shared" si="17"/>
        <v>46138</v>
      </c>
      <c r="C215" s="6" t="s">
        <v>27</v>
      </c>
      <c r="D215" s="6" t="s">
        <v>42</v>
      </c>
      <c r="E215" s="66" t="s">
        <v>28</v>
      </c>
      <c r="F215" s="6" t="s">
        <v>392</v>
      </c>
      <c r="G215" s="6" t="s">
        <v>51</v>
      </c>
      <c r="H215" s="7"/>
    </row>
    <row r="216" spans="2:8" ht="9.6" customHeight="1">
      <c r="B216" s="11">
        <f t="shared" si="17"/>
        <v>46138</v>
      </c>
      <c r="C216" s="6" t="s">
        <v>27</v>
      </c>
      <c r="D216" s="6" t="s">
        <v>317</v>
      </c>
      <c r="E216" s="66" t="s">
        <v>28</v>
      </c>
      <c r="F216" s="6" t="s">
        <v>393</v>
      </c>
      <c r="G216" s="6" t="s">
        <v>30</v>
      </c>
      <c r="H216" s="7"/>
    </row>
    <row r="217" spans="2:8" ht="9.6" customHeight="1">
      <c r="B217" s="11">
        <f t="shared" si="17"/>
        <v>46138</v>
      </c>
      <c r="C217" s="6" t="s">
        <v>176</v>
      </c>
      <c r="D217" s="6" t="s">
        <v>394</v>
      </c>
      <c r="E217" s="66" t="s">
        <v>28</v>
      </c>
      <c r="F217" s="6" t="s">
        <v>395</v>
      </c>
      <c r="G217" s="6" t="s">
        <v>30</v>
      </c>
      <c r="H217" s="7"/>
    </row>
    <row r="218" spans="2:8" ht="9.6" customHeight="1">
      <c r="B218" s="11">
        <f t="shared" si="17"/>
        <v>46138</v>
      </c>
      <c r="C218" s="6" t="s">
        <v>176</v>
      </c>
      <c r="D218" s="6" t="s">
        <v>261</v>
      </c>
      <c r="E218" s="66" t="s">
        <v>28</v>
      </c>
      <c r="F218" s="6" t="s">
        <v>396</v>
      </c>
      <c r="G218" s="6" t="s">
        <v>30</v>
      </c>
      <c r="H218" s="7"/>
    </row>
    <row r="219" spans="2:8" ht="9.6" customHeight="1">
      <c r="B219" s="11">
        <f t="shared" si="17"/>
        <v>46138</v>
      </c>
      <c r="C219" s="6" t="s">
        <v>176</v>
      </c>
      <c r="D219" s="6" t="s">
        <v>164</v>
      </c>
      <c r="E219" s="66" t="s">
        <v>28</v>
      </c>
      <c r="F219" s="6" t="s">
        <v>397</v>
      </c>
      <c r="G219" s="6" t="s">
        <v>234</v>
      </c>
      <c r="H219" s="7"/>
    </row>
    <row r="220" spans="2:8" ht="9.6" customHeight="1">
      <c r="B220" s="11">
        <f t="shared" si="17"/>
        <v>46138</v>
      </c>
      <c r="C220" s="6" t="s">
        <v>27</v>
      </c>
      <c r="D220" s="6" t="s">
        <v>352</v>
      </c>
      <c r="E220" s="66" t="s">
        <v>28</v>
      </c>
      <c r="F220" s="6" t="s">
        <v>398</v>
      </c>
      <c r="G220" s="6" t="s">
        <v>30</v>
      </c>
      <c r="H220" s="7"/>
    </row>
    <row r="221" spans="2:8" ht="9.6" customHeight="1">
      <c r="B221" s="11">
        <f t="shared" si="17"/>
        <v>46138</v>
      </c>
      <c r="C221" s="6" t="s">
        <v>176</v>
      </c>
      <c r="D221" s="6" t="s">
        <v>42</v>
      </c>
      <c r="E221" s="66" t="s">
        <v>28</v>
      </c>
      <c r="F221" s="6" t="s">
        <v>399</v>
      </c>
      <c r="G221" s="6" t="s">
        <v>30</v>
      </c>
      <c r="H221" s="7"/>
    </row>
    <row r="222" spans="2:8" ht="9.6" customHeight="1">
      <c r="B222" s="11">
        <f t="shared" si="17"/>
        <v>46138</v>
      </c>
      <c r="C222" s="6" t="s">
        <v>258</v>
      </c>
      <c r="D222" s="6" t="s">
        <v>23</v>
      </c>
      <c r="E222" s="66" t="s">
        <v>28</v>
      </c>
      <c r="F222" s="17" t="s">
        <v>354</v>
      </c>
      <c r="G222" s="6" t="s">
        <v>51</v>
      </c>
      <c r="H222" s="7"/>
    </row>
    <row r="223" spans="2:8" ht="9.6" customHeight="1">
      <c r="B223" s="11">
        <f t="shared" si="17"/>
        <v>46138</v>
      </c>
      <c r="C223" s="6" t="s">
        <v>258</v>
      </c>
      <c r="D223" s="6" t="s">
        <v>94</v>
      </c>
      <c r="E223" s="66" t="s">
        <v>28</v>
      </c>
      <c r="F223" s="6" t="s">
        <v>400</v>
      </c>
      <c r="G223" s="6" t="s">
        <v>51</v>
      </c>
      <c r="H223" s="7"/>
    </row>
    <row r="224" spans="2:8" ht="9.6" customHeight="1">
      <c r="B224" s="11">
        <f t="shared" si="17"/>
        <v>46138</v>
      </c>
      <c r="C224" s="6" t="s">
        <v>258</v>
      </c>
      <c r="D224" s="6" t="s">
        <v>401</v>
      </c>
      <c r="E224" s="66" t="s">
        <v>28</v>
      </c>
      <c r="F224" s="6" t="s">
        <v>402</v>
      </c>
      <c r="G224" s="6" t="s">
        <v>51</v>
      </c>
      <c r="H224" s="7"/>
    </row>
    <row r="225" spans="2:8" ht="9.6" customHeight="1">
      <c r="B225" s="11">
        <f t="shared" si="17"/>
        <v>46138</v>
      </c>
      <c r="C225" s="6" t="s">
        <v>35</v>
      </c>
      <c r="D225" s="6" t="s">
        <v>403</v>
      </c>
      <c r="E225" s="66" t="s">
        <v>28</v>
      </c>
      <c r="F225" s="17" t="s">
        <v>404</v>
      </c>
      <c r="G225" s="6" t="s">
        <v>405</v>
      </c>
      <c r="H225" s="7"/>
    </row>
    <row r="226" spans="2:8" ht="9.6" customHeight="1">
      <c r="B226" s="11">
        <f t="shared" si="17"/>
        <v>46138</v>
      </c>
      <c r="C226" s="6" t="s">
        <v>406</v>
      </c>
      <c r="D226" s="6" t="s">
        <v>407</v>
      </c>
      <c r="E226" s="66" t="s">
        <v>11</v>
      </c>
      <c r="F226" s="6" t="s">
        <v>408</v>
      </c>
      <c r="G226" s="6" t="s">
        <v>51</v>
      </c>
      <c r="H226" s="7"/>
    </row>
    <row r="227" spans="2:8" ht="9.6" customHeight="1">
      <c r="B227" s="11">
        <f t="shared" si="17"/>
        <v>46138</v>
      </c>
      <c r="C227" s="6" t="s">
        <v>409</v>
      </c>
      <c r="D227" s="6" t="s">
        <v>81</v>
      </c>
      <c r="E227" s="66" t="s">
        <v>11</v>
      </c>
      <c r="F227" s="6" t="s">
        <v>410</v>
      </c>
      <c r="G227" s="6" t="s">
        <v>51</v>
      </c>
      <c r="H227" s="7"/>
    </row>
    <row r="228" spans="2:8" ht="9.6" customHeight="1">
      <c r="B228" s="5">
        <v>46139</v>
      </c>
      <c r="C228" s="6" t="s">
        <v>411</v>
      </c>
      <c r="D228" s="6" t="s">
        <v>52</v>
      </c>
      <c r="E228" s="66" t="s">
        <v>11</v>
      </c>
      <c r="F228" s="6" t="s">
        <v>412</v>
      </c>
      <c r="G228" s="12" t="s">
        <v>51</v>
      </c>
      <c r="H228" s="7"/>
    </row>
    <row r="229" spans="2:8" ht="9.6" customHeight="1">
      <c r="B229" s="11">
        <f>B228</f>
        <v>46139</v>
      </c>
      <c r="C229" s="6" t="s">
        <v>413</v>
      </c>
      <c r="D229" s="6" t="s">
        <v>23</v>
      </c>
      <c r="E229" s="66" t="s">
        <v>28</v>
      </c>
      <c r="F229" s="6" t="s">
        <v>414</v>
      </c>
      <c r="G229" s="12" t="s">
        <v>51</v>
      </c>
      <c r="H229" s="7"/>
    </row>
    <row r="230" spans="2:8" ht="9.6" customHeight="1">
      <c r="B230" s="11">
        <f>B229</f>
        <v>46139</v>
      </c>
      <c r="C230" s="6" t="s">
        <v>415</v>
      </c>
      <c r="D230" s="6" t="s">
        <v>23</v>
      </c>
      <c r="E230" s="66" t="s">
        <v>28</v>
      </c>
      <c r="F230" s="6" t="s">
        <v>416</v>
      </c>
      <c r="G230" s="6" t="s">
        <v>92</v>
      </c>
      <c r="H230" s="7"/>
    </row>
    <row r="231" spans="2:8" ht="9.6" customHeight="1">
      <c r="B231" s="11">
        <f>B230</f>
        <v>46139</v>
      </c>
      <c r="C231" s="6" t="s">
        <v>417</v>
      </c>
      <c r="D231" s="6" t="s">
        <v>44</v>
      </c>
      <c r="E231" s="66" t="s">
        <v>28</v>
      </c>
      <c r="F231" s="6" t="s">
        <v>416</v>
      </c>
      <c r="G231" s="6" t="s">
        <v>92</v>
      </c>
      <c r="H231" s="7"/>
    </row>
    <row r="232" spans="2:8" ht="9.6" customHeight="1">
      <c r="B232" s="11">
        <f>B231</f>
        <v>46139</v>
      </c>
      <c r="C232" s="6" t="s">
        <v>156</v>
      </c>
      <c r="D232" s="6" t="s">
        <v>52</v>
      </c>
      <c r="E232" s="66" t="s">
        <v>11</v>
      </c>
      <c r="F232" s="6" t="s">
        <v>418</v>
      </c>
      <c r="G232" s="6" t="s">
        <v>34</v>
      </c>
      <c r="H232" s="7"/>
    </row>
    <row r="233" spans="2:8" ht="9.6" customHeight="1">
      <c r="B233" s="11">
        <f>B232</f>
        <v>46139</v>
      </c>
      <c r="C233" s="6" t="s">
        <v>419</v>
      </c>
      <c r="D233" s="6" t="s">
        <v>420</v>
      </c>
      <c r="E233" s="66" t="s">
        <v>11</v>
      </c>
      <c r="F233" s="6" t="s">
        <v>421</v>
      </c>
      <c r="G233" s="6" t="s">
        <v>34</v>
      </c>
      <c r="H233" s="7"/>
    </row>
    <row r="234" spans="2:8" ht="9.6" customHeight="1">
      <c r="B234" s="5">
        <v>46140</v>
      </c>
      <c r="C234" s="12" t="s">
        <v>422</v>
      </c>
      <c r="D234" s="12" t="s">
        <v>60</v>
      </c>
      <c r="E234" s="66" t="s">
        <v>28</v>
      </c>
      <c r="F234" s="12" t="s">
        <v>423</v>
      </c>
      <c r="G234" s="12" t="s">
        <v>187</v>
      </c>
      <c r="H234" s="7"/>
    </row>
    <row r="235" spans="2:8" ht="9.6" customHeight="1">
      <c r="B235" s="11">
        <f>B234</f>
        <v>46140</v>
      </c>
      <c r="C235" s="6" t="s">
        <v>258</v>
      </c>
      <c r="D235" s="6" t="s">
        <v>38</v>
      </c>
      <c r="E235" s="66" t="s">
        <v>28</v>
      </c>
      <c r="F235" t="s">
        <v>424</v>
      </c>
      <c r="G235" s="6" t="s">
        <v>21</v>
      </c>
      <c r="H235" s="7"/>
    </row>
    <row r="236" spans="2:8" ht="9.6" customHeight="1">
      <c r="B236" s="11">
        <f>B235</f>
        <v>46140</v>
      </c>
      <c r="C236" s="6" t="s">
        <v>258</v>
      </c>
      <c r="D236" s="6" t="s">
        <v>153</v>
      </c>
      <c r="E236" s="66" t="s">
        <v>28</v>
      </c>
      <c r="F236" s="21" t="s">
        <v>425</v>
      </c>
      <c r="G236" s="6" t="s">
        <v>187</v>
      </c>
      <c r="H236" s="7"/>
    </row>
    <row r="237" spans="2:8" ht="9.6" customHeight="1">
      <c r="B237" s="11">
        <f>B236</f>
        <v>46140</v>
      </c>
      <c r="C237" s="6" t="s">
        <v>258</v>
      </c>
      <c r="D237" s="6" t="s">
        <v>44</v>
      </c>
      <c r="E237" s="66" t="s">
        <v>28</v>
      </c>
      <c r="F237" t="s">
        <v>426</v>
      </c>
      <c r="G237" s="6" t="s">
        <v>187</v>
      </c>
      <c r="H237" s="7"/>
    </row>
    <row r="238" spans="2:8" ht="9.6" customHeight="1">
      <c r="B238" s="11">
        <f>B237</f>
        <v>46140</v>
      </c>
      <c r="C238" s="6"/>
      <c r="D238" s="6"/>
      <c r="E238" s="66" t="s">
        <v>28</v>
      </c>
      <c r="G238" s="6"/>
      <c r="H238" s="7"/>
    </row>
    <row r="239" spans="2:8" ht="9.6" customHeight="1">
      <c r="B239" s="5">
        <v>46141</v>
      </c>
      <c r="C239" s="12" t="s">
        <v>27</v>
      </c>
      <c r="D239" s="12" t="s">
        <v>44</v>
      </c>
      <c r="E239" s="66" t="s">
        <v>28</v>
      </c>
      <c r="F239" s="12" t="s">
        <v>392</v>
      </c>
      <c r="G239" s="12" t="s">
        <v>30</v>
      </c>
      <c r="H239" s="7"/>
    </row>
    <row r="240" spans="2:8" ht="9.6" customHeight="1">
      <c r="B240" s="11">
        <f t="shared" ref="B240:B263" si="18">B239</f>
        <v>46141</v>
      </c>
      <c r="C240" s="6" t="s">
        <v>35</v>
      </c>
      <c r="D240" s="6" t="s">
        <v>94</v>
      </c>
      <c r="E240" s="66" t="s">
        <v>28</v>
      </c>
      <c r="F240" s="6" t="s">
        <v>427</v>
      </c>
      <c r="G240" s="6" t="s">
        <v>428</v>
      </c>
      <c r="H240" s="7"/>
    </row>
    <row r="241" spans="2:8" ht="9.6" customHeight="1">
      <c r="B241" s="11">
        <f t="shared" si="18"/>
        <v>46141</v>
      </c>
      <c r="C241" s="6" t="s">
        <v>176</v>
      </c>
      <c r="D241" s="6" t="s">
        <v>44</v>
      </c>
      <c r="E241" s="66" t="s">
        <v>28</v>
      </c>
      <c r="F241" s="6" t="s">
        <v>429</v>
      </c>
      <c r="G241" s="6" t="s">
        <v>30</v>
      </c>
      <c r="H241" s="7"/>
    </row>
    <row r="242" spans="2:8" ht="9.6" customHeight="1">
      <c r="B242" s="11">
        <f t="shared" si="18"/>
        <v>46141</v>
      </c>
      <c r="C242" s="6" t="s">
        <v>176</v>
      </c>
      <c r="D242" s="6" t="s">
        <v>44</v>
      </c>
      <c r="E242" s="66" t="s">
        <v>28</v>
      </c>
      <c r="F242" s="6" t="s">
        <v>430</v>
      </c>
      <c r="G242" s="6" t="s">
        <v>371</v>
      </c>
      <c r="H242" s="7"/>
    </row>
    <row r="243" spans="2:8" ht="9.6" customHeight="1">
      <c r="B243" s="11">
        <f t="shared" si="18"/>
        <v>46141</v>
      </c>
      <c r="C243" s="6" t="s">
        <v>83</v>
      </c>
      <c r="D243" s="6" t="s">
        <v>374</v>
      </c>
      <c r="E243" s="66" t="s">
        <v>28</v>
      </c>
      <c r="F243" s="6" t="s">
        <v>431</v>
      </c>
      <c r="G243" s="6" t="s">
        <v>30</v>
      </c>
      <c r="H243" s="7"/>
    </row>
    <row r="244" spans="2:8" ht="9.6" customHeight="1">
      <c r="B244" s="11">
        <f t="shared" si="18"/>
        <v>46141</v>
      </c>
      <c r="C244" s="6" t="s">
        <v>83</v>
      </c>
      <c r="D244" s="6" t="s">
        <v>42</v>
      </c>
      <c r="E244" s="66" t="s">
        <v>28</v>
      </c>
      <c r="F244" s="6" t="s">
        <v>431</v>
      </c>
      <c r="G244" s="6" t="s">
        <v>30</v>
      </c>
      <c r="H244" s="7"/>
    </row>
    <row r="245" spans="2:8" ht="9.6" customHeight="1">
      <c r="B245" s="11">
        <f t="shared" si="18"/>
        <v>46141</v>
      </c>
      <c r="C245" s="6" t="s">
        <v>83</v>
      </c>
      <c r="D245" s="6" t="s">
        <v>36</v>
      </c>
      <c r="E245" s="66" t="s">
        <v>28</v>
      </c>
      <c r="F245" s="6" t="s">
        <v>254</v>
      </c>
      <c r="G245" s="6" t="s">
        <v>30</v>
      </c>
      <c r="H245" s="7"/>
    </row>
    <row r="246" spans="2:8" ht="9.6" customHeight="1">
      <c r="B246" s="11">
        <f t="shared" si="18"/>
        <v>46141</v>
      </c>
      <c r="C246" s="6" t="s">
        <v>83</v>
      </c>
      <c r="D246" s="6" t="s">
        <v>432</v>
      </c>
      <c r="E246" s="66" t="s">
        <v>28</v>
      </c>
      <c r="F246" s="6" t="s">
        <v>433</v>
      </c>
      <c r="G246" s="6" t="s">
        <v>34</v>
      </c>
      <c r="H246" s="7"/>
    </row>
    <row r="247" spans="2:8" ht="9.6" customHeight="1">
      <c r="B247" s="11">
        <f t="shared" si="18"/>
        <v>46141</v>
      </c>
      <c r="C247" s="12" t="s">
        <v>27</v>
      </c>
      <c r="D247" s="6" t="s">
        <v>23</v>
      </c>
      <c r="E247" s="66" t="s">
        <v>28</v>
      </c>
      <c r="F247" s="6" t="s">
        <v>434</v>
      </c>
      <c r="G247" s="6" t="s">
        <v>34</v>
      </c>
      <c r="H247" s="7"/>
    </row>
    <row r="248" spans="2:8" ht="9.6" customHeight="1">
      <c r="B248" s="11">
        <f t="shared" si="18"/>
        <v>46141</v>
      </c>
      <c r="C248" s="12" t="s">
        <v>27</v>
      </c>
      <c r="D248" s="6" t="s">
        <v>32</v>
      </c>
      <c r="E248" s="66" t="s">
        <v>28</v>
      </c>
      <c r="F248" s="6" t="s">
        <v>435</v>
      </c>
      <c r="G248" s="6" t="s">
        <v>34</v>
      </c>
      <c r="H248" s="7"/>
    </row>
    <row r="249" spans="2:8" ht="9.6" customHeight="1">
      <c r="B249" s="11">
        <f t="shared" si="18"/>
        <v>46141</v>
      </c>
      <c r="C249" s="6" t="s">
        <v>176</v>
      </c>
      <c r="D249" s="6" t="s">
        <v>42</v>
      </c>
      <c r="E249" s="66" t="s">
        <v>28</v>
      </c>
      <c r="F249" s="6" t="s">
        <v>436</v>
      </c>
      <c r="G249" s="6" t="s">
        <v>30</v>
      </c>
      <c r="H249" s="7"/>
    </row>
    <row r="250" spans="2:8" ht="9.6" customHeight="1">
      <c r="B250" s="11">
        <f t="shared" si="18"/>
        <v>46141</v>
      </c>
      <c r="C250" s="6" t="s">
        <v>27</v>
      </c>
      <c r="D250" s="6" t="s">
        <v>437</v>
      </c>
      <c r="E250" s="66" t="s">
        <v>28</v>
      </c>
      <c r="F250" s="6" t="s">
        <v>438</v>
      </c>
      <c r="G250" s="6" t="s">
        <v>34</v>
      </c>
      <c r="H250" s="7"/>
    </row>
    <row r="251" spans="2:8" ht="9.6" customHeight="1">
      <c r="B251" s="11">
        <f t="shared" si="18"/>
        <v>46141</v>
      </c>
      <c r="C251" s="6" t="s">
        <v>176</v>
      </c>
      <c r="D251" s="6" t="s">
        <v>94</v>
      </c>
      <c r="E251" s="66" t="s">
        <v>28</v>
      </c>
      <c r="F251" s="6" t="s">
        <v>439</v>
      </c>
      <c r="G251" s="6" t="s">
        <v>30</v>
      </c>
      <c r="H251" s="7"/>
    </row>
    <row r="252" spans="2:8" ht="9.6" customHeight="1">
      <c r="B252" s="11">
        <f t="shared" si="18"/>
        <v>46141</v>
      </c>
      <c r="C252" s="6" t="s">
        <v>27</v>
      </c>
      <c r="D252" s="6" t="s">
        <v>94</v>
      </c>
      <c r="E252" s="66" t="s">
        <v>28</v>
      </c>
      <c r="F252" s="6" t="s">
        <v>440</v>
      </c>
      <c r="G252" s="6" t="s">
        <v>30</v>
      </c>
      <c r="H252" s="7"/>
    </row>
    <row r="253" spans="2:8" ht="9.6" customHeight="1">
      <c r="B253" s="11">
        <f t="shared" si="18"/>
        <v>46141</v>
      </c>
      <c r="C253" s="6" t="s">
        <v>27</v>
      </c>
      <c r="D253" s="6" t="s">
        <v>94</v>
      </c>
      <c r="E253" s="66" t="s">
        <v>28</v>
      </c>
      <c r="F253" s="6" t="s">
        <v>441</v>
      </c>
      <c r="G253" s="6" t="s">
        <v>34</v>
      </c>
      <c r="H253" s="7"/>
    </row>
    <row r="254" spans="2:8" ht="9.6" customHeight="1">
      <c r="B254" s="11">
        <f t="shared" si="18"/>
        <v>46141</v>
      </c>
      <c r="C254" s="6" t="s">
        <v>176</v>
      </c>
      <c r="D254" s="6" t="s">
        <v>44</v>
      </c>
      <c r="E254" s="66" t="s">
        <v>28</v>
      </c>
      <c r="F254" s="6" t="s">
        <v>442</v>
      </c>
      <c r="G254" s="6" t="s">
        <v>70</v>
      </c>
      <c r="H254" s="7"/>
    </row>
    <row r="255" spans="2:8" ht="9.6" customHeight="1">
      <c r="B255" s="11">
        <f t="shared" si="18"/>
        <v>46141</v>
      </c>
      <c r="C255" s="6" t="s">
        <v>83</v>
      </c>
      <c r="D255" s="6" t="s">
        <v>167</v>
      </c>
      <c r="E255" s="66" t="s">
        <v>28</v>
      </c>
      <c r="F255" s="6" t="s">
        <v>443</v>
      </c>
      <c r="G255" s="6" t="s">
        <v>70</v>
      </c>
      <c r="H255" s="7"/>
    </row>
    <row r="256" spans="2:8" ht="9.6" customHeight="1">
      <c r="B256" s="11">
        <f t="shared" si="18"/>
        <v>46141</v>
      </c>
      <c r="C256" s="6" t="s">
        <v>176</v>
      </c>
      <c r="D256" s="6" t="s">
        <v>44</v>
      </c>
      <c r="E256" s="66" t="s">
        <v>28</v>
      </c>
      <c r="F256" s="6" t="s">
        <v>444</v>
      </c>
      <c r="G256" s="6" t="s">
        <v>70</v>
      </c>
      <c r="H256" s="7"/>
    </row>
    <row r="257" spans="2:8" ht="9.6" customHeight="1">
      <c r="B257" s="11">
        <f t="shared" si="18"/>
        <v>46141</v>
      </c>
      <c r="C257" s="6" t="s">
        <v>176</v>
      </c>
      <c r="D257" s="6" t="s">
        <v>10</v>
      </c>
      <c r="E257" s="66" t="s">
        <v>28</v>
      </c>
      <c r="F257" s="6" t="s">
        <v>445</v>
      </c>
      <c r="G257" s="6" t="s">
        <v>70</v>
      </c>
      <c r="H257" s="7"/>
    </row>
    <row r="258" spans="2:8" ht="9.6" customHeight="1">
      <c r="B258" s="11">
        <f t="shared" si="18"/>
        <v>46141</v>
      </c>
      <c r="C258" s="6" t="s">
        <v>83</v>
      </c>
      <c r="D258" s="6" t="s">
        <v>44</v>
      </c>
      <c r="E258" s="66" t="s">
        <v>28</v>
      </c>
      <c r="F258" s="6" t="s">
        <v>446</v>
      </c>
      <c r="G258" s="6" t="s">
        <v>34</v>
      </c>
      <c r="H258" s="7"/>
    </row>
    <row r="259" spans="2:8" ht="9.6" customHeight="1">
      <c r="B259" s="11">
        <f t="shared" si="18"/>
        <v>46141</v>
      </c>
      <c r="C259" s="6" t="s">
        <v>27</v>
      </c>
      <c r="D259" s="6" t="s">
        <v>76</v>
      </c>
      <c r="E259" s="66" t="s">
        <v>28</v>
      </c>
      <c r="F259" s="6" t="s">
        <v>447</v>
      </c>
      <c r="G259" s="6" t="s">
        <v>34</v>
      </c>
      <c r="H259" s="7"/>
    </row>
    <row r="260" spans="2:8" ht="9.6" customHeight="1">
      <c r="B260" s="11">
        <f t="shared" si="18"/>
        <v>46141</v>
      </c>
      <c r="C260" s="6" t="s">
        <v>448</v>
      </c>
      <c r="D260" s="6" t="s">
        <v>407</v>
      </c>
      <c r="E260" s="66" t="s">
        <v>11</v>
      </c>
      <c r="F260" s="6" t="s">
        <v>449</v>
      </c>
      <c r="G260" s="6" t="s">
        <v>34</v>
      </c>
      <c r="H260" s="7"/>
    </row>
    <row r="261" spans="2:8" ht="9.6" customHeight="1">
      <c r="B261" s="11">
        <f t="shared" si="18"/>
        <v>46141</v>
      </c>
      <c r="C261" s="6" t="s">
        <v>35</v>
      </c>
      <c r="D261" s="6" t="s">
        <v>52</v>
      </c>
      <c r="E261" s="66" t="s">
        <v>11</v>
      </c>
      <c r="F261" s="6" t="s">
        <v>450</v>
      </c>
      <c r="G261" s="6" t="s">
        <v>30</v>
      </c>
      <c r="H261" s="7"/>
    </row>
    <row r="262" spans="2:8" ht="9.6" customHeight="1">
      <c r="B262" s="11">
        <f t="shared" si="18"/>
        <v>46141</v>
      </c>
      <c r="C262" s="6" t="s">
        <v>451</v>
      </c>
      <c r="D262" s="6" t="s">
        <v>52</v>
      </c>
      <c r="E262" s="66" t="s">
        <v>11</v>
      </c>
      <c r="F262" s="6" t="s">
        <v>452</v>
      </c>
      <c r="G262" s="6" t="s">
        <v>51</v>
      </c>
      <c r="H262" s="7"/>
    </row>
    <row r="263" spans="2:8" ht="9.6" customHeight="1">
      <c r="B263" s="11">
        <f t="shared" si="18"/>
        <v>46141</v>
      </c>
      <c r="C263" s="6" t="s">
        <v>453</v>
      </c>
      <c r="D263" s="6" t="s">
        <v>232</v>
      </c>
      <c r="E263" s="66" t="s">
        <v>11</v>
      </c>
      <c r="F263" s="6" t="s">
        <v>454</v>
      </c>
      <c r="G263" s="6" t="s">
        <v>51</v>
      </c>
      <c r="H263" s="7"/>
    </row>
    <row r="264" spans="2:8" ht="9.6" customHeight="1">
      <c r="B264" s="5">
        <v>46142</v>
      </c>
      <c r="C264" s="12" t="s">
        <v>455</v>
      </c>
      <c r="D264" s="12" t="s">
        <v>456</v>
      </c>
      <c r="E264" s="66" t="s">
        <v>11</v>
      </c>
      <c r="F264" s="12" t="s">
        <v>457</v>
      </c>
      <c r="G264" s="12" t="s">
        <v>34</v>
      </c>
      <c r="H264" s="7"/>
    </row>
    <row r="265" spans="2:8" ht="9.6" customHeight="1">
      <c r="B265" s="11">
        <f t="shared" ref="B265:B278" si="19">B264</f>
        <v>46142</v>
      </c>
      <c r="C265" s="6" t="s">
        <v>458</v>
      </c>
      <c r="D265" s="6" t="s">
        <v>459</v>
      </c>
      <c r="E265" s="66" t="s">
        <v>11</v>
      </c>
      <c r="F265" s="6" t="s">
        <v>460</v>
      </c>
      <c r="G265" s="6" t="s">
        <v>34</v>
      </c>
      <c r="H265" s="7"/>
    </row>
    <row r="266" spans="2:8" ht="9.6" customHeight="1">
      <c r="B266" s="11">
        <f t="shared" si="19"/>
        <v>46142</v>
      </c>
      <c r="C266" s="6" t="s">
        <v>461</v>
      </c>
      <c r="D266" s="6" t="s">
        <v>462</v>
      </c>
      <c r="E266" s="66" t="s">
        <v>11</v>
      </c>
      <c r="F266" s="6" t="s">
        <v>463</v>
      </c>
      <c r="G266" s="6" t="s">
        <v>34</v>
      </c>
      <c r="H266" s="7"/>
    </row>
    <row r="267" spans="2:8" ht="9.6" customHeight="1">
      <c r="B267" s="11">
        <f t="shared" si="19"/>
        <v>46142</v>
      </c>
      <c r="C267" s="6" t="s">
        <v>464</v>
      </c>
      <c r="D267" s="6" t="s">
        <v>403</v>
      </c>
      <c r="E267" s="66" t="s">
        <v>11</v>
      </c>
      <c r="F267" s="6" t="s">
        <v>465</v>
      </c>
      <c r="G267" s="6" t="s">
        <v>34</v>
      </c>
      <c r="H267" s="7"/>
    </row>
    <row r="268" spans="2:8" ht="9.6" customHeight="1">
      <c r="B268" s="11">
        <f t="shared" si="19"/>
        <v>46142</v>
      </c>
      <c r="C268" s="6" t="s">
        <v>466</v>
      </c>
      <c r="D268" s="6" t="s">
        <v>44</v>
      </c>
      <c r="E268" s="66" t="s">
        <v>28</v>
      </c>
      <c r="F268" s="6" t="s">
        <v>37</v>
      </c>
      <c r="G268" s="6" t="s">
        <v>34</v>
      </c>
      <c r="H268" s="7"/>
    </row>
    <row r="269" spans="2:8" ht="9.6" customHeight="1">
      <c r="B269" s="11">
        <f t="shared" si="19"/>
        <v>46142</v>
      </c>
      <c r="C269" s="6" t="s">
        <v>27</v>
      </c>
      <c r="D269" s="6" t="s">
        <v>44</v>
      </c>
      <c r="E269" s="66" t="s">
        <v>28</v>
      </c>
      <c r="F269" s="6" t="s">
        <v>467</v>
      </c>
      <c r="G269" s="6" t="s">
        <v>34</v>
      </c>
      <c r="H269" s="7"/>
    </row>
    <row r="270" spans="2:8" ht="9.6" customHeight="1">
      <c r="B270" s="11">
        <f t="shared" si="19"/>
        <v>46142</v>
      </c>
      <c r="C270" s="6" t="s">
        <v>83</v>
      </c>
      <c r="D270" s="6" t="s">
        <v>42</v>
      </c>
      <c r="E270" s="66" t="s">
        <v>28</v>
      </c>
      <c r="F270" s="6" t="s">
        <v>37</v>
      </c>
      <c r="G270" s="6" t="s">
        <v>34</v>
      </c>
      <c r="H270" s="7"/>
    </row>
    <row r="271" spans="2:8" ht="9.6" customHeight="1">
      <c r="B271" s="11">
        <f t="shared" si="19"/>
        <v>46142</v>
      </c>
      <c r="C271" s="6" t="s">
        <v>176</v>
      </c>
      <c r="D271" s="6" t="s">
        <v>44</v>
      </c>
      <c r="E271" s="66" t="s">
        <v>28</v>
      </c>
      <c r="F271" s="6" t="s">
        <v>468</v>
      </c>
      <c r="G271" s="6" t="s">
        <v>30</v>
      </c>
      <c r="H271" s="7"/>
    </row>
    <row r="272" spans="2:8" ht="9.6" customHeight="1">
      <c r="B272" s="11">
        <f t="shared" si="19"/>
        <v>46142</v>
      </c>
      <c r="C272" s="6" t="s">
        <v>35</v>
      </c>
      <c r="D272" s="6" t="s">
        <v>38</v>
      </c>
      <c r="E272" s="66" t="s">
        <v>28</v>
      </c>
      <c r="F272" s="6" t="s">
        <v>469</v>
      </c>
      <c r="G272" s="6" t="s">
        <v>30</v>
      </c>
      <c r="H272" s="7"/>
    </row>
    <row r="273" spans="2:8" ht="9.6" customHeight="1">
      <c r="B273" s="11">
        <f t="shared" si="19"/>
        <v>46142</v>
      </c>
      <c r="C273" s="6" t="s">
        <v>83</v>
      </c>
      <c r="D273" s="6" t="s">
        <v>42</v>
      </c>
      <c r="E273" s="66" t="s">
        <v>28</v>
      </c>
      <c r="F273" s="6" t="s">
        <v>470</v>
      </c>
      <c r="G273" s="6" t="s">
        <v>34</v>
      </c>
      <c r="H273" s="7"/>
    </row>
    <row r="274" spans="2:8" ht="9.6" customHeight="1">
      <c r="B274" s="11">
        <f t="shared" si="19"/>
        <v>46142</v>
      </c>
      <c r="C274" s="6" t="s">
        <v>176</v>
      </c>
      <c r="D274" s="6" t="s">
        <v>456</v>
      </c>
      <c r="E274" s="66" t="s">
        <v>28</v>
      </c>
      <c r="F274" s="6" t="s">
        <v>471</v>
      </c>
      <c r="G274" s="6" t="s">
        <v>30</v>
      </c>
      <c r="H274" s="7"/>
    </row>
    <row r="275" spans="2:8" ht="9.6" customHeight="1">
      <c r="B275" s="11">
        <f t="shared" si="19"/>
        <v>46142</v>
      </c>
      <c r="C275" s="6" t="s">
        <v>176</v>
      </c>
      <c r="D275" s="6" t="s">
        <v>389</v>
      </c>
      <c r="E275" s="66" t="s">
        <v>28</v>
      </c>
      <c r="F275" s="6" t="s">
        <v>472</v>
      </c>
      <c r="G275" s="6" t="s">
        <v>30</v>
      </c>
      <c r="H275" s="7"/>
    </row>
    <row r="276" spans="2:8" ht="9.6" customHeight="1">
      <c r="B276" s="11">
        <f t="shared" si="19"/>
        <v>46142</v>
      </c>
      <c r="C276" s="6" t="s">
        <v>35</v>
      </c>
      <c r="D276" s="6" t="s">
        <v>389</v>
      </c>
      <c r="E276" s="66" t="s">
        <v>11</v>
      </c>
      <c r="F276" s="6" t="s">
        <v>473</v>
      </c>
      <c r="G276" s="6" t="s">
        <v>237</v>
      </c>
      <c r="H276" s="7"/>
    </row>
    <row r="277" spans="2:8" ht="9.6" customHeight="1">
      <c r="B277" s="11">
        <f t="shared" si="19"/>
        <v>46142</v>
      </c>
      <c r="C277" s="6" t="s">
        <v>474</v>
      </c>
      <c r="D277" s="6" t="s">
        <v>475</v>
      </c>
      <c r="E277" s="66" t="s">
        <v>11</v>
      </c>
      <c r="F277" s="6" t="s">
        <v>476</v>
      </c>
      <c r="G277" s="6" t="s">
        <v>51</v>
      </c>
      <c r="H277" s="7"/>
    </row>
    <row r="278" spans="2:8" ht="9.6" customHeight="1">
      <c r="B278" s="11">
        <f t="shared" si="19"/>
        <v>46142</v>
      </c>
      <c r="C278" s="6" t="s">
        <v>35</v>
      </c>
      <c r="D278" s="6" t="s">
        <v>52</v>
      </c>
      <c r="E278" s="66" t="s">
        <v>11</v>
      </c>
      <c r="F278" s="6" t="s">
        <v>452</v>
      </c>
      <c r="G278" s="6" t="s">
        <v>477</v>
      </c>
      <c r="H278" s="7"/>
    </row>
    <row r="279" spans="2:8" ht="9.6" customHeight="1">
      <c r="B279" s="5">
        <v>46143</v>
      </c>
      <c r="C279" s="6" t="s">
        <v>478</v>
      </c>
      <c r="D279" s="6" t="s">
        <v>10</v>
      </c>
      <c r="E279" s="66" t="s">
        <v>11</v>
      </c>
      <c r="F279" s="6" t="s">
        <v>479</v>
      </c>
      <c r="G279" s="6" t="s">
        <v>480</v>
      </c>
      <c r="H279" s="7"/>
    </row>
    <row r="280" spans="2:8" ht="9.6" customHeight="1">
      <c r="B280" s="11">
        <f>B279</f>
        <v>46143</v>
      </c>
      <c r="C280" s="6" t="s">
        <v>481</v>
      </c>
      <c r="D280" s="6"/>
      <c r="E280" s="66" t="s">
        <v>11</v>
      </c>
      <c r="F280" s="6" t="s">
        <v>482</v>
      </c>
      <c r="G280" s="6" t="s">
        <v>483</v>
      </c>
      <c r="H280" s="7"/>
    </row>
    <row r="281" spans="2:8" ht="9.6" customHeight="1">
      <c r="B281" s="5">
        <v>46144</v>
      </c>
      <c r="C281" s="12" t="s">
        <v>484</v>
      </c>
      <c r="D281" s="12" t="s">
        <v>142</v>
      </c>
      <c r="E281" s="66" t="s">
        <v>28</v>
      </c>
      <c r="F281" s="12" t="s">
        <v>485</v>
      </c>
      <c r="G281" s="12" t="s">
        <v>30</v>
      </c>
      <c r="H281" s="7"/>
    </row>
    <row r="282" spans="2:8" ht="9.6" customHeight="1">
      <c r="B282" s="11">
        <f t="shared" ref="B282:B288" si="20">B281</f>
        <v>46144</v>
      </c>
      <c r="C282" s="6" t="s">
        <v>486</v>
      </c>
      <c r="D282" s="6" t="s">
        <v>42</v>
      </c>
      <c r="E282" s="66" t="s">
        <v>28</v>
      </c>
      <c r="F282" s="6" t="s">
        <v>487</v>
      </c>
      <c r="G282" s="6" t="s">
        <v>30</v>
      </c>
      <c r="H282" s="7"/>
    </row>
    <row r="283" spans="2:8" ht="9.6" customHeight="1">
      <c r="B283" s="11">
        <f t="shared" si="20"/>
        <v>46144</v>
      </c>
      <c r="C283" s="6" t="s">
        <v>486</v>
      </c>
      <c r="D283" s="6" t="s">
        <v>488</v>
      </c>
      <c r="E283" s="66" t="s">
        <v>28</v>
      </c>
      <c r="F283" s="6" t="s">
        <v>489</v>
      </c>
      <c r="G283" s="6" t="s">
        <v>30</v>
      </c>
      <c r="H283" s="7"/>
    </row>
    <row r="284" spans="2:8" ht="9.6" customHeight="1">
      <c r="B284" s="11">
        <f t="shared" si="20"/>
        <v>46144</v>
      </c>
      <c r="C284" s="6" t="s">
        <v>83</v>
      </c>
      <c r="D284" s="6" t="s">
        <v>490</v>
      </c>
      <c r="E284" s="66" t="s">
        <v>28</v>
      </c>
      <c r="F284" s="6" t="s">
        <v>491</v>
      </c>
      <c r="G284" s="6" t="s">
        <v>492</v>
      </c>
      <c r="H284" s="7"/>
    </row>
    <row r="285" spans="2:8" ht="9.6" customHeight="1">
      <c r="B285" s="11">
        <f t="shared" si="20"/>
        <v>46144</v>
      </c>
      <c r="C285" s="6" t="s">
        <v>486</v>
      </c>
      <c r="D285" s="6" t="s">
        <v>23</v>
      </c>
      <c r="E285" s="66" t="s">
        <v>28</v>
      </c>
      <c r="F285" s="6" t="s">
        <v>493</v>
      </c>
      <c r="G285" s="6" t="s">
        <v>30</v>
      </c>
      <c r="H285" s="7"/>
    </row>
    <row r="286" spans="2:8" ht="9.6" customHeight="1">
      <c r="B286" s="11">
        <f t="shared" si="20"/>
        <v>46144</v>
      </c>
      <c r="C286" s="6" t="s">
        <v>486</v>
      </c>
      <c r="D286" s="6" t="s">
        <v>44</v>
      </c>
      <c r="E286" s="66" t="s">
        <v>28</v>
      </c>
      <c r="F286" s="6" t="s">
        <v>494</v>
      </c>
      <c r="G286" s="6" t="s">
        <v>30</v>
      </c>
      <c r="H286" s="7"/>
    </row>
    <row r="287" spans="2:8" ht="9.6" customHeight="1">
      <c r="B287" s="11">
        <f t="shared" si="20"/>
        <v>46144</v>
      </c>
      <c r="C287" s="6" t="s">
        <v>486</v>
      </c>
      <c r="D287" s="6" t="s">
        <v>44</v>
      </c>
      <c r="E287" s="66" t="s">
        <v>11</v>
      </c>
      <c r="F287" s="6" t="s">
        <v>495</v>
      </c>
      <c r="G287" s="6" t="s">
        <v>496</v>
      </c>
      <c r="H287" s="7"/>
    </row>
    <row r="288" spans="2:8" ht="9.6" customHeight="1">
      <c r="B288" s="11">
        <f t="shared" si="20"/>
        <v>46144</v>
      </c>
      <c r="C288" s="6" t="s">
        <v>486</v>
      </c>
      <c r="D288" s="6" t="s">
        <v>23</v>
      </c>
      <c r="E288" s="66" t="s">
        <v>11</v>
      </c>
      <c r="F288" s="6" t="s">
        <v>497</v>
      </c>
      <c r="G288" s="6" t="s">
        <v>30</v>
      </c>
      <c r="H288" s="7"/>
    </row>
    <row r="289" spans="2:8" ht="9.6" customHeight="1">
      <c r="B289" s="5">
        <v>46145</v>
      </c>
      <c r="C289" s="6" t="s">
        <v>486</v>
      </c>
      <c r="D289" s="12" t="s">
        <v>42</v>
      </c>
      <c r="E289" s="66" t="s">
        <v>11</v>
      </c>
      <c r="F289" s="12" t="s">
        <v>498</v>
      </c>
      <c r="G289" s="12" t="s">
        <v>30</v>
      </c>
      <c r="H289" s="7"/>
    </row>
    <row r="290" spans="2:8" ht="9.6" customHeight="1">
      <c r="B290" s="11">
        <f t="shared" ref="B290:B299" si="21">B289</f>
        <v>46145</v>
      </c>
      <c r="C290" s="6" t="s">
        <v>499</v>
      </c>
      <c r="D290" s="6" t="s">
        <v>23</v>
      </c>
      <c r="E290" s="66" t="s">
        <v>28</v>
      </c>
      <c r="F290" s="12" t="s">
        <v>500</v>
      </c>
      <c r="G290" s="6" t="s">
        <v>34</v>
      </c>
      <c r="H290" s="7"/>
    </row>
    <row r="291" spans="2:8" ht="9.6" customHeight="1">
      <c r="B291" s="11">
        <f t="shared" si="21"/>
        <v>46145</v>
      </c>
      <c r="C291" s="6" t="s">
        <v>176</v>
      </c>
      <c r="D291" s="6" t="s">
        <v>202</v>
      </c>
      <c r="E291" s="66" t="s">
        <v>28</v>
      </c>
      <c r="F291" s="6" t="s">
        <v>501</v>
      </c>
      <c r="G291" s="6" t="s">
        <v>30</v>
      </c>
      <c r="H291" s="7"/>
    </row>
    <row r="292" spans="2:8" ht="9.6" customHeight="1">
      <c r="B292" s="11">
        <f t="shared" si="21"/>
        <v>46145</v>
      </c>
      <c r="C292" s="6" t="s">
        <v>27</v>
      </c>
      <c r="D292" s="6" t="s">
        <v>10</v>
      </c>
      <c r="E292" s="66" t="s">
        <v>28</v>
      </c>
      <c r="F292" s="6" t="s">
        <v>502</v>
      </c>
      <c r="G292" s="6" t="s">
        <v>34</v>
      </c>
      <c r="H292" s="7"/>
    </row>
    <row r="293" spans="2:8" ht="9.6" customHeight="1">
      <c r="B293" s="11">
        <f t="shared" si="21"/>
        <v>46145</v>
      </c>
      <c r="C293" s="6" t="s">
        <v>176</v>
      </c>
      <c r="D293" s="6" t="s">
        <v>42</v>
      </c>
      <c r="E293" s="66" t="s">
        <v>28</v>
      </c>
      <c r="F293" s="6" t="s">
        <v>503</v>
      </c>
      <c r="G293" s="6" t="s">
        <v>30</v>
      </c>
      <c r="H293" s="7"/>
    </row>
    <row r="294" spans="2:8" ht="9.6" customHeight="1">
      <c r="B294" s="11">
        <f t="shared" si="21"/>
        <v>46145</v>
      </c>
      <c r="C294" s="6" t="s">
        <v>215</v>
      </c>
      <c r="D294" s="6" t="s">
        <v>81</v>
      </c>
      <c r="E294" s="66" t="s">
        <v>28</v>
      </c>
      <c r="F294" s="6" t="s">
        <v>504</v>
      </c>
      <c r="G294" s="6" t="s">
        <v>30</v>
      </c>
      <c r="H294" s="7"/>
    </row>
    <row r="295" spans="2:8" ht="9.6" customHeight="1">
      <c r="B295" s="11">
        <f t="shared" si="21"/>
        <v>46145</v>
      </c>
      <c r="C295" s="6" t="s">
        <v>176</v>
      </c>
      <c r="D295" s="6" t="s">
        <v>42</v>
      </c>
      <c r="E295" s="66" t="s">
        <v>28</v>
      </c>
      <c r="F295" s="6" t="s">
        <v>505</v>
      </c>
      <c r="G295" s="6" t="s">
        <v>371</v>
      </c>
      <c r="H295" s="7"/>
    </row>
    <row r="296" spans="2:8" ht="9.6" customHeight="1">
      <c r="B296" s="11">
        <f t="shared" si="21"/>
        <v>46145</v>
      </c>
      <c r="C296" s="6" t="s">
        <v>215</v>
      </c>
      <c r="D296" s="6" t="s">
        <v>389</v>
      </c>
      <c r="E296" s="66" t="s">
        <v>28</v>
      </c>
      <c r="F296" s="6" t="s">
        <v>506</v>
      </c>
      <c r="G296" s="6" t="s">
        <v>30</v>
      </c>
      <c r="H296" s="7"/>
    </row>
    <row r="297" spans="2:8" ht="9.6" customHeight="1">
      <c r="B297" s="11">
        <f t="shared" si="21"/>
        <v>46145</v>
      </c>
      <c r="C297" s="6" t="s">
        <v>215</v>
      </c>
      <c r="D297" s="6" t="s">
        <v>507</v>
      </c>
      <c r="E297" s="66" t="s">
        <v>28</v>
      </c>
      <c r="F297" s="6" t="s">
        <v>508</v>
      </c>
      <c r="G297" s="6" t="s">
        <v>30</v>
      </c>
      <c r="H297" s="7"/>
    </row>
    <row r="298" spans="2:8" ht="9.6" customHeight="1">
      <c r="B298" s="11">
        <f t="shared" si="21"/>
        <v>46145</v>
      </c>
      <c r="C298" s="6" t="s">
        <v>215</v>
      </c>
      <c r="D298" s="6" t="s">
        <v>509</v>
      </c>
      <c r="E298" s="66" t="s">
        <v>28</v>
      </c>
      <c r="F298" s="6" t="s">
        <v>510</v>
      </c>
      <c r="G298" s="6" t="s">
        <v>34</v>
      </c>
      <c r="H298" s="7"/>
    </row>
    <row r="299" spans="2:8" ht="9.6" customHeight="1">
      <c r="B299" s="11">
        <f t="shared" si="21"/>
        <v>46145</v>
      </c>
      <c r="C299" s="6" t="s">
        <v>511</v>
      </c>
      <c r="D299" s="6" t="s">
        <v>42</v>
      </c>
      <c r="E299" s="66" t="s">
        <v>11</v>
      </c>
      <c r="F299" s="6" t="s">
        <v>512</v>
      </c>
      <c r="G299" s="6" t="s">
        <v>51</v>
      </c>
      <c r="H299" s="7"/>
    </row>
    <row r="300" spans="2:8" ht="9.6" customHeight="1">
      <c r="B300" s="5">
        <v>46146</v>
      </c>
      <c r="C300" s="12" t="s">
        <v>35</v>
      </c>
      <c r="D300" s="6" t="s">
        <v>132</v>
      </c>
      <c r="E300" s="66" t="s">
        <v>11</v>
      </c>
      <c r="F300" s="6" t="s">
        <v>513</v>
      </c>
      <c r="G300" s="6" t="s">
        <v>30</v>
      </c>
      <c r="H300" s="7"/>
    </row>
    <row r="301" spans="2:8" ht="9.6" customHeight="1">
      <c r="B301" s="11">
        <f t="shared" ref="B301:B331" si="22">B300</f>
        <v>46146</v>
      </c>
      <c r="C301" s="6" t="s">
        <v>83</v>
      </c>
      <c r="D301" s="6" t="s">
        <v>514</v>
      </c>
      <c r="E301" s="66" t="s">
        <v>28</v>
      </c>
      <c r="F301" s="6" t="s">
        <v>515</v>
      </c>
      <c r="G301" s="6" t="s">
        <v>34</v>
      </c>
      <c r="H301" s="7"/>
    </row>
    <row r="302" spans="2:8" ht="9.6" customHeight="1">
      <c r="B302" s="11">
        <f t="shared" si="22"/>
        <v>46146</v>
      </c>
      <c r="C302" s="6" t="s">
        <v>83</v>
      </c>
      <c r="D302" s="6" t="s">
        <v>514</v>
      </c>
      <c r="E302" s="66" t="s">
        <v>28</v>
      </c>
      <c r="F302" s="6" t="s">
        <v>516</v>
      </c>
      <c r="G302" s="6" t="s">
        <v>34</v>
      </c>
      <c r="H302" s="7"/>
    </row>
    <row r="303" spans="2:8" ht="9.6" customHeight="1">
      <c r="B303" s="11">
        <f t="shared" si="22"/>
        <v>46146</v>
      </c>
      <c r="C303" s="6" t="s">
        <v>176</v>
      </c>
      <c r="D303" s="6" t="s">
        <v>15</v>
      </c>
      <c r="E303" s="66" t="s">
        <v>28</v>
      </c>
      <c r="F303" s="6" t="s">
        <v>517</v>
      </c>
      <c r="G303" s="6" t="s">
        <v>30</v>
      </c>
      <c r="H303" s="7"/>
    </row>
    <row r="304" spans="2:8" ht="9.6" customHeight="1">
      <c r="B304" s="11">
        <f t="shared" si="22"/>
        <v>46146</v>
      </c>
      <c r="C304" s="6" t="s">
        <v>176</v>
      </c>
      <c r="D304" s="6" t="s">
        <v>518</v>
      </c>
      <c r="E304" s="66" t="s">
        <v>28</v>
      </c>
      <c r="F304" s="6" t="s">
        <v>519</v>
      </c>
      <c r="G304" s="6" t="s">
        <v>30</v>
      </c>
      <c r="H304" s="7"/>
    </row>
    <row r="305" spans="2:8" ht="9.6" customHeight="1">
      <c r="B305" s="11">
        <f t="shared" si="22"/>
        <v>46146</v>
      </c>
      <c r="C305" s="6" t="s">
        <v>176</v>
      </c>
      <c r="D305" s="6" t="s">
        <v>44</v>
      </c>
      <c r="E305" s="66" t="s">
        <v>28</v>
      </c>
      <c r="F305" s="6" t="s">
        <v>520</v>
      </c>
      <c r="G305" s="6" t="s">
        <v>371</v>
      </c>
      <c r="H305" s="7"/>
    </row>
    <row r="306" spans="2:8" ht="9.6" customHeight="1">
      <c r="B306" s="11">
        <f t="shared" si="22"/>
        <v>46146</v>
      </c>
      <c r="C306" s="6" t="s">
        <v>176</v>
      </c>
      <c r="D306" s="6" t="s">
        <v>62</v>
      </c>
      <c r="E306" s="66" t="s">
        <v>28</v>
      </c>
      <c r="F306" s="6" t="s">
        <v>521</v>
      </c>
      <c r="G306" s="6" t="s">
        <v>30</v>
      </c>
      <c r="H306" s="7"/>
    </row>
    <row r="307" spans="2:8" ht="9.6" customHeight="1">
      <c r="B307" s="11">
        <f t="shared" si="22"/>
        <v>46146</v>
      </c>
      <c r="C307" s="6" t="s">
        <v>176</v>
      </c>
      <c r="D307" s="6" t="s">
        <v>42</v>
      </c>
      <c r="E307" s="66" t="s">
        <v>28</v>
      </c>
      <c r="F307" s="6" t="s">
        <v>522</v>
      </c>
      <c r="G307" s="6" t="s">
        <v>428</v>
      </c>
      <c r="H307" s="7"/>
    </row>
    <row r="308" spans="2:8" ht="9.6" customHeight="1">
      <c r="B308" s="11">
        <f t="shared" si="22"/>
        <v>46146</v>
      </c>
      <c r="C308" s="6" t="s">
        <v>27</v>
      </c>
      <c r="D308" s="6" t="s">
        <v>15</v>
      </c>
      <c r="E308" s="66" t="s">
        <v>28</v>
      </c>
      <c r="F308" s="6" t="s">
        <v>523</v>
      </c>
      <c r="G308" s="6" t="s">
        <v>34</v>
      </c>
      <c r="H308" s="7"/>
    </row>
    <row r="309" spans="2:8" ht="9.6" customHeight="1">
      <c r="B309" s="11">
        <f t="shared" si="22"/>
        <v>46146</v>
      </c>
      <c r="C309" s="6" t="s">
        <v>176</v>
      </c>
      <c r="D309" s="6" t="s">
        <v>42</v>
      </c>
      <c r="E309" s="66" t="s">
        <v>28</v>
      </c>
      <c r="F309" s="6" t="s">
        <v>231</v>
      </c>
      <c r="G309" s="6" t="s">
        <v>30</v>
      </c>
      <c r="H309" s="7"/>
    </row>
    <row r="310" spans="2:8" ht="9.6" customHeight="1">
      <c r="B310" s="11">
        <f t="shared" si="22"/>
        <v>46146</v>
      </c>
      <c r="C310" s="6" t="s">
        <v>27</v>
      </c>
      <c r="D310" s="6" t="s">
        <v>76</v>
      </c>
      <c r="E310" s="66" t="s">
        <v>28</v>
      </c>
      <c r="F310" s="6" t="s">
        <v>524</v>
      </c>
      <c r="G310" s="6" t="s">
        <v>34</v>
      </c>
      <c r="H310" s="7"/>
    </row>
    <row r="311" spans="2:8" ht="9.6" customHeight="1">
      <c r="B311" s="11">
        <f t="shared" si="22"/>
        <v>46146</v>
      </c>
      <c r="C311" s="6" t="s">
        <v>83</v>
      </c>
      <c r="D311" s="6" t="s">
        <v>44</v>
      </c>
      <c r="E311" s="66" t="s">
        <v>28</v>
      </c>
      <c r="F311" s="6" t="s">
        <v>525</v>
      </c>
      <c r="G311" s="6" t="s">
        <v>70</v>
      </c>
      <c r="H311" s="7"/>
    </row>
    <row r="312" spans="2:8" ht="9.6" customHeight="1">
      <c r="B312" s="11">
        <f t="shared" si="22"/>
        <v>46146</v>
      </c>
      <c r="C312" s="6" t="s">
        <v>176</v>
      </c>
      <c r="D312" s="6" t="s">
        <v>19</v>
      </c>
      <c r="E312" s="66" t="s">
        <v>28</v>
      </c>
      <c r="F312" s="6" t="s">
        <v>526</v>
      </c>
      <c r="G312" s="6" t="s">
        <v>30</v>
      </c>
      <c r="H312" s="7"/>
    </row>
    <row r="313" spans="2:8" ht="9.6" customHeight="1">
      <c r="B313" s="11">
        <f t="shared" si="22"/>
        <v>46146</v>
      </c>
      <c r="C313" s="6" t="s">
        <v>27</v>
      </c>
      <c r="D313" s="6" t="s">
        <v>19</v>
      </c>
      <c r="E313" s="66" t="s">
        <v>28</v>
      </c>
      <c r="F313" s="6" t="s">
        <v>527</v>
      </c>
      <c r="G313" s="6" t="s">
        <v>34</v>
      </c>
      <c r="H313" s="7"/>
    </row>
    <row r="314" spans="2:8" ht="9.6" customHeight="1">
      <c r="B314" s="11">
        <f t="shared" si="22"/>
        <v>46146</v>
      </c>
      <c r="C314" s="6" t="s">
        <v>27</v>
      </c>
      <c r="D314" s="6" t="s">
        <v>42</v>
      </c>
      <c r="E314" s="66" t="s">
        <v>28</v>
      </c>
      <c r="F314" s="6" t="s">
        <v>528</v>
      </c>
      <c r="G314" s="6" t="s">
        <v>34</v>
      </c>
      <c r="H314" s="7"/>
    </row>
    <row r="315" spans="2:8" ht="9.6" customHeight="1">
      <c r="B315" s="11">
        <f t="shared" si="22"/>
        <v>46146</v>
      </c>
      <c r="C315" s="6" t="s">
        <v>27</v>
      </c>
      <c r="D315" s="6" t="s">
        <v>36</v>
      </c>
      <c r="E315" s="66" t="s">
        <v>28</v>
      </c>
      <c r="F315" s="6" t="s">
        <v>529</v>
      </c>
      <c r="G315" s="6" t="s">
        <v>34</v>
      </c>
      <c r="H315" s="7"/>
    </row>
    <row r="316" spans="2:8" ht="9.6" customHeight="1">
      <c r="B316" s="11">
        <f t="shared" si="22"/>
        <v>46146</v>
      </c>
      <c r="C316" s="6" t="s">
        <v>27</v>
      </c>
      <c r="D316" s="6" t="s">
        <v>19</v>
      </c>
      <c r="E316" s="66" t="s">
        <v>28</v>
      </c>
      <c r="F316" s="6" t="s">
        <v>530</v>
      </c>
      <c r="G316" s="6" t="s">
        <v>34</v>
      </c>
      <c r="H316" s="7"/>
    </row>
    <row r="317" spans="2:8" ht="9.6" customHeight="1">
      <c r="B317" s="11">
        <f t="shared" si="22"/>
        <v>46146</v>
      </c>
      <c r="C317" s="6" t="s">
        <v>27</v>
      </c>
      <c r="D317" s="6" t="s">
        <v>42</v>
      </c>
      <c r="E317" s="66" t="s">
        <v>28</v>
      </c>
      <c r="F317" s="6" t="s">
        <v>531</v>
      </c>
      <c r="G317" s="6" t="s">
        <v>34</v>
      </c>
      <c r="H317" s="7"/>
    </row>
    <row r="318" spans="2:8" ht="9.6" customHeight="1">
      <c r="B318" s="11">
        <f t="shared" si="22"/>
        <v>46146</v>
      </c>
      <c r="C318" s="6" t="s">
        <v>27</v>
      </c>
      <c r="D318" s="6" t="s">
        <v>42</v>
      </c>
      <c r="E318" s="66" t="s">
        <v>28</v>
      </c>
      <c r="F318" s="6" t="s">
        <v>532</v>
      </c>
      <c r="G318" s="6" t="s">
        <v>34</v>
      </c>
      <c r="H318" s="7"/>
    </row>
    <row r="319" spans="2:8" ht="9.6" customHeight="1">
      <c r="B319" s="11">
        <f t="shared" si="22"/>
        <v>46146</v>
      </c>
      <c r="C319" s="6" t="s">
        <v>27</v>
      </c>
      <c r="D319" s="6" t="s">
        <v>15</v>
      </c>
      <c r="E319" s="66" t="s">
        <v>28</v>
      </c>
      <c r="F319" s="6" t="s">
        <v>533</v>
      </c>
      <c r="G319" s="6" t="s">
        <v>34</v>
      </c>
      <c r="H319" s="7"/>
    </row>
    <row r="320" spans="2:8" ht="9.6" customHeight="1">
      <c r="B320" s="11">
        <f t="shared" si="22"/>
        <v>46146</v>
      </c>
      <c r="C320" s="6" t="s">
        <v>27</v>
      </c>
      <c r="D320" s="6" t="s">
        <v>352</v>
      </c>
      <c r="E320" s="66" t="s">
        <v>28</v>
      </c>
      <c r="F320" s="6" t="s">
        <v>533</v>
      </c>
      <c r="G320" s="6" t="s">
        <v>34</v>
      </c>
      <c r="H320" s="7"/>
    </row>
    <row r="321" spans="2:8" ht="9.6" customHeight="1">
      <c r="B321" s="11">
        <f t="shared" si="22"/>
        <v>46146</v>
      </c>
      <c r="C321" s="6" t="s">
        <v>27</v>
      </c>
      <c r="D321" s="6" t="s">
        <v>15</v>
      </c>
      <c r="E321" s="66" t="s">
        <v>28</v>
      </c>
      <c r="F321" s="6" t="s">
        <v>534</v>
      </c>
      <c r="G321" s="6" t="s">
        <v>30</v>
      </c>
      <c r="H321" s="7"/>
    </row>
    <row r="322" spans="2:8" ht="9.6" customHeight="1">
      <c r="B322" s="11">
        <f t="shared" si="22"/>
        <v>46146</v>
      </c>
      <c r="C322" s="6" t="s">
        <v>176</v>
      </c>
      <c r="D322" s="6" t="s">
        <v>19</v>
      </c>
      <c r="E322" s="66" t="s">
        <v>28</v>
      </c>
      <c r="F322" s="6" t="s">
        <v>526</v>
      </c>
      <c r="G322" s="6" t="s">
        <v>30</v>
      </c>
      <c r="H322" s="7"/>
    </row>
    <row r="323" spans="2:8" ht="9.6" customHeight="1">
      <c r="B323" s="11">
        <f t="shared" si="22"/>
        <v>46146</v>
      </c>
      <c r="C323" s="6" t="s">
        <v>27</v>
      </c>
      <c r="D323" s="6" t="s">
        <v>44</v>
      </c>
      <c r="E323" s="66" t="s">
        <v>28</v>
      </c>
      <c r="F323" s="6" t="s">
        <v>526</v>
      </c>
      <c r="G323" s="6" t="s">
        <v>30</v>
      </c>
      <c r="H323" s="7"/>
    </row>
    <row r="324" spans="2:8" ht="9.6" customHeight="1">
      <c r="B324" s="11">
        <f t="shared" si="22"/>
        <v>46146</v>
      </c>
      <c r="C324" s="6" t="s">
        <v>83</v>
      </c>
      <c r="D324" s="6" t="s">
        <v>44</v>
      </c>
      <c r="E324" s="66" t="s">
        <v>28</v>
      </c>
      <c r="F324" s="6" t="s">
        <v>535</v>
      </c>
      <c r="G324" s="6" t="s">
        <v>70</v>
      </c>
      <c r="H324" s="7"/>
    </row>
    <row r="325" spans="2:8" ht="9.6" customHeight="1">
      <c r="B325" s="11">
        <f t="shared" si="22"/>
        <v>46146</v>
      </c>
      <c r="C325" s="6" t="s">
        <v>83</v>
      </c>
      <c r="D325" s="6" t="s">
        <v>213</v>
      </c>
      <c r="E325" s="66" t="s">
        <v>28</v>
      </c>
      <c r="F325" s="6" t="s">
        <v>536</v>
      </c>
      <c r="G325" s="6" t="s">
        <v>70</v>
      </c>
      <c r="H325" s="7"/>
    </row>
    <row r="326" spans="2:8" ht="9.6" customHeight="1">
      <c r="B326" s="11">
        <f t="shared" si="22"/>
        <v>46146</v>
      </c>
      <c r="C326" s="6" t="s">
        <v>83</v>
      </c>
      <c r="D326" s="6" t="s">
        <v>44</v>
      </c>
      <c r="E326" s="66" t="s">
        <v>28</v>
      </c>
      <c r="F326" s="6" t="s">
        <v>537</v>
      </c>
      <c r="G326" s="6" t="s">
        <v>70</v>
      </c>
      <c r="H326" s="7"/>
    </row>
    <row r="327" spans="2:8" ht="9.6" customHeight="1">
      <c r="B327" s="11">
        <f t="shared" si="22"/>
        <v>46146</v>
      </c>
      <c r="C327" s="6" t="s">
        <v>417</v>
      </c>
      <c r="D327" s="6" t="s">
        <v>538</v>
      </c>
      <c r="E327" s="66" t="s">
        <v>28</v>
      </c>
      <c r="F327" s="6" t="s">
        <v>539</v>
      </c>
      <c r="G327" s="6" t="s">
        <v>417</v>
      </c>
      <c r="H327" s="7"/>
    </row>
    <row r="328" spans="2:8" ht="9.6" customHeight="1">
      <c r="B328" s="11">
        <f t="shared" si="22"/>
        <v>46146</v>
      </c>
      <c r="C328" s="6" t="s">
        <v>383</v>
      </c>
      <c r="D328" s="6" t="s">
        <v>19</v>
      </c>
      <c r="E328" s="66" t="s">
        <v>11</v>
      </c>
      <c r="F328" s="6" t="s">
        <v>540</v>
      </c>
      <c r="G328" s="6" t="s">
        <v>51</v>
      </c>
      <c r="H328" s="7"/>
    </row>
    <row r="329" spans="2:8" ht="9.6" customHeight="1">
      <c r="B329" s="11">
        <f t="shared" si="22"/>
        <v>46146</v>
      </c>
      <c r="C329" s="6" t="s">
        <v>35</v>
      </c>
      <c r="D329" s="6" t="s">
        <v>456</v>
      </c>
      <c r="E329" s="66" t="s">
        <v>11</v>
      </c>
      <c r="F329" s="6" t="s">
        <v>541</v>
      </c>
      <c r="G329" s="6" t="s">
        <v>54</v>
      </c>
      <c r="H329" s="7"/>
    </row>
    <row r="330" spans="2:8" ht="9.6" customHeight="1">
      <c r="B330" s="11">
        <f t="shared" si="22"/>
        <v>46146</v>
      </c>
      <c r="C330" s="6" t="s">
        <v>35</v>
      </c>
      <c r="D330" s="6" t="s">
        <v>385</v>
      </c>
      <c r="E330" s="66" t="s">
        <v>11</v>
      </c>
      <c r="F330" s="6" t="s">
        <v>542</v>
      </c>
      <c r="G330" s="6" t="s">
        <v>21</v>
      </c>
      <c r="H330" s="7"/>
    </row>
    <row r="331" spans="2:8" ht="9.6" customHeight="1">
      <c r="B331" s="11">
        <f t="shared" si="22"/>
        <v>46146</v>
      </c>
      <c r="C331" s="6" t="s">
        <v>35</v>
      </c>
      <c r="D331" s="6" t="s">
        <v>19</v>
      </c>
      <c r="E331" s="66" t="s">
        <v>11</v>
      </c>
      <c r="F331" s="6" t="s">
        <v>20</v>
      </c>
      <c r="G331" s="6" t="s">
        <v>30</v>
      </c>
      <c r="H331" s="7"/>
    </row>
    <row r="332" spans="2:8" ht="9.6" customHeight="1">
      <c r="B332" s="5">
        <v>46147</v>
      </c>
      <c r="C332" s="6" t="s">
        <v>543</v>
      </c>
      <c r="D332" s="6" t="s">
        <v>544</v>
      </c>
      <c r="E332" s="66" t="s">
        <v>11</v>
      </c>
      <c r="F332" s="6" t="s">
        <v>545</v>
      </c>
      <c r="G332" s="6" t="s">
        <v>83</v>
      </c>
      <c r="H332" s="7"/>
    </row>
    <row r="333" spans="2:8" ht="9.6" customHeight="1">
      <c r="B333" s="11">
        <f>B332</f>
        <v>46147</v>
      </c>
      <c r="C333" s="6" t="s">
        <v>546</v>
      </c>
      <c r="D333" s="6" t="s">
        <v>42</v>
      </c>
      <c r="E333" s="66" t="s">
        <v>11</v>
      </c>
      <c r="F333" s="6" t="s">
        <v>547</v>
      </c>
      <c r="G333" s="6" t="s">
        <v>548</v>
      </c>
      <c r="H333" s="7"/>
    </row>
    <row r="334" spans="2:8" ht="9.6" customHeight="1">
      <c r="B334" s="11">
        <f>B333</f>
        <v>46147</v>
      </c>
      <c r="C334" s="6" t="s">
        <v>549</v>
      </c>
      <c r="D334" s="6" t="s">
        <v>76</v>
      </c>
      <c r="E334" s="66" t="s">
        <v>11</v>
      </c>
      <c r="F334" s="6" t="s">
        <v>550</v>
      </c>
      <c r="G334" s="6" t="s">
        <v>34</v>
      </c>
      <c r="H334" s="7"/>
    </row>
    <row r="335" spans="2:8" ht="9.6" customHeight="1">
      <c r="B335" s="11">
        <f>B334</f>
        <v>46147</v>
      </c>
      <c r="C335" s="6" t="s">
        <v>551</v>
      </c>
      <c r="D335" s="6" t="s">
        <v>552</v>
      </c>
      <c r="E335" s="66" t="s">
        <v>11</v>
      </c>
      <c r="F335" s="6" t="s">
        <v>553</v>
      </c>
      <c r="G335" s="6" t="s">
        <v>34</v>
      </c>
      <c r="H335" s="7"/>
    </row>
    <row r="336" spans="2:8" ht="9.6" customHeight="1">
      <c r="B336" s="5">
        <v>46148</v>
      </c>
      <c r="C336" s="12" t="s">
        <v>554</v>
      </c>
      <c r="D336" s="12" t="s">
        <v>76</v>
      </c>
      <c r="E336" s="66" t="s">
        <v>28</v>
      </c>
      <c r="F336" s="12" t="s">
        <v>555</v>
      </c>
      <c r="G336" s="12" t="s">
        <v>191</v>
      </c>
      <c r="H336" s="7"/>
    </row>
    <row r="337" spans="2:8" ht="9.6" customHeight="1">
      <c r="B337" s="11">
        <f t="shared" ref="B337:B347" si="23">B336</f>
        <v>46148</v>
      </c>
      <c r="C337" s="6" t="s">
        <v>90</v>
      </c>
      <c r="D337" s="6" t="s">
        <v>103</v>
      </c>
      <c r="E337" s="66" t="s">
        <v>28</v>
      </c>
      <c r="F337" s="6" t="s">
        <v>556</v>
      </c>
      <c r="G337" s="12" t="s">
        <v>191</v>
      </c>
      <c r="H337" s="7"/>
    </row>
    <row r="338" spans="2:8" ht="9.6" customHeight="1">
      <c r="B338" s="11">
        <f t="shared" si="23"/>
        <v>46148</v>
      </c>
      <c r="C338" s="6" t="s">
        <v>554</v>
      </c>
      <c r="D338" s="6" t="s">
        <v>202</v>
      </c>
      <c r="E338" s="66" t="s">
        <v>28</v>
      </c>
      <c r="F338" s="6" t="s">
        <v>557</v>
      </c>
      <c r="G338" s="6" t="s">
        <v>191</v>
      </c>
      <c r="H338" s="7"/>
    </row>
    <row r="339" spans="2:8" ht="9.6" customHeight="1">
      <c r="B339" s="11">
        <f t="shared" si="23"/>
        <v>46148</v>
      </c>
      <c r="C339" s="6" t="s">
        <v>554</v>
      </c>
      <c r="D339" s="6" t="s">
        <v>202</v>
      </c>
      <c r="E339" s="66" t="s">
        <v>28</v>
      </c>
      <c r="F339" s="6" t="s">
        <v>558</v>
      </c>
      <c r="G339" s="6" t="s">
        <v>191</v>
      </c>
      <c r="H339" s="7"/>
    </row>
    <row r="340" spans="2:8" ht="9.6" customHeight="1">
      <c r="B340" s="11">
        <f t="shared" si="23"/>
        <v>46148</v>
      </c>
      <c r="C340" s="6" t="s">
        <v>554</v>
      </c>
      <c r="D340" s="6" t="s">
        <v>42</v>
      </c>
      <c r="E340" s="66" t="s">
        <v>28</v>
      </c>
      <c r="F340" s="6" t="s">
        <v>559</v>
      </c>
      <c r="G340" s="6" t="s">
        <v>83</v>
      </c>
      <c r="H340" s="7"/>
    </row>
    <row r="341" spans="2:8" ht="9.6" customHeight="1">
      <c r="B341" s="11">
        <f t="shared" si="23"/>
        <v>46148</v>
      </c>
      <c r="C341" s="6" t="s">
        <v>554</v>
      </c>
      <c r="D341" s="6" t="s">
        <v>261</v>
      </c>
      <c r="E341" s="66" t="s">
        <v>28</v>
      </c>
      <c r="F341" s="6" t="s">
        <v>560</v>
      </c>
      <c r="G341" s="6" t="s">
        <v>191</v>
      </c>
      <c r="H341" s="7"/>
    </row>
    <row r="342" spans="2:8" ht="9.6" customHeight="1">
      <c r="B342" s="11">
        <f t="shared" si="23"/>
        <v>46148</v>
      </c>
      <c r="C342" s="6" t="s">
        <v>554</v>
      </c>
      <c r="D342" s="6" t="s">
        <v>23</v>
      </c>
      <c r="E342" s="66" t="s">
        <v>28</v>
      </c>
      <c r="F342" s="6" t="s">
        <v>560</v>
      </c>
      <c r="G342" s="6" t="s">
        <v>191</v>
      </c>
      <c r="H342" s="7"/>
    </row>
    <row r="343" spans="2:8" ht="9.6" customHeight="1">
      <c r="B343" s="11">
        <f t="shared" si="23"/>
        <v>46148</v>
      </c>
      <c r="C343" s="6" t="s">
        <v>554</v>
      </c>
      <c r="D343" s="6" t="s">
        <v>561</v>
      </c>
      <c r="E343" s="66" t="s">
        <v>28</v>
      </c>
      <c r="F343" s="6" t="s">
        <v>562</v>
      </c>
      <c r="G343" s="6" t="s">
        <v>34</v>
      </c>
      <c r="H343" s="7"/>
    </row>
    <row r="344" spans="2:8" ht="9.6" customHeight="1">
      <c r="B344" s="11">
        <f t="shared" si="23"/>
        <v>46148</v>
      </c>
      <c r="C344" s="6" t="s">
        <v>554</v>
      </c>
      <c r="D344" s="6" t="s">
        <v>563</v>
      </c>
      <c r="E344" s="66" t="s">
        <v>28</v>
      </c>
      <c r="F344" s="6" t="s">
        <v>564</v>
      </c>
      <c r="G344" s="6" t="s">
        <v>191</v>
      </c>
      <c r="H344" s="7"/>
    </row>
    <row r="345" spans="2:8" ht="9.6" customHeight="1">
      <c r="B345" s="11">
        <f t="shared" si="23"/>
        <v>46148</v>
      </c>
      <c r="C345" s="6" t="s">
        <v>554</v>
      </c>
      <c r="D345" s="6" t="s">
        <v>565</v>
      </c>
      <c r="E345" s="66" t="s">
        <v>28</v>
      </c>
      <c r="F345" s="6" t="s">
        <v>566</v>
      </c>
      <c r="G345" s="6" t="s">
        <v>191</v>
      </c>
      <c r="H345" s="7"/>
    </row>
    <row r="346" spans="2:8" ht="9.6" customHeight="1">
      <c r="B346" s="11">
        <f t="shared" si="23"/>
        <v>46148</v>
      </c>
      <c r="C346" s="6" t="s">
        <v>554</v>
      </c>
      <c r="D346" s="6" t="s">
        <v>261</v>
      </c>
      <c r="E346" s="66" t="s">
        <v>28</v>
      </c>
      <c r="F346" s="6" t="s">
        <v>567</v>
      </c>
      <c r="G346" s="6" t="s">
        <v>191</v>
      </c>
      <c r="H346" s="7"/>
    </row>
    <row r="347" spans="2:8" ht="9.6" customHeight="1">
      <c r="B347" s="11">
        <f t="shared" si="23"/>
        <v>46148</v>
      </c>
      <c r="C347" s="6"/>
      <c r="D347" s="6" t="s">
        <v>213</v>
      </c>
      <c r="E347" s="66" t="s">
        <v>28</v>
      </c>
      <c r="F347" s="6" t="s">
        <v>568</v>
      </c>
      <c r="G347" s="6" t="s">
        <v>191</v>
      </c>
      <c r="H347" s="7"/>
    </row>
    <row r="348" spans="2:8" ht="9.6" customHeight="1">
      <c r="B348" s="5">
        <v>46149</v>
      </c>
      <c r="C348" s="12" t="s">
        <v>569</v>
      </c>
      <c r="D348" s="12" t="s">
        <v>570</v>
      </c>
      <c r="E348" s="66" t="s">
        <v>28</v>
      </c>
      <c r="F348" s="12" t="s">
        <v>571</v>
      </c>
      <c r="G348" s="12" t="s">
        <v>187</v>
      </c>
      <c r="H348" s="7"/>
    </row>
    <row r="349" spans="2:8" ht="9.6" customHeight="1">
      <c r="B349" s="11">
        <f t="shared" ref="B349:B367" si="24">B348</f>
        <v>46149</v>
      </c>
      <c r="C349" s="12" t="s">
        <v>572</v>
      </c>
      <c r="D349" s="6" t="s">
        <v>573</v>
      </c>
      <c r="E349" s="66" t="s">
        <v>28</v>
      </c>
      <c r="F349" s="6" t="s">
        <v>574</v>
      </c>
      <c r="G349" s="12" t="s">
        <v>30</v>
      </c>
      <c r="H349" s="7"/>
    </row>
    <row r="350" spans="2:8" ht="9.6" customHeight="1">
      <c r="B350" s="11">
        <f t="shared" si="24"/>
        <v>46149</v>
      </c>
      <c r="C350" s="6" t="s">
        <v>35</v>
      </c>
      <c r="D350" s="6" t="s">
        <v>44</v>
      </c>
      <c r="E350" s="66" t="s">
        <v>28</v>
      </c>
      <c r="F350" s="6" t="s">
        <v>575</v>
      </c>
      <c r="G350" s="12" t="s">
        <v>70</v>
      </c>
      <c r="H350" s="7"/>
    </row>
    <row r="351" spans="2:8" ht="9.6" customHeight="1">
      <c r="B351" s="11">
        <f t="shared" si="24"/>
        <v>46149</v>
      </c>
      <c r="C351" s="6" t="s">
        <v>576</v>
      </c>
      <c r="D351" s="6" t="s">
        <v>570</v>
      </c>
      <c r="E351" s="66" t="s">
        <v>28</v>
      </c>
      <c r="F351" s="6" t="s">
        <v>577</v>
      </c>
      <c r="G351" s="12" t="s">
        <v>187</v>
      </c>
      <c r="H351" s="7"/>
    </row>
    <row r="352" spans="2:8" ht="9.6" customHeight="1">
      <c r="B352" s="11">
        <f t="shared" si="24"/>
        <v>46149</v>
      </c>
      <c r="C352" s="6" t="s">
        <v>176</v>
      </c>
      <c r="D352" s="6" t="s">
        <v>213</v>
      </c>
      <c r="E352" s="66" t="s">
        <v>28</v>
      </c>
      <c r="F352" s="6" t="s">
        <v>578</v>
      </c>
      <c r="G352" s="12" t="s">
        <v>30</v>
      </c>
      <c r="H352" s="7"/>
    </row>
    <row r="353" spans="2:8" ht="9.6" customHeight="1">
      <c r="B353" s="11">
        <f t="shared" si="24"/>
        <v>46149</v>
      </c>
      <c r="C353" s="6" t="s">
        <v>176</v>
      </c>
      <c r="D353" s="6" t="s">
        <v>579</v>
      </c>
      <c r="E353" s="66" t="s">
        <v>28</v>
      </c>
      <c r="F353" s="6" t="s">
        <v>580</v>
      </c>
      <c r="G353" s="12" t="s">
        <v>30</v>
      </c>
      <c r="H353" s="7"/>
    </row>
    <row r="354" spans="2:8" ht="9.6" customHeight="1">
      <c r="B354" s="11">
        <f t="shared" si="24"/>
        <v>46149</v>
      </c>
      <c r="C354" s="6" t="s">
        <v>581</v>
      </c>
      <c r="D354" s="6" t="s">
        <v>44</v>
      </c>
      <c r="E354" s="66" t="s">
        <v>28</v>
      </c>
      <c r="F354" s="6" t="s">
        <v>582</v>
      </c>
      <c r="G354" s="6" t="s">
        <v>21</v>
      </c>
      <c r="H354" s="7"/>
    </row>
    <row r="355" spans="2:8" ht="9.6" customHeight="1">
      <c r="B355" s="11">
        <f t="shared" si="24"/>
        <v>46149</v>
      </c>
      <c r="C355" s="6" t="s">
        <v>581</v>
      </c>
      <c r="D355" s="6" t="s">
        <v>15</v>
      </c>
      <c r="E355" s="66" t="s">
        <v>28</v>
      </c>
      <c r="F355" s="6" t="s">
        <v>582</v>
      </c>
      <c r="G355" s="6" t="s">
        <v>30</v>
      </c>
      <c r="H355" s="7"/>
    </row>
    <row r="356" spans="2:8" ht="9.6" customHeight="1">
      <c r="B356" s="11">
        <f t="shared" si="24"/>
        <v>46149</v>
      </c>
      <c r="C356" s="6" t="s">
        <v>176</v>
      </c>
      <c r="D356" s="6" t="s">
        <v>583</v>
      </c>
      <c r="E356" s="66" t="s">
        <v>28</v>
      </c>
      <c r="F356" s="6" t="s">
        <v>584</v>
      </c>
      <c r="G356" s="6" t="s">
        <v>21</v>
      </c>
      <c r="H356" s="7"/>
    </row>
    <row r="357" spans="2:8" ht="9.6" customHeight="1">
      <c r="B357" s="11">
        <f t="shared" si="24"/>
        <v>46149</v>
      </c>
      <c r="C357" s="6" t="s">
        <v>585</v>
      </c>
      <c r="D357" s="6" t="s">
        <v>94</v>
      </c>
      <c r="E357" s="66" t="s">
        <v>28</v>
      </c>
      <c r="F357" s="17" t="s">
        <v>586</v>
      </c>
      <c r="G357" s="6" t="s">
        <v>30</v>
      </c>
      <c r="H357" s="7"/>
    </row>
    <row r="358" spans="2:8" ht="9.6" customHeight="1">
      <c r="B358" s="11">
        <f t="shared" si="24"/>
        <v>46149</v>
      </c>
      <c r="C358" s="6" t="s">
        <v>176</v>
      </c>
      <c r="D358" s="6" t="s">
        <v>94</v>
      </c>
      <c r="E358" s="66" t="s">
        <v>28</v>
      </c>
      <c r="F358" s="17" t="s">
        <v>587</v>
      </c>
      <c r="G358" s="6" t="s">
        <v>30</v>
      </c>
      <c r="H358" s="7"/>
    </row>
    <row r="359" spans="2:8" ht="9.6" customHeight="1">
      <c r="B359" s="11">
        <f t="shared" si="24"/>
        <v>46149</v>
      </c>
      <c r="C359" s="6" t="s">
        <v>176</v>
      </c>
      <c r="D359" s="6" t="s">
        <v>588</v>
      </c>
      <c r="E359" s="66" t="s">
        <v>28</v>
      </c>
      <c r="F359" s="17" t="s">
        <v>589</v>
      </c>
      <c r="G359" s="6" t="s">
        <v>30</v>
      </c>
      <c r="H359" s="7"/>
    </row>
    <row r="360" spans="2:8" ht="9.6" customHeight="1">
      <c r="B360" s="11">
        <f t="shared" si="24"/>
        <v>46149</v>
      </c>
      <c r="C360" s="6" t="s">
        <v>176</v>
      </c>
      <c r="D360" s="6" t="s">
        <v>42</v>
      </c>
      <c r="E360" s="66" t="s">
        <v>28</v>
      </c>
      <c r="F360" s="17" t="s">
        <v>590</v>
      </c>
      <c r="G360" s="6" t="s">
        <v>30</v>
      </c>
      <c r="H360" s="7"/>
    </row>
    <row r="361" spans="2:8" ht="9.6" customHeight="1">
      <c r="B361" s="11">
        <f t="shared" si="24"/>
        <v>46149</v>
      </c>
      <c r="C361" s="6" t="s">
        <v>176</v>
      </c>
      <c r="D361" s="6" t="s">
        <v>103</v>
      </c>
      <c r="E361" s="66" t="s">
        <v>28</v>
      </c>
      <c r="F361" s="17" t="s">
        <v>591</v>
      </c>
      <c r="G361" s="6" t="s">
        <v>30</v>
      </c>
      <c r="H361" s="7"/>
    </row>
    <row r="362" spans="2:8" ht="9.6" customHeight="1">
      <c r="B362" s="11">
        <f t="shared" si="24"/>
        <v>46149</v>
      </c>
      <c r="C362" s="6" t="s">
        <v>176</v>
      </c>
      <c r="D362" s="6" t="s">
        <v>592</v>
      </c>
      <c r="E362" s="66" t="s">
        <v>28</v>
      </c>
      <c r="F362" s="17" t="s">
        <v>593</v>
      </c>
      <c r="G362" s="6" t="s">
        <v>594</v>
      </c>
      <c r="H362" s="7"/>
    </row>
    <row r="363" spans="2:8" ht="9.6" customHeight="1">
      <c r="B363" s="11">
        <f t="shared" si="24"/>
        <v>46149</v>
      </c>
      <c r="C363" s="6" t="s">
        <v>595</v>
      </c>
      <c r="D363" s="6" t="s">
        <v>596</v>
      </c>
      <c r="E363" s="66" t="s">
        <v>28</v>
      </c>
      <c r="F363" s="17" t="s">
        <v>597</v>
      </c>
      <c r="G363" s="6" t="s">
        <v>30</v>
      </c>
      <c r="H363" s="7"/>
    </row>
    <row r="364" spans="2:8" ht="9.6" customHeight="1">
      <c r="B364" s="11">
        <f t="shared" si="24"/>
        <v>46149</v>
      </c>
      <c r="C364" s="6" t="s">
        <v>598</v>
      </c>
      <c r="D364" s="6" t="s">
        <v>570</v>
      </c>
      <c r="E364" s="66" t="s">
        <v>28</v>
      </c>
      <c r="F364" s="17" t="s">
        <v>599</v>
      </c>
      <c r="G364" s="6" t="s">
        <v>187</v>
      </c>
      <c r="H364" s="7"/>
    </row>
    <row r="365" spans="2:8" ht="9.6" customHeight="1">
      <c r="B365" s="11">
        <f t="shared" si="24"/>
        <v>46149</v>
      </c>
      <c r="C365" s="6" t="s">
        <v>176</v>
      </c>
      <c r="D365" s="6" t="s">
        <v>42</v>
      </c>
      <c r="E365" s="66" t="s">
        <v>28</v>
      </c>
      <c r="F365" s="17" t="s">
        <v>600</v>
      </c>
      <c r="G365" s="6" t="s">
        <v>187</v>
      </c>
      <c r="H365" s="7"/>
    </row>
    <row r="366" spans="2:8" ht="9.6" customHeight="1">
      <c r="B366" s="11">
        <f t="shared" si="24"/>
        <v>46149</v>
      </c>
      <c r="C366" s="6" t="s">
        <v>601</v>
      </c>
      <c r="D366" s="6" t="s">
        <v>19</v>
      </c>
      <c r="E366" s="66" t="s">
        <v>11</v>
      </c>
      <c r="F366" s="6" t="s">
        <v>602</v>
      </c>
      <c r="G366" s="6" t="s">
        <v>187</v>
      </c>
      <c r="H366" s="7"/>
    </row>
    <row r="367" spans="2:8" ht="9.6" customHeight="1">
      <c r="B367" s="11">
        <f t="shared" si="24"/>
        <v>46149</v>
      </c>
      <c r="C367" s="6" t="s">
        <v>603</v>
      </c>
      <c r="D367" s="6" t="s">
        <v>19</v>
      </c>
      <c r="E367" s="66" t="s">
        <v>11</v>
      </c>
      <c r="F367" s="6" t="s">
        <v>604</v>
      </c>
      <c r="G367" s="6" t="s">
        <v>187</v>
      </c>
      <c r="H367" s="7"/>
    </row>
    <row r="368" spans="2:8" ht="9.6" customHeight="1">
      <c r="B368" s="5">
        <v>46150</v>
      </c>
      <c r="C368" s="12" t="s">
        <v>605</v>
      </c>
      <c r="D368" s="12" t="s">
        <v>42</v>
      </c>
      <c r="E368" s="66" t="s">
        <v>28</v>
      </c>
      <c r="F368" s="12" t="s">
        <v>606</v>
      </c>
      <c r="G368" s="12" t="s">
        <v>34</v>
      </c>
      <c r="H368" s="7"/>
    </row>
    <row r="369" spans="2:8" ht="9.6" customHeight="1">
      <c r="B369" s="11">
        <f t="shared" ref="B369:B382" si="25">B368</f>
        <v>46150</v>
      </c>
      <c r="C369" s="12" t="s">
        <v>607</v>
      </c>
      <c r="D369" s="6" t="s">
        <v>44</v>
      </c>
      <c r="E369" s="66" t="s">
        <v>28</v>
      </c>
      <c r="F369" s="6" t="s">
        <v>608</v>
      </c>
      <c r="G369" s="6" t="s">
        <v>70</v>
      </c>
      <c r="H369" s="7"/>
    </row>
    <row r="370" spans="2:8" ht="9.6" customHeight="1">
      <c r="B370" s="11">
        <f t="shared" si="25"/>
        <v>46150</v>
      </c>
      <c r="C370" s="12" t="s">
        <v>176</v>
      </c>
      <c r="D370" s="6" t="s">
        <v>213</v>
      </c>
      <c r="E370" s="66" t="s">
        <v>28</v>
      </c>
      <c r="F370" s="6" t="s">
        <v>609</v>
      </c>
      <c r="G370" s="6" t="s">
        <v>428</v>
      </c>
      <c r="H370" s="7"/>
    </row>
    <row r="371" spans="2:8" ht="9.6" customHeight="1">
      <c r="B371" s="11">
        <f t="shared" si="25"/>
        <v>46150</v>
      </c>
      <c r="C371" s="12" t="s">
        <v>176</v>
      </c>
      <c r="D371" s="6" t="s">
        <v>44</v>
      </c>
      <c r="E371" s="66" t="s">
        <v>28</v>
      </c>
      <c r="F371" s="6" t="s">
        <v>610</v>
      </c>
      <c r="G371" s="6" t="s">
        <v>30</v>
      </c>
      <c r="H371" s="7"/>
    </row>
    <row r="372" spans="2:8" ht="9.6" customHeight="1">
      <c r="B372" s="11">
        <f t="shared" si="25"/>
        <v>46150</v>
      </c>
      <c r="C372" s="12" t="s">
        <v>611</v>
      </c>
      <c r="D372" s="6" t="s">
        <v>612</v>
      </c>
      <c r="E372" s="66" t="s">
        <v>28</v>
      </c>
      <c r="F372" s="6" t="s">
        <v>613</v>
      </c>
      <c r="G372" s="6" t="s">
        <v>34</v>
      </c>
      <c r="H372" s="7"/>
    </row>
    <row r="373" spans="2:8" ht="9.6" customHeight="1">
      <c r="B373" s="11">
        <f t="shared" si="25"/>
        <v>46150</v>
      </c>
      <c r="C373" s="12" t="s">
        <v>614</v>
      </c>
      <c r="D373" s="6" t="s">
        <v>103</v>
      </c>
      <c r="E373" s="66" t="s">
        <v>28</v>
      </c>
      <c r="F373" s="6" t="s">
        <v>615</v>
      </c>
      <c r="G373" s="6" t="s">
        <v>34</v>
      </c>
      <c r="H373" s="7"/>
    </row>
    <row r="374" spans="2:8" ht="9.6" customHeight="1">
      <c r="B374" s="11">
        <f t="shared" si="25"/>
        <v>46150</v>
      </c>
      <c r="C374" s="12" t="s">
        <v>176</v>
      </c>
      <c r="D374" s="6" t="s">
        <v>44</v>
      </c>
      <c r="E374" s="66" t="s">
        <v>28</v>
      </c>
      <c r="F374" s="17" t="s">
        <v>616</v>
      </c>
      <c r="G374" s="6" t="s">
        <v>371</v>
      </c>
      <c r="H374" s="7"/>
    </row>
    <row r="375" spans="2:8" ht="9.6" customHeight="1">
      <c r="B375" s="11">
        <f t="shared" si="25"/>
        <v>46150</v>
      </c>
      <c r="C375" s="6" t="s">
        <v>617</v>
      </c>
      <c r="D375" s="6" t="s">
        <v>10</v>
      </c>
      <c r="E375" s="66" t="s">
        <v>28</v>
      </c>
      <c r="F375" s="17" t="s">
        <v>618</v>
      </c>
      <c r="G375" s="6" t="s">
        <v>30</v>
      </c>
      <c r="H375" s="7"/>
    </row>
    <row r="376" spans="2:8" ht="9.6" customHeight="1">
      <c r="B376" s="11">
        <f t="shared" si="25"/>
        <v>46150</v>
      </c>
      <c r="C376" s="6" t="s">
        <v>619</v>
      </c>
      <c r="D376" s="6" t="s">
        <v>81</v>
      </c>
      <c r="E376" s="66" t="s">
        <v>28</v>
      </c>
      <c r="F376" s="17" t="s">
        <v>620</v>
      </c>
      <c r="G376" s="6" t="s">
        <v>30</v>
      </c>
      <c r="H376" s="7"/>
    </row>
    <row r="377" spans="2:8" ht="9.6" customHeight="1">
      <c r="B377" s="11">
        <f t="shared" si="25"/>
        <v>46150</v>
      </c>
      <c r="C377" s="6" t="s">
        <v>621</v>
      </c>
      <c r="D377" s="6" t="s">
        <v>622</v>
      </c>
      <c r="E377" s="66" t="s">
        <v>28</v>
      </c>
      <c r="F377" s="6" t="s">
        <v>623</v>
      </c>
      <c r="G377" s="6" t="s">
        <v>30</v>
      </c>
      <c r="H377" s="7"/>
    </row>
    <row r="378" spans="2:8" ht="9.6" customHeight="1">
      <c r="B378" s="11">
        <f t="shared" si="25"/>
        <v>46150</v>
      </c>
      <c r="C378" s="6" t="s">
        <v>176</v>
      </c>
      <c r="D378" s="6"/>
      <c r="E378" s="66" t="s">
        <v>28</v>
      </c>
      <c r="F378" s="6" t="s">
        <v>624</v>
      </c>
      <c r="G378" s="6" t="s">
        <v>30</v>
      </c>
      <c r="H378" s="7"/>
    </row>
    <row r="379" spans="2:8" ht="9.6" customHeight="1">
      <c r="B379" s="11">
        <f t="shared" si="25"/>
        <v>46150</v>
      </c>
      <c r="C379" s="6" t="s">
        <v>35</v>
      </c>
      <c r="D379" s="6" t="s">
        <v>23</v>
      </c>
      <c r="E379" s="66" t="s">
        <v>11</v>
      </c>
      <c r="F379" s="6" t="s">
        <v>625</v>
      </c>
      <c r="G379" s="6" t="s">
        <v>626</v>
      </c>
      <c r="H379" s="7"/>
    </row>
    <row r="380" spans="2:8" ht="9.6" customHeight="1">
      <c r="B380" s="11">
        <f t="shared" si="25"/>
        <v>46150</v>
      </c>
      <c r="C380" s="6" t="s">
        <v>35</v>
      </c>
      <c r="D380" s="6" t="s">
        <v>19</v>
      </c>
      <c r="E380" s="66" t="s">
        <v>11</v>
      </c>
      <c r="F380" s="6" t="s">
        <v>627</v>
      </c>
      <c r="G380" s="6" t="s">
        <v>30</v>
      </c>
      <c r="H380" s="7"/>
    </row>
    <row r="381" spans="2:8" ht="9.6" customHeight="1">
      <c r="B381" s="11">
        <f t="shared" si="25"/>
        <v>46150</v>
      </c>
      <c r="C381" s="6" t="s">
        <v>628</v>
      </c>
      <c r="D381" s="6" t="s">
        <v>19</v>
      </c>
      <c r="E381" s="66" t="s">
        <v>11</v>
      </c>
      <c r="F381" s="6" t="s">
        <v>629</v>
      </c>
      <c r="G381" s="6" t="s">
        <v>51</v>
      </c>
      <c r="H381" s="7"/>
    </row>
    <row r="382" spans="2:8" ht="9.6" customHeight="1">
      <c r="B382" s="11">
        <f t="shared" si="25"/>
        <v>46150</v>
      </c>
      <c r="C382" s="6" t="s">
        <v>630</v>
      </c>
      <c r="D382" s="6" t="s">
        <v>19</v>
      </c>
      <c r="E382" s="66" t="s">
        <v>11</v>
      </c>
      <c r="F382" s="6" t="s">
        <v>631</v>
      </c>
      <c r="G382" s="6" t="s">
        <v>51</v>
      </c>
      <c r="H382" s="7"/>
    </row>
    <row r="383" spans="2:8" ht="9.6" customHeight="1">
      <c r="B383" s="5">
        <v>46151</v>
      </c>
      <c r="C383" s="12" t="s">
        <v>632</v>
      </c>
      <c r="D383" s="12" t="s">
        <v>633</v>
      </c>
      <c r="E383" s="66" t="s">
        <v>11</v>
      </c>
      <c r="F383" s="12" t="s">
        <v>634</v>
      </c>
      <c r="G383" s="12" t="s">
        <v>51</v>
      </c>
      <c r="H383" s="7"/>
    </row>
    <row r="384" spans="2:8" ht="9.6" customHeight="1">
      <c r="B384" s="11">
        <f t="shared" ref="B384:B391" si="26">B383</f>
        <v>46151</v>
      </c>
      <c r="C384" s="6" t="s">
        <v>635</v>
      </c>
      <c r="D384" s="6" t="s">
        <v>636</v>
      </c>
      <c r="E384" s="66" t="s">
        <v>11</v>
      </c>
      <c r="F384" s="6" t="s">
        <v>637</v>
      </c>
      <c r="G384" s="6" t="s">
        <v>51</v>
      </c>
      <c r="H384" s="7"/>
    </row>
    <row r="385" spans="2:8" ht="9.6" customHeight="1">
      <c r="B385" s="11">
        <f t="shared" si="26"/>
        <v>46151</v>
      </c>
      <c r="C385" s="6" t="s">
        <v>176</v>
      </c>
      <c r="D385" s="6" t="s">
        <v>44</v>
      </c>
      <c r="E385" s="66" t="s">
        <v>28</v>
      </c>
      <c r="F385" s="6" t="s">
        <v>638</v>
      </c>
      <c r="G385" s="6" t="s">
        <v>191</v>
      </c>
      <c r="H385" s="7"/>
    </row>
    <row r="386" spans="2:8" ht="9.6" customHeight="1">
      <c r="B386" s="11">
        <f t="shared" si="26"/>
        <v>46151</v>
      </c>
      <c r="C386" s="6" t="s">
        <v>83</v>
      </c>
      <c r="D386" s="6" t="s">
        <v>23</v>
      </c>
      <c r="E386" s="66" t="s">
        <v>28</v>
      </c>
      <c r="F386" s="6" t="s">
        <v>639</v>
      </c>
      <c r="G386" s="6" t="s">
        <v>51</v>
      </c>
      <c r="H386" s="7"/>
    </row>
    <row r="387" spans="2:8" ht="9.6" customHeight="1">
      <c r="B387" s="11">
        <f t="shared" si="26"/>
        <v>46151</v>
      </c>
      <c r="C387" s="6" t="s">
        <v>176</v>
      </c>
      <c r="D387" s="6" t="s">
        <v>23</v>
      </c>
      <c r="E387" s="66" t="s">
        <v>28</v>
      </c>
      <c r="F387" s="6" t="s">
        <v>640</v>
      </c>
      <c r="G387" s="6" t="s">
        <v>191</v>
      </c>
      <c r="H387" s="7"/>
    </row>
    <row r="388" spans="2:8" ht="9.6" customHeight="1">
      <c r="B388" s="11">
        <f t="shared" si="26"/>
        <v>46151</v>
      </c>
      <c r="C388" s="6" t="s">
        <v>176</v>
      </c>
      <c r="D388" s="6" t="s">
        <v>42</v>
      </c>
      <c r="E388" s="66" t="s">
        <v>28</v>
      </c>
      <c r="F388" s="6" t="s">
        <v>641</v>
      </c>
      <c r="G388" s="6" t="s">
        <v>191</v>
      </c>
      <c r="H388" s="7"/>
    </row>
    <row r="389" spans="2:8" ht="9.6" customHeight="1">
      <c r="B389" s="11">
        <f t="shared" si="26"/>
        <v>46151</v>
      </c>
      <c r="C389" s="6" t="s">
        <v>176</v>
      </c>
      <c r="D389" s="6" t="s">
        <v>42</v>
      </c>
      <c r="E389" s="66" t="s">
        <v>28</v>
      </c>
      <c r="F389" s="6" t="s">
        <v>642</v>
      </c>
      <c r="G389" s="6" t="s">
        <v>191</v>
      </c>
      <c r="H389" s="7"/>
    </row>
    <row r="390" spans="2:8" ht="9.6" customHeight="1">
      <c r="B390" s="11">
        <f t="shared" si="26"/>
        <v>46151</v>
      </c>
      <c r="C390" s="6" t="s">
        <v>83</v>
      </c>
      <c r="D390" s="6" t="s">
        <v>23</v>
      </c>
      <c r="E390" s="66" t="s">
        <v>28</v>
      </c>
      <c r="F390" s="6" t="s">
        <v>643</v>
      </c>
      <c r="G390" s="6" t="s">
        <v>51</v>
      </c>
      <c r="H390" s="7"/>
    </row>
    <row r="391" spans="2:8" ht="9.6" customHeight="1">
      <c r="B391" s="11">
        <f t="shared" si="26"/>
        <v>46151</v>
      </c>
      <c r="C391" s="6" t="s">
        <v>644</v>
      </c>
      <c r="D391" s="6" t="s">
        <v>23</v>
      </c>
      <c r="E391" s="66" t="s">
        <v>28</v>
      </c>
      <c r="F391" s="6" t="s">
        <v>645</v>
      </c>
      <c r="G391" s="6" t="s">
        <v>191</v>
      </c>
      <c r="H391" s="7"/>
    </row>
    <row r="392" spans="2:8" ht="9.6" customHeight="1">
      <c r="B392" s="5">
        <v>46152</v>
      </c>
      <c r="C392" s="12" t="s">
        <v>34</v>
      </c>
      <c r="D392" s="12" t="s">
        <v>646</v>
      </c>
      <c r="E392" s="66" t="s">
        <v>11</v>
      </c>
      <c r="F392" s="12" t="s">
        <v>647</v>
      </c>
      <c r="G392" s="12" t="s">
        <v>648</v>
      </c>
      <c r="H392" s="7"/>
    </row>
    <row r="393" spans="2:8" ht="9.6" customHeight="1">
      <c r="B393" s="11">
        <f t="shared" ref="B393:B412" si="27">B392</f>
        <v>46152</v>
      </c>
      <c r="C393" s="12" t="s">
        <v>649</v>
      </c>
      <c r="D393" s="12" t="s">
        <v>650</v>
      </c>
      <c r="E393" s="66" t="s">
        <v>11</v>
      </c>
      <c r="F393" s="12" t="s">
        <v>651</v>
      </c>
      <c r="G393" s="12" t="s">
        <v>34</v>
      </c>
      <c r="H393" s="7"/>
    </row>
    <row r="394" spans="2:8" ht="9.6" customHeight="1">
      <c r="B394" s="11">
        <f t="shared" si="27"/>
        <v>46152</v>
      </c>
      <c r="C394" s="6" t="s">
        <v>652</v>
      </c>
      <c r="D394" s="6" t="s">
        <v>23</v>
      </c>
      <c r="E394" s="66" t="s">
        <v>11</v>
      </c>
      <c r="F394" s="6" t="s">
        <v>653</v>
      </c>
      <c r="G394" s="6" t="s">
        <v>294</v>
      </c>
      <c r="H394" s="7"/>
    </row>
    <row r="395" spans="2:8" ht="9.6" customHeight="1">
      <c r="B395" s="11">
        <f t="shared" si="27"/>
        <v>46152</v>
      </c>
      <c r="C395" s="6" t="s">
        <v>258</v>
      </c>
      <c r="D395" s="6" t="s">
        <v>15</v>
      </c>
      <c r="E395" s="66" t="s">
        <v>28</v>
      </c>
      <c r="F395" s="6" t="s">
        <v>654</v>
      </c>
      <c r="G395" s="6" t="s">
        <v>30</v>
      </c>
      <c r="H395" s="7"/>
    </row>
    <row r="396" spans="2:8" ht="9.6" customHeight="1">
      <c r="B396" s="11">
        <f t="shared" si="27"/>
        <v>46152</v>
      </c>
      <c r="C396" s="6" t="s">
        <v>176</v>
      </c>
      <c r="D396" s="6" t="s">
        <v>81</v>
      </c>
      <c r="E396" s="66" t="s">
        <v>28</v>
      </c>
      <c r="F396" s="6" t="s">
        <v>655</v>
      </c>
      <c r="G396" s="6" t="s">
        <v>21</v>
      </c>
      <c r="H396" s="7"/>
    </row>
    <row r="397" spans="2:8" ht="9.6" customHeight="1">
      <c r="B397" s="11">
        <f t="shared" si="27"/>
        <v>46152</v>
      </c>
      <c r="C397" s="6" t="s">
        <v>656</v>
      </c>
      <c r="D397" s="6" t="s">
        <v>85</v>
      </c>
      <c r="E397" s="66" t="s">
        <v>28</v>
      </c>
      <c r="F397" s="17" t="s">
        <v>657</v>
      </c>
      <c r="G397" s="6" t="s">
        <v>21</v>
      </c>
      <c r="H397" s="7"/>
    </row>
    <row r="398" spans="2:8" ht="9.6" customHeight="1">
      <c r="B398" s="11">
        <f t="shared" si="27"/>
        <v>46152</v>
      </c>
      <c r="C398" s="6" t="s">
        <v>35</v>
      </c>
      <c r="D398" s="6" t="s">
        <v>385</v>
      </c>
      <c r="E398" s="66" t="s">
        <v>28</v>
      </c>
      <c r="F398" s="6" t="s">
        <v>610</v>
      </c>
      <c r="G398" s="6" t="s">
        <v>70</v>
      </c>
      <c r="H398" s="7"/>
    </row>
    <row r="399" spans="2:8" ht="9.6" customHeight="1">
      <c r="B399" s="11">
        <f t="shared" si="27"/>
        <v>46152</v>
      </c>
      <c r="C399" s="6" t="s">
        <v>658</v>
      </c>
      <c r="D399" s="6" t="s">
        <v>62</v>
      </c>
      <c r="E399" s="66" t="s">
        <v>28</v>
      </c>
      <c r="F399" s="6" t="s">
        <v>659</v>
      </c>
      <c r="G399" s="6" t="s">
        <v>21</v>
      </c>
      <c r="H399" s="7"/>
    </row>
    <row r="400" spans="2:8" ht="9.6" customHeight="1">
      <c r="B400" s="11">
        <f t="shared" si="27"/>
        <v>46152</v>
      </c>
      <c r="C400" s="6" t="s">
        <v>660</v>
      </c>
      <c r="D400" s="6" t="s">
        <v>153</v>
      </c>
      <c r="E400" s="66" t="s">
        <v>28</v>
      </c>
      <c r="F400" s="6" t="s">
        <v>661</v>
      </c>
      <c r="G400" s="6" t="s">
        <v>662</v>
      </c>
      <c r="H400" s="7"/>
    </row>
    <row r="401" spans="2:8" ht="9.6" customHeight="1">
      <c r="B401" s="11">
        <f t="shared" si="27"/>
        <v>46152</v>
      </c>
      <c r="C401" s="6" t="s">
        <v>663</v>
      </c>
      <c r="D401" s="6" t="s">
        <v>42</v>
      </c>
      <c r="E401" s="66" t="s">
        <v>28</v>
      </c>
      <c r="F401" s="6" t="s">
        <v>664</v>
      </c>
      <c r="G401" s="6" t="s">
        <v>34</v>
      </c>
      <c r="H401" s="7"/>
    </row>
    <row r="402" spans="2:8" ht="9.6" customHeight="1">
      <c r="B402" s="11">
        <f t="shared" si="27"/>
        <v>46152</v>
      </c>
      <c r="C402" s="6" t="s">
        <v>665</v>
      </c>
      <c r="D402" s="6" t="s">
        <v>213</v>
      </c>
      <c r="E402" s="66" t="s">
        <v>28</v>
      </c>
      <c r="F402" s="6" t="s">
        <v>666</v>
      </c>
      <c r="G402" s="6" t="s">
        <v>34</v>
      </c>
      <c r="H402" s="7"/>
    </row>
    <row r="403" spans="2:8" ht="9.6" customHeight="1">
      <c r="B403" s="11">
        <f t="shared" si="27"/>
        <v>46152</v>
      </c>
      <c r="C403" s="6" t="s">
        <v>667</v>
      </c>
      <c r="D403" s="6" t="s">
        <v>261</v>
      </c>
      <c r="E403" s="66" t="s">
        <v>28</v>
      </c>
      <c r="F403" s="6" t="s">
        <v>668</v>
      </c>
      <c r="G403" s="6" t="s">
        <v>187</v>
      </c>
      <c r="H403" s="7"/>
    </row>
    <row r="404" spans="2:8" ht="9.6" customHeight="1">
      <c r="B404" s="11">
        <f t="shared" si="27"/>
        <v>46152</v>
      </c>
      <c r="C404" s="6" t="s">
        <v>35</v>
      </c>
      <c r="D404" s="6" t="s">
        <v>42</v>
      </c>
      <c r="E404" s="66" t="s">
        <v>28</v>
      </c>
      <c r="F404" s="6" t="s">
        <v>578</v>
      </c>
      <c r="G404" s="6" t="s">
        <v>30</v>
      </c>
      <c r="H404" s="7"/>
    </row>
    <row r="405" spans="2:8" ht="9.6" customHeight="1">
      <c r="B405" s="11">
        <f t="shared" si="27"/>
        <v>46152</v>
      </c>
      <c r="C405" s="6" t="s">
        <v>660</v>
      </c>
      <c r="D405" s="6" t="s">
        <v>42</v>
      </c>
      <c r="E405" s="66" t="s">
        <v>28</v>
      </c>
      <c r="F405" s="17" t="s">
        <v>669</v>
      </c>
      <c r="G405" s="6" t="s">
        <v>83</v>
      </c>
      <c r="H405" s="7"/>
    </row>
    <row r="406" spans="2:8" ht="9.6" customHeight="1">
      <c r="B406" s="11">
        <f t="shared" si="27"/>
        <v>46152</v>
      </c>
      <c r="C406" s="6" t="s">
        <v>35</v>
      </c>
      <c r="D406" s="6" t="s">
        <v>42</v>
      </c>
      <c r="E406" s="66" t="s">
        <v>28</v>
      </c>
      <c r="F406" s="17" t="s">
        <v>670</v>
      </c>
      <c r="G406" s="6" t="s">
        <v>30</v>
      </c>
      <c r="H406" s="7"/>
    </row>
    <row r="407" spans="2:8" ht="9.6" customHeight="1">
      <c r="B407" s="11">
        <f t="shared" si="27"/>
        <v>46152</v>
      </c>
      <c r="C407" s="6" t="s">
        <v>671</v>
      </c>
      <c r="D407" s="6" t="s">
        <v>213</v>
      </c>
      <c r="E407" s="66" t="s">
        <v>28</v>
      </c>
      <c r="F407" s="17" t="s">
        <v>672</v>
      </c>
      <c r="G407" s="6" t="s">
        <v>83</v>
      </c>
      <c r="H407" s="7"/>
    </row>
    <row r="408" spans="2:8" ht="9.6" customHeight="1">
      <c r="B408" s="11">
        <f t="shared" si="27"/>
        <v>46152</v>
      </c>
      <c r="C408" s="6" t="s">
        <v>35</v>
      </c>
      <c r="D408" s="6" t="s">
        <v>385</v>
      </c>
      <c r="E408" s="66" t="s">
        <v>28</v>
      </c>
      <c r="F408" s="6" t="s">
        <v>673</v>
      </c>
      <c r="G408" s="6" t="s">
        <v>496</v>
      </c>
      <c r="H408" s="7"/>
    </row>
    <row r="409" spans="2:8" ht="9.6" customHeight="1">
      <c r="B409" s="11">
        <f t="shared" si="27"/>
        <v>46152</v>
      </c>
      <c r="C409" s="6" t="s">
        <v>674</v>
      </c>
      <c r="D409" s="6" t="s">
        <v>42</v>
      </c>
      <c r="E409" s="66" t="s">
        <v>11</v>
      </c>
      <c r="F409" s="6" t="s">
        <v>675</v>
      </c>
      <c r="G409" s="6" t="s">
        <v>83</v>
      </c>
      <c r="H409" s="7"/>
    </row>
    <row r="410" spans="2:8" ht="9.6" customHeight="1">
      <c r="B410" s="11">
        <f t="shared" si="27"/>
        <v>46152</v>
      </c>
      <c r="C410" s="6" t="s">
        <v>676</v>
      </c>
      <c r="D410" s="6" t="s">
        <v>23</v>
      </c>
      <c r="E410" s="66" t="s">
        <v>11</v>
      </c>
      <c r="F410" s="6" t="s">
        <v>677</v>
      </c>
      <c r="G410" s="6" t="s">
        <v>34</v>
      </c>
      <c r="H410" s="7"/>
    </row>
    <row r="411" spans="2:8" ht="9.6" customHeight="1">
      <c r="B411" s="11">
        <f t="shared" si="27"/>
        <v>46152</v>
      </c>
      <c r="C411" s="6" t="s">
        <v>678</v>
      </c>
      <c r="D411" s="6" t="s">
        <v>385</v>
      </c>
      <c r="E411" s="66" t="s">
        <v>11</v>
      </c>
      <c r="F411" s="17" t="s">
        <v>679</v>
      </c>
      <c r="G411" s="6" t="s">
        <v>678</v>
      </c>
      <c r="H411" s="7"/>
    </row>
    <row r="412" spans="2:8" ht="9.6" customHeight="1">
      <c r="B412" s="11">
        <f t="shared" si="27"/>
        <v>46152</v>
      </c>
      <c r="C412" s="6" t="s">
        <v>680</v>
      </c>
      <c r="D412" s="6" t="s">
        <v>681</v>
      </c>
      <c r="E412" s="66" t="s">
        <v>11</v>
      </c>
      <c r="F412" s="6" t="s">
        <v>682</v>
      </c>
      <c r="G412" s="6" t="s">
        <v>683</v>
      </c>
      <c r="H412" s="7"/>
    </row>
    <row r="413" spans="2:8" ht="9.6" customHeight="1">
      <c r="B413" s="5">
        <v>46153</v>
      </c>
      <c r="C413" s="12" t="s">
        <v>684</v>
      </c>
      <c r="D413" s="12" t="s">
        <v>42</v>
      </c>
      <c r="E413" s="66" t="s">
        <v>11</v>
      </c>
      <c r="F413" s="12" t="s">
        <v>685</v>
      </c>
      <c r="G413" s="12" t="s">
        <v>34</v>
      </c>
      <c r="H413" s="7"/>
    </row>
    <row r="414" spans="2:8" ht="9.6" customHeight="1">
      <c r="B414" s="11">
        <f t="shared" ref="B414:B430" si="28">B413</f>
        <v>46153</v>
      </c>
      <c r="C414" s="6" t="s">
        <v>686</v>
      </c>
      <c r="D414" s="6" t="s">
        <v>42</v>
      </c>
      <c r="E414" s="66" t="s">
        <v>11</v>
      </c>
      <c r="F414" s="6" t="s">
        <v>687</v>
      </c>
      <c r="G414" s="6" t="s">
        <v>34</v>
      </c>
      <c r="H414" s="7"/>
    </row>
    <row r="415" spans="2:8" ht="9.6" customHeight="1">
      <c r="B415" s="11">
        <f t="shared" si="28"/>
        <v>46153</v>
      </c>
      <c r="C415" s="6" t="s">
        <v>688</v>
      </c>
      <c r="D415" s="6" t="s">
        <v>292</v>
      </c>
      <c r="E415" s="66" t="s">
        <v>11</v>
      </c>
      <c r="F415" s="6" t="s">
        <v>689</v>
      </c>
      <c r="G415" s="6" t="s">
        <v>34</v>
      </c>
      <c r="H415" s="7"/>
    </row>
    <row r="416" spans="2:8" ht="9.6" customHeight="1">
      <c r="B416" s="11">
        <f t="shared" si="28"/>
        <v>46153</v>
      </c>
      <c r="C416" s="6" t="s">
        <v>690</v>
      </c>
      <c r="D416" s="6" t="s">
        <v>44</v>
      </c>
      <c r="E416" s="66" t="s">
        <v>11</v>
      </c>
      <c r="F416" s="6" t="s">
        <v>691</v>
      </c>
      <c r="G416" s="6" t="s">
        <v>34</v>
      </c>
      <c r="H416" s="7"/>
    </row>
    <row r="417" spans="2:8" ht="9.6" customHeight="1">
      <c r="B417" s="11">
        <f t="shared" si="28"/>
        <v>46153</v>
      </c>
      <c r="C417" s="6" t="s">
        <v>692</v>
      </c>
      <c r="D417" s="6" t="s">
        <v>42</v>
      </c>
      <c r="E417" s="66" t="s">
        <v>28</v>
      </c>
      <c r="F417" s="6" t="s">
        <v>693</v>
      </c>
      <c r="G417" s="6" t="s">
        <v>30</v>
      </c>
      <c r="H417" s="7"/>
    </row>
    <row r="418" spans="2:8" ht="9.6" customHeight="1">
      <c r="B418" s="11">
        <f t="shared" si="28"/>
        <v>46153</v>
      </c>
      <c r="C418" s="6" t="s">
        <v>694</v>
      </c>
      <c r="D418" s="6" t="s">
        <v>38</v>
      </c>
      <c r="E418" s="66" t="s">
        <v>28</v>
      </c>
      <c r="F418" s="6" t="s">
        <v>695</v>
      </c>
      <c r="G418" s="6" t="s">
        <v>34</v>
      </c>
      <c r="H418" s="7"/>
    </row>
    <row r="419" spans="2:8" ht="9.6" customHeight="1">
      <c r="B419" s="11">
        <f t="shared" si="28"/>
        <v>46153</v>
      </c>
      <c r="C419" s="6" t="s">
        <v>696</v>
      </c>
      <c r="D419" s="6" t="s">
        <v>76</v>
      </c>
      <c r="E419" s="66" t="s">
        <v>28</v>
      </c>
      <c r="F419" s="6" t="s">
        <v>697</v>
      </c>
      <c r="G419" s="6" t="s">
        <v>30</v>
      </c>
      <c r="H419" s="7"/>
    </row>
    <row r="420" spans="2:8" ht="9.6" customHeight="1">
      <c r="B420" s="11">
        <f t="shared" si="28"/>
        <v>46153</v>
      </c>
      <c r="C420" s="6" t="s">
        <v>698</v>
      </c>
      <c r="D420" s="6" t="s">
        <v>62</v>
      </c>
      <c r="E420" s="66" t="s">
        <v>28</v>
      </c>
      <c r="F420" s="6" t="s">
        <v>699</v>
      </c>
      <c r="G420" s="6" t="s">
        <v>34</v>
      </c>
      <c r="H420" s="7"/>
    </row>
    <row r="421" spans="2:8" ht="9.6" customHeight="1">
      <c r="B421" s="11">
        <f t="shared" si="28"/>
        <v>46153</v>
      </c>
      <c r="C421" s="7" t="s">
        <v>176</v>
      </c>
      <c r="D421" s="6" t="s">
        <v>207</v>
      </c>
      <c r="E421" s="66" t="s">
        <v>28</v>
      </c>
      <c r="F421" s="6" t="s">
        <v>700</v>
      </c>
      <c r="G421" s="6" t="s">
        <v>30</v>
      </c>
      <c r="H421" s="7"/>
    </row>
    <row r="422" spans="2:8" ht="9.6" customHeight="1">
      <c r="B422" s="11">
        <f t="shared" si="28"/>
        <v>46153</v>
      </c>
      <c r="C422" s="6" t="s">
        <v>701</v>
      </c>
      <c r="D422" s="6" t="s">
        <v>15</v>
      </c>
      <c r="E422" s="66" t="s">
        <v>28</v>
      </c>
      <c r="F422" s="6" t="s">
        <v>702</v>
      </c>
      <c r="G422" s="6" t="s">
        <v>34</v>
      </c>
      <c r="H422" s="7"/>
    </row>
    <row r="423" spans="2:8" ht="9.6" customHeight="1">
      <c r="B423" s="11">
        <f t="shared" si="28"/>
        <v>46153</v>
      </c>
      <c r="C423" s="6" t="s">
        <v>703</v>
      </c>
      <c r="D423" s="6" t="s">
        <v>704</v>
      </c>
      <c r="E423" s="66" t="s">
        <v>28</v>
      </c>
      <c r="F423" s="6" t="s">
        <v>705</v>
      </c>
      <c r="G423" s="6" t="s">
        <v>34</v>
      </c>
      <c r="H423" s="7"/>
    </row>
    <row r="424" spans="2:8" ht="9.6" customHeight="1">
      <c r="B424" s="11">
        <f t="shared" si="28"/>
        <v>46153</v>
      </c>
      <c r="C424" s="6" t="s">
        <v>706</v>
      </c>
      <c r="D424" s="6" t="s">
        <v>707</v>
      </c>
      <c r="E424" s="66" t="s">
        <v>28</v>
      </c>
      <c r="F424" s="6" t="s">
        <v>708</v>
      </c>
      <c r="G424" s="6" t="s">
        <v>113</v>
      </c>
      <c r="H424" s="7"/>
    </row>
    <row r="425" spans="2:8" ht="9.6" customHeight="1">
      <c r="B425" s="11">
        <f t="shared" si="28"/>
        <v>46153</v>
      </c>
      <c r="C425" s="6" t="s">
        <v>176</v>
      </c>
      <c r="D425" s="6" t="s">
        <v>103</v>
      </c>
      <c r="E425" s="66" t="s">
        <v>28</v>
      </c>
      <c r="F425" s="6" t="s">
        <v>709</v>
      </c>
      <c r="G425" s="6" t="s">
        <v>21</v>
      </c>
      <c r="H425" s="7"/>
    </row>
    <row r="426" spans="2:8" ht="9.6" customHeight="1">
      <c r="B426" s="11">
        <f t="shared" si="28"/>
        <v>46153</v>
      </c>
      <c r="C426" s="6" t="s">
        <v>176</v>
      </c>
      <c r="D426" s="6" t="s">
        <v>76</v>
      </c>
      <c r="E426" s="66" t="s">
        <v>28</v>
      </c>
      <c r="F426" s="6" t="s">
        <v>710</v>
      </c>
      <c r="G426" s="6" t="s">
        <v>113</v>
      </c>
      <c r="H426" s="7"/>
    </row>
    <row r="427" spans="2:8" ht="9.6" customHeight="1">
      <c r="B427" s="11">
        <f t="shared" si="28"/>
        <v>46153</v>
      </c>
      <c r="C427" s="6" t="s">
        <v>711</v>
      </c>
      <c r="D427" s="6" t="s">
        <v>42</v>
      </c>
      <c r="E427" s="66" t="s">
        <v>28</v>
      </c>
      <c r="F427" s="17" t="s">
        <v>712</v>
      </c>
      <c r="G427" s="6" t="s">
        <v>34</v>
      </c>
      <c r="H427" s="7"/>
    </row>
    <row r="428" spans="2:8" ht="9.6" customHeight="1">
      <c r="B428" s="11">
        <f t="shared" si="28"/>
        <v>46153</v>
      </c>
      <c r="C428" s="6" t="s">
        <v>713</v>
      </c>
      <c r="D428" s="6" t="s">
        <v>19</v>
      </c>
      <c r="E428" s="66" t="s">
        <v>11</v>
      </c>
      <c r="F428" s="6" t="s">
        <v>714</v>
      </c>
      <c r="G428" s="6" t="s">
        <v>34</v>
      </c>
      <c r="H428" s="7"/>
    </row>
    <row r="429" spans="2:8" ht="9.6" customHeight="1">
      <c r="B429" s="11">
        <f t="shared" si="28"/>
        <v>46153</v>
      </c>
      <c r="C429" s="6" t="s">
        <v>715</v>
      </c>
      <c r="D429" s="6" t="s">
        <v>716</v>
      </c>
      <c r="E429" s="66" t="s">
        <v>11</v>
      </c>
      <c r="F429" s="6" t="s">
        <v>717</v>
      </c>
      <c r="G429" s="6" t="s">
        <v>51</v>
      </c>
      <c r="H429" s="7"/>
    </row>
    <row r="430" spans="2:8" ht="9.6" customHeight="1">
      <c r="B430" s="11">
        <f t="shared" si="28"/>
        <v>46153</v>
      </c>
      <c r="C430" s="6" t="s">
        <v>718</v>
      </c>
      <c r="D430" s="6" t="s">
        <v>719</v>
      </c>
      <c r="E430" s="66" t="s">
        <v>11</v>
      </c>
      <c r="F430" s="6" t="s">
        <v>720</v>
      </c>
      <c r="G430" s="6" t="s">
        <v>51</v>
      </c>
      <c r="H430" s="7"/>
    </row>
    <row r="431" spans="2:8" ht="9.6" customHeight="1">
      <c r="B431" s="5">
        <v>46154</v>
      </c>
      <c r="C431" s="12" t="s">
        <v>721</v>
      </c>
      <c r="D431" s="12" t="s">
        <v>94</v>
      </c>
      <c r="E431" s="66" t="s">
        <v>28</v>
      </c>
      <c r="F431" s="12" t="s">
        <v>722</v>
      </c>
      <c r="G431" s="12" t="s">
        <v>191</v>
      </c>
      <c r="H431" s="7"/>
    </row>
    <row r="432" spans="2:8" ht="9.6" customHeight="1">
      <c r="B432" s="11">
        <f t="shared" ref="B432:B441" si="29">B431</f>
        <v>46154</v>
      </c>
      <c r="C432" s="12" t="s">
        <v>721</v>
      </c>
      <c r="D432" s="6" t="s">
        <v>723</v>
      </c>
      <c r="E432" s="66" t="s">
        <v>28</v>
      </c>
      <c r="F432" s="6" t="s">
        <v>724</v>
      </c>
      <c r="G432" s="12" t="s">
        <v>191</v>
      </c>
      <c r="H432" s="7"/>
    </row>
    <row r="433" spans="2:8" ht="9.6" customHeight="1">
      <c r="B433" s="11">
        <f t="shared" si="29"/>
        <v>46154</v>
      </c>
      <c r="C433" s="12" t="s">
        <v>721</v>
      </c>
      <c r="D433" s="6" t="s">
        <v>42</v>
      </c>
      <c r="E433" s="66" t="s">
        <v>28</v>
      </c>
      <c r="F433" s="6" t="s">
        <v>725</v>
      </c>
      <c r="G433" s="12" t="s">
        <v>191</v>
      </c>
      <c r="H433" s="7"/>
    </row>
    <row r="434" spans="2:8" ht="9.6" customHeight="1">
      <c r="B434" s="11">
        <f t="shared" si="29"/>
        <v>46154</v>
      </c>
      <c r="C434" s="12" t="s">
        <v>721</v>
      </c>
      <c r="D434" s="6" t="s">
        <v>103</v>
      </c>
      <c r="E434" s="66" t="s">
        <v>28</v>
      </c>
      <c r="F434" s="6" t="s">
        <v>726</v>
      </c>
      <c r="G434" s="12" t="s">
        <v>191</v>
      </c>
      <c r="H434" s="7"/>
    </row>
    <row r="435" spans="2:8" ht="9.6" customHeight="1">
      <c r="B435" s="11">
        <f t="shared" si="29"/>
        <v>46154</v>
      </c>
      <c r="C435" s="12" t="s">
        <v>721</v>
      </c>
      <c r="D435" s="6" t="s">
        <v>38</v>
      </c>
      <c r="E435" s="66" t="s">
        <v>28</v>
      </c>
      <c r="F435" s="6" t="s">
        <v>727</v>
      </c>
      <c r="G435" s="12" t="s">
        <v>191</v>
      </c>
      <c r="H435" s="7"/>
    </row>
    <row r="436" spans="2:8" ht="9.6" customHeight="1">
      <c r="B436" s="11">
        <f t="shared" si="29"/>
        <v>46154</v>
      </c>
      <c r="C436" s="12" t="s">
        <v>721</v>
      </c>
      <c r="D436" s="6" t="s">
        <v>76</v>
      </c>
      <c r="E436" s="66" t="s">
        <v>28</v>
      </c>
      <c r="F436" s="6" t="s">
        <v>728</v>
      </c>
      <c r="G436" s="12" t="s">
        <v>191</v>
      </c>
      <c r="H436" s="7"/>
    </row>
    <row r="437" spans="2:8" ht="9.6" customHeight="1">
      <c r="B437" s="11">
        <f t="shared" si="29"/>
        <v>46154</v>
      </c>
      <c r="C437" s="12" t="s">
        <v>721</v>
      </c>
      <c r="D437" s="6" t="s">
        <v>10</v>
      </c>
      <c r="E437" s="66" t="s">
        <v>28</v>
      </c>
      <c r="F437" s="6" t="s">
        <v>729</v>
      </c>
      <c r="G437" s="12" t="s">
        <v>191</v>
      </c>
      <c r="H437" s="7"/>
    </row>
    <row r="438" spans="2:8" ht="9.6" customHeight="1">
      <c r="B438" s="11">
        <f t="shared" si="29"/>
        <v>46154</v>
      </c>
      <c r="C438" s="12" t="s">
        <v>730</v>
      </c>
      <c r="D438" s="6" t="s">
        <v>81</v>
      </c>
      <c r="E438" s="66" t="s">
        <v>28</v>
      </c>
      <c r="F438" s="6" t="s">
        <v>731</v>
      </c>
      <c r="G438" s="12" t="s">
        <v>191</v>
      </c>
      <c r="H438" s="7"/>
    </row>
    <row r="439" spans="2:8" ht="9.6" customHeight="1">
      <c r="B439" s="11">
        <f t="shared" si="29"/>
        <v>46154</v>
      </c>
      <c r="C439" s="12" t="s">
        <v>730</v>
      </c>
      <c r="D439" s="6" t="s">
        <v>103</v>
      </c>
      <c r="E439" s="66" t="s">
        <v>28</v>
      </c>
      <c r="F439" s="6" t="s">
        <v>732</v>
      </c>
      <c r="G439" s="12" t="s">
        <v>371</v>
      </c>
      <c r="H439" s="7"/>
    </row>
    <row r="440" spans="2:8" ht="9.6" customHeight="1">
      <c r="B440" s="11">
        <f t="shared" si="29"/>
        <v>46154</v>
      </c>
      <c r="C440" s="6" t="s">
        <v>35</v>
      </c>
      <c r="D440" s="6" t="s">
        <v>733</v>
      </c>
      <c r="E440" s="66" t="s">
        <v>11</v>
      </c>
      <c r="F440" s="6" t="s">
        <v>734</v>
      </c>
      <c r="G440" s="12" t="s">
        <v>21</v>
      </c>
      <c r="H440" s="7"/>
    </row>
    <row r="441" spans="2:8" ht="9.6" customHeight="1">
      <c r="B441" s="11">
        <f t="shared" si="29"/>
        <v>46154</v>
      </c>
      <c r="C441" s="6" t="s">
        <v>711</v>
      </c>
      <c r="D441" s="6" t="s">
        <v>735</v>
      </c>
      <c r="E441" s="66" t="s">
        <v>11</v>
      </c>
      <c r="F441" s="6" t="s">
        <v>736</v>
      </c>
      <c r="G441" s="6" t="s">
        <v>51</v>
      </c>
      <c r="H441" s="7"/>
    </row>
    <row r="442" spans="2:8" ht="9.6" customHeight="1">
      <c r="B442" s="5">
        <v>46155</v>
      </c>
      <c r="C442" s="12" t="s">
        <v>737</v>
      </c>
      <c r="D442" s="12" t="s">
        <v>52</v>
      </c>
      <c r="E442" s="67" t="s">
        <v>11</v>
      </c>
      <c r="F442" s="12" t="s">
        <v>738</v>
      </c>
      <c r="G442" s="12" t="s">
        <v>51</v>
      </c>
      <c r="H442" s="7"/>
    </row>
    <row r="443" spans="2:8" ht="9.6" customHeight="1">
      <c r="B443" s="11">
        <f>B442</f>
        <v>46155</v>
      </c>
      <c r="C443" s="12" t="s">
        <v>35</v>
      </c>
      <c r="D443" s="12" t="s">
        <v>459</v>
      </c>
      <c r="E443" s="66" t="s">
        <v>11</v>
      </c>
      <c r="F443" s="6" t="s">
        <v>739</v>
      </c>
      <c r="G443" s="6" t="s">
        <v>740</v>
      </c>
      <c r="H443" s="7"/>
    </row>
    <row r="444" spans="2:8" ht="9.6" customHeight="1">
      <c r="B444" s="11">
        <f>B443</f>
        <v>46155</v>
      </c>
      <c r="C444" s="12" t="s">
        <v>176</v>
      </c>
      <c r="D444" s="12" t="s">
        <v>741</v>
      </c>
      <c r="E444" s="66" t="s">
        <v>11</v>
      </c>
      <c r="F444" s="6" t="s">
        <v>742</v>
      </c>
      <c r="G444" s="6" t="s">
        <v>740</v>
      </c>
      <c r="H444" s="7"/>
    </row>
    <row r="445" spans="2:8" ht="9.6" customHeight="1">
      <c r="B445" s="11">
        <f>B444</f>
        <v>46155</v>
      </c>
      <c r="C445" s="7" t="s">
        <v>743</v>
      </c>
      <c r="D445" s="12" t="s">
        <v>735</v>
      </c>
      <c r="E445" s="66" t="s">
        <v>11</v>
      </c>
      <c r="F445" s="6" t="s">
        <v>744</v>
      </c>
      <c r="G445" s="6" t="s">
        <v>51</v>
      </c>
      <c r="H445" s="7"/>
    </row>
    <row r="446" spans="2:8" ht="9.6" customHeight="1">
      <c r="B446" s="5">
        <v>46156</v>
      </c>
      <c r="C446" s="12" t="s">
        <v>745</v>
      </c>
      <c r="D446" s="12" t="s">
        <v>636</v>
      </c>
      <c r="E446" s="66" t="s">
        <v>28</v>
      </c>
      <c r="F446" s="7" t="s">
        <v>746</v>
      </c>
      <c r="G446" s="12" t="s">
        <v>21</v>
      </c>
      <c r="H446" s="7"/>
    </row>
    <row r="447" spans="2:8" ht="9.6" customHeight="1">
      <c r="B447" s="11">
        <f t="shared" ref="B447:B460" si="30">B446</f>
        <v>46156</v>
      </c>
      <c r="C447" s="6" t="s">
        <v>747</v>
      </c>
      <c r="D447" s="6" t="s">
        <v>76</v>
      </c>
      <c r="E447" s="66" t="s">
        <v>28</v>
      </c>
      <c r="F447" s="12" t="s">
        <v>748</v>
      </c>
      <c r="G447" s="6" t="s">
        <v>83</v>
      </c>
      <c r="H447" s="7"/>
    </row>
    <row r="448" spans="2:8" ht="9.6" customHeight="1">
      <c r="B448" s="11">
        <f t="shared" si="30"/>
        <v>46156</v>
      </c>
      <c r="C448" s="6" t="s">
        <v>749</v>
      </c>
      <c r="D448" s="6" t="s">
        <v>475</v>
      </c>
      <c r="E448" s="66" t="s">
        <v>28</v>
      </c>
      <c r="F448" s="6" t="s">
        <v>750</v>
      </c>
      <c r="G448" s="6" t="s">
        <v>187</v>
      </c>
      <c r="H448" s="7"/>
    </row>
    <row r="449" spans="2:8" ht="9.6" customHeight="1">
      <c r="B449" s="11">
        <f t="shared" si="30"/>
        <v>46156</v>
      </c>
      <c r="C449" s="6" t="s">
        <v>751</v>
      </c>
      <c r="D449" s="6" t="s">
        <v>752</v>
      </c>
      <c r="E449" s="66" t="s">
        <v>28</v>
      </c>
      <c r="F449" s="6" t="s">
        <v>753</v>
      </c>
      <c r="G449" s="6" t="s">
        <v>21</v>
      </c>
      <c r="H449" s="7"/>
    </row>
    <row r="450" spans="2:8" ht="9.6" customHeight="1">
      <c r="B450" s="11">
        <f t="shared" si="30"/>
        <v>46156</v>
      </c>
      <c r="C450" s="6" t="s">
        <v>754</v>
      </c>
      <c r="D450" s="6" t="s">
        <v>32</v>
      </c>
      <c r="E450" s="66" t="s">
        <v>28</v>
      </c>
      <c r="F450" s="6" t="s">
        <v>755</v>
      </c>
      <c r="G450" s="6" t="s">
        <v>83</v>
      </c>
      <c r="H450" s="7"/>
    </row>
    <row r="451" spans="2:8" ht="9.6" customHeight="1">
      <c r="B451" s="11">
        <f t="shared" si="30"/>
        <v>46156</v>
      </c>
      <c r="C451" s="6" t="s">
        <v>756</v>
      </c>
      <c r="D451" s="6" t="s">
        <v>52</v>
      </c>
      <c r="E451" s="66" t="s">
        <v>28</v>
      </c>
      <c r="F451" s="6" t="s">
        <v>757</v>
      </c>
      <c r="G451" s="6" t="s">
        <v>21</v>
      </c>
      <c r="H451" s="7"/>
    </row>
    <row r="452" spans="2:8" ht="9.6" customHeight="1">
      <c r="B452" s="11">
        <f t="shared" si="30"/>
        <v>46156</v>
      </c>
      <c r="C452" s="6" t="s">
        <v>35</v>
      </c>
      <c r="D452" s="6" t="s">
        <v>19</v>
      </c>
      <c r="E452" s="66" t="s">
        <v>28</v>
      </c>
      <c r="F452" s="6" t="s">
        <v>758</v>
      </c>
      <c r="G452" s="6" t="s">
        <v>21</v>
      </c>
      <c r="H452" s="7"/>
    </row>
    <row r="453" spans="2:8" ht="9.6" customHeight="1">
      <c r="B453" s="11">
        <f t="shared" si="30"/>
        <v>46156</v>
      </c>
      <c r="C453" s="6" t="s">
        <v>759</v>
      </c>
      <c r="D453" s="6" t="s">
        <v>44</v>
      </c>
      <c r="E453" s="66" t="s">
        <v>28</v>
      </c>
      <c r="F453" s="6" t="s">
        <v>760</v>
      </c>
      <c r="G453" s="6" t="s">
        <v>21</v>
      </c>
      <c r="H453" s="7"/>
    </row>
    <row r="454" spans="2:8" ht="9.6" customHeight="1">
      <c r="B454" s="11">
        <f t="shared" si="30"/>
        <v>46156</v>
      </c>
      <c r="C454" s="6" t="s">
        <v>761</v>
      </c>
      <c r="D454" s="6" t="s">
        <v>762</v>
      </c>
      <c r="E454" s="66" t="s">
        <v>28</v>
      </c>
      <c r="F454" s="17" t="s">
        <v>763</v>
      </c>
      <c r="G454" s="6" t="s">
        <v>21</v>
      </c>
      <c r="H454" s="7"/>
    </row>
    <row r="455" spans="2:8" ht="9.6" customHeight="1">
      <c r="B455" s="11">
        <f t="shared" si="30"/>
        <v>46156</v>
      </c>
      <c r="C455" s="6" t="s">
        <v>764</v>
      </c>
      <c r="D455" s="6" t="s">
        <v>52</v>
      </c>
      <c r="E455" s="66" t="s">
        <v>28</v>
      </c>
      <c r="F455" s="6" t="s">
        <v>765</v>
      </c>
      <c r="G455" s="6" t="s">
        <v>83</v>
      </c>
      <c r="H455" s="7"/>
    </row>
    <row r="456" spans="2:8" ht="9.6" customHeight="1">
      <c r="B456" s="11">
        <f t="shared" si="30"/>
        <v>46156</v>
      </c>
      <c r="C456" s="6" t="s">
        <v>766</v>
      </c>
      <c r="D456" s="6" t="s">
        <v>52</v>
      </c>
      <c r="E456" s="66" t="s">
        <v>28</v>
      </c>
      <c r="F456" s="6" t="s">
        <v>767</v>
      </c>
      <c r="G456" s="6" t="s">
        <v>83</v>
      </c>
      <c r="H456" s="7"/>
    </row>
    <row r="457" spans="2:8" ht="9.6" customHeight="1">
      <c r="B457" s="11">
        <f t="shared" si="30"/>
        <v>46156</v>
      </c>
      <c r="C457" s="6" t="s">
        <v>768</v>
      </c>
      <c r="D457" s="6" t="s">
        <v>374</v>
      </c>
      <c r="E457" s="66" t="s">
        <v>28</v>
      </c>
      <c r="F457" s="6" t="s">
        <v>769</v>
      </c>
      <c r="G457" s="6" t="s">
        <v>83</v>
      </c>
      <c r="H457" s="7"/>
    </row>
    <row r="458" spans="2:8" ht="9.6" customHeight="1">
      <c r="B458" s="11">
        <f t="shared" si="30"/>
        <v>46156</v>
      </c>
      <c r="C458" s="6" t="s">
        <v>35</v>
      </c>
      <c r="D458" s="6" t="s">
        <v>62</v>
      </c>
      <c r="E458" s="66" t="s">
        <v>28</v>
      </c>
      <c r="F458" s="17" t="s">
        <v>770</v>
      </c>
      <c r="G458" s="6" t="s">
        <v>21</v>
      </c>
      <c r="H458" s="7"/>
    </row>
    <row r="459" spans="2:8" ht="9.6" customHeight="1">
      <c r="B459" s="11">
        <f t="shared" si="30"/>
        <v>46156</v>
      </c>
      <c r="C459" s="6" t="s">
        <v>35</v>
      </c>
      <c r="D459" s="6" t="s">
        <v>771</v>
      </c>
      <c r="E459" s="66" t="s">
        <v>28</v>
      </c>
      <c r="F459" s="6" t="s">
        <v>772</v>
      </c>
      <c r="G459" s="6" t="s">
        <v>21</v>
      </c>
      <c r="H459" s="7"/>
    </row>
    <row r="460" spans="2:8" ht="9.6" customHeight="1">
      <c r="B460" s="11">
        <f t="shared" si="30"/>
        <v>46156</v>
      </c>
      <c r="C460" s="6" t="s">
        <v>773</v>
      </c>
      <c r="D460" s="6" t="s">
        <v>52</v>
      </c>
      <c r="E460" s="66" t="s">
        <v>28</v>
      </c>
      <c r="F460" s="17" t="s">
        <v>774</v>
      </c>
      <c r="G460" s="6" t="s">
        <v>83</v>
      </c>
      <c r="H460" s="7"/>
    </row>
    <row r="461" spans="2:8" ht="9.6" customHeight="1">
      <c r="B461" s="5">
        <v>46157</v>
      </c>
      <c r="C461" s="12" t="s">
        <v>775</v>
      </c>
      <c r="D461" s="6" t="s">
        <v>44</v>
      </c>
      <c r="E461" s="66" t="s">
        <v>28</v>
      </c>
      <c r="F461" s="12" t="s">
        <v>776</v>
      </c>
      <c r="G461" s="12" t="s">
        <v>777</v>
      </c>
      <c r="H461" s="7"/>
    </row>
    <row r="462" spans="2:8" ht="9.6" customHeight="1">
      <c r="B462" s="11">
        <f t="shared" ref="B462:B489" si="31">B461</f>
        <v>46157</v>
      </c>
      <c r="C462" s="6" t="s">
        <v>778</v>
      </c>
      <c r="D462" s="7" t="s">
        <v>213</v>
      </c>
      <c r="E462" s="66" t="s">
        <v>28</v>
      </c>
      <c r="F462" s="6" t="s">
        <v>779</v>
      </c>
      <c r="G462" s="6" t="s">
        <v>777</v>
      </c>
      <c r="H462" s="7"/>
    </row>
    <row r="463" spans="2:8" ht="9.6" customHeight="1">
      <c r="B463" s="11">
        <f t="shared" si="31"/>
        <v>46157</v>
      </c>
      <c r="C463" s="6" t="s">
        <v>775</v>
      </c>
      <c r="D463" s="6" t="s">
        <v>52</v>
      </c>
      <c r="E463" s="66" t="s">
        <v>28</v>
      </c>
      <c r="F463" s="6" t="s">
        <v>780</v>
      </c>
      <c r="G463" s="6" t="s">
        <v>777</v>
      </c>
      <c r="H463" s="7"/>
    </row>
    <row r="464" spans="2:8" ht="9.6" customHeight="1">
      <c r="B464" s="11">
        <f t="shared" si="31"/>
        <v>46157</v>
      </c>
      <c r="C464" s="6" t="s">
        <v>781</v>
      </c>
      <c r="D464" s="6" t="s">
        <v>44</v>
      </c>
      <c r="E464" s="66" t="s">
        <v>28</v>
      </c>
      <c r="F464" s="6" t="s">
        <v>782</v>
      </c>
      <c r="G464" s="6" t="s">
        <v>83</v>
      </c>
      <c r="H464" s="7"/>
    </row>
    <row r="465" spans="2:8" ht="9.6" customHeight="1">
      <c r="B465" s="11">
        <f t="shared" si="31"/>
        <v>46157</v>
      </c>
      <c r="C465" s="6" t="s">
        <v>775</v>
      </c>
      <c r="D465" s="6" t="s">
        <v>570</v>
      </c>
      <c r="E465" s="66" t="s">
        <v>28</v>
      </c>
      <c r="F465" s="17" t="s">
        <v>783</v>
      </c>
      <c r="G465" s="6" t="s">
        <v>417</v>
      </c>
      <c r="H465" s="7"/>
    </row>
    <row r="466" spans="2:8" ht="9.6" customHeight="1">
      <c r="B466" s="11">
        <f t="shared" si="31"/>
        <v>46157</v>
      </c>
      <c r="C466" s="6" t="s">
        <v>35</v>
      </c>
      <c r="D466" s="6" t="s">
        <v>52</v>
      </c>
      <c r="E466" s="66" t="s">
        <v>28</v>
      </c>
      <c r="F466" s="6" t="s">
        <v>784</v>
      </c>
      <c r="G466" s="6" t="s">
        <v>371</v>
      </c>
      <c r="H466" s="7"/>
    </row>
    <row r="467" spans="2:8" ht="9.6" customHeight="1">
      <c r="B467" s="11">
        <f t="shared" si="31"/>
        <v>46157</v>
      </c>
      <c r="C467" s="6" t="s">
        <v>785</v>
      </c>
      <c r="D467" s="6" t="s">
        <v>570</v>
      </c>
      <c r="E467" s="66" t="s">
        <v>28</v>
      </c>
      <c r="F467" s="6" t="s">
        <v>786</v>
      </c>
      <c r="G467" s="6" t="s">
        <v>83</v>
      </c>
      <c r="H467" s="7"/>
    </row>
    <row r="468" spans="2:8" ht="9.6" customHeight="1">
      <c r="B468" s="11">
        <f t="shared" si="31"/>
        <v>46157</v>
      </c>
      <c r="C468" s="6" t="s">
        <v>35</v>
      </c>
      <c r="D468" s="6" t="s">
        <v>10</v>
      </c>
      <c r="E468" s="66" t="s">
        <v>28</v>
      </c>
      <c r="F468" s="6" t="s">
        <v>787</v>
      </c>
      <c r="G468" s="6" t="s">
        <v>777</v>
      </c>
      <c r="H468" s="7"/>
    </row>
    <row r="469" spans="2:8" ht="9.6" customHeight="1">
      <c r="B469" s="11">
        <f t="shared" si="31"/>
        <v>46157</v>
      </c>
      <c r="C469" s="6" t="s">
        <v>788</v>
      </c>
      <c r="D469" s="6" t="s">
        <v>462</v>
      </c>
      <c r="E469" s="66" t="s">
        <v>28</v>
      </c>
      <c r="F469" s="6" t="s">
        <v>789</v>
      </c>
      <c r="G469" s="6" t="s">
        <v>83</v>
      </c>
      <c r="H469" s="7"/>
    </row>
    <row r="470" spans="2:8" ht="9.6" customHeight="1">
      <c r="B470" s="11">
        <f t="shared" si="31"/>
        <v>46157</v>
      </c>
      <c r="C470" s="6" t="s">
        <v>790</v>
      </c>
      <c r="D470" s="6" t="s">
        <v>462</v>
      </c>
      <c r="E470" s="66" t="s">
        <v>28</v>
      </c>
      <c r="F470" s="6" t="s">
        <v>791</v>
      </c>
      <c r="G470" s="6" t="s">
        <v>777</v>
      </c>
      <c r="H470" s="7"/>
    </row>
    <row r="471" spans="2:8" ht="9.6" customHeight="1">
      <c r="B471" s="11">
        <f t="shared" si="31"/>
        <v>46157</v>
      </c>
      <c r="C471" s="6" t="s">
        <v>792</v>
      </c>
      <c r="D471" s="6" t="s">
        <v>793</v>
      </c>
      <c r="E471" s="66" t="s">
        <v>28</v>
      </c>
      <c r="F471" s="6" t="s">
        <v>794</v>
      </c>
      <c r="G471" s="6" t="s">
        <v>83</v>
      </c>
      <c r="H471" s="7"/>
    </row>
    <row r="472" spans="2:8" ht="9.6" customHeight="1">
      <c r="B472" s="11">
        <f t="shared" si="31"/>
        <v>46157</v>
      </c>
      <c r="C472" s="6" t="s">
        <v>795</v>
      </c>
      <c r="D472" s="6" t="s">
        <v>796</v>
      </c>
      <c r="E472" s="66" t="s">
        <v>28</v>
      </c>
      <c r="F472" s="6" t="s">
        <v>797</v>
      </c>
      <c r="G472" s="6" t="s">
        <v>777</v>
      </c>
      <c r="H472" s="7"/>
    </row>
    <row r="473" spans="2:8" ht="9.6" customHeight="1">
      <c r="B473" s="11">
        <f t="shared" si="31"/>
        <v>46157</v>
      </c>
      <c r="C473" s="6" t="s">
        <v>798</v>
      </c>
      <c r="D473" s="6" t="s">
        <v>403</v>
      </c>
      <c r="E473" s="66" t="s">
        <v>28</v>
      </c>
      <c r="F473" s="6" t="s">
        <v>799</v>
      </c>
      <c r="G473" s="6" t="s">
        <v>70</v>
      </c>
      <c r="H473" s="7"/>
    </row>
    <row r="474" spans="2:8" ht="9.6" customHeight="1">
      <c r="B474" s="11">
        <f t="shared" si="31"/>
        <v>46157</v>
      </c>
      <c r="C474" s="6" t="s">
        <v>795</v>
      </c>
      <c r="D474" s="6" t="s">
        <v>44</v>
      </c>
      <c r="E474" s="66" t="s">
        <v>28</v>
      </c>
      <c r="F474" s="6" t="s">
        <v>800</v>
      </c>
      <c r="G474" s="6" t="s">
        <v>777</v>
      </c>
      <c r="H474" s="7"/>
    </row>
    <row r="475" spans="2:8" ht="9.6" customHeight="1">
      <c r="B475" s="11">
        <f t="shared" si="31"/>
        <v>46157</v>
      </c>
      <c r="C475" s="6" t="s">
        <v>801</v>
      </c>
      <c r="D475" s="6" t="s">
        <v>403</v>
      </c>
      <c r="E475" s="66" t="s">
        <v>28</v>
      </c>
      <c r="F475" s="6" t="s">
        <v>802</v>
      </c>
      <c r="G475" s="6" t="s">
        <v>83</v>
      </c>
      <c r="H475" s="7"/>
    </row>
    <row r="476" spans="2:8" ht="9.6" customHeight="1">
      <c r="B476" s="11">
        <f t="shared" si="31"/>
        <v>46157</v>
      </c>
      <c r="C476" s="6" t="s">
        <v>803</v>
      </c>
      <c r="D476" s="6" t="s">
        <v>44</v>
      </c>
      <c r="E476" s="66" t="s">
        <v>28</v>
      </c>
      <c r="F476" s="6" t="s">
        <v>804</v>
      </c>
      <c r="G476" s="6" t="s">
        <v>70</v>
      </c>
      <c r="H476" s="7"/>
    </row>
    <row r="477" spans="2:8" ht="9.6" customHeight="1">
      <c r="B477" s="11">
        <f t="shared" si="31"/>
        <v>46157</v>
      </c>
      <c r="C477" s="6" t="s">
        <v>805</v>
      </c>
      <c r="D477" s="6" t="s">
        <v>52</v>
      </c>
      <c r="E477" s="66" t="s">
        <v>28</v>
      </c>
      <c r="F477" s="6" t="s">
        <v>806</v>
      </c>
      <c r="G477" s="6" t="s">
        <v>83</v>
      </c>
      <c r="H477" s="7"/>
    </row>
    <row r="478" spans="2:8" ht="9.6" customHeight="1">
      <c r="B478" s="11">
        <f t="shared" si="31"/>
        <v>46157</v>
      </c>
      <c r="C478" s="6" t="s">
        <v>795</v>
      </c>
      <c r="D478" s="6" t="s">
        <v>52</v>
      </c>
      <c r="E478" s="66" t="s">
        <v>28</v>
      </c>
      <c r="F478" s="6" t="s">
        <v>807</v>
      </c>
      <c r="G478" s="6" t="s">
        <v>371</v>
      </c>
      <c r="H478" s="7"/>
    </row>
    <row r="479" spans="2:8" ht="9.6" customHeight="1">
      <c r="B479" s="11">
        <f t="shared" si="31"/>
        <v>46157</v>
      </c>
      <c r="C479" s="6" t="s">
        <v>803</v>
      </c>
      <c r="D479" s="6" t="s">
        <v>44</v>
      </c>
      <c r="E479" s="66" t="s">
        <v>28</v>
      </c>
      <c r="F479" s="6" t="s">
        <v>808</v>
      </c>
      <c r="G479" s="6" t="s">
        <v>30</v>
      </c>
      <c r="H479" s="7"/>
    </row>
    <row r="480" spans="2:8" ht="9.6" customHeight="1">
      <c r="B480" s="11">
        <f t="shared" si="31"/>
        <v>46157</v>
      </c>
      <c r="C480" s="6" t="s">
        <v>35</v>
      </c>
      <c r="D480" s="6" t="s">
        <v>52</v>
      </c>
      <c r="E480" s="66" t="s">
        <v>28</v>
      </c>
      <c r="F480" s="17" t="s">
        <v>809</v>
      </c>
      <c r="G480" s="6" t="s">
        <v>371</v>
      </c>
      <c r="H480" s="7"/>
    </row>
    <row r="481" spans="2:8" ht="9.6" customHeight="1">
      <c r="B481" s="11">
        <f t="shared" si="31"/>
        <v>46157</v>
      </c>
      <c r="C481" s="6" t="s">
        <v>795</v>
      </c>
      <c r="D481" s="6" t="s">
        <v>52</v>
      </c>
      <c r="E481" s="66" t="s">
        <v>28</v>
      </c>
      <c r="F481" s="17" t="s">
        <v>810</v>
      </c>
      <c r="G481" s="6" t="s">
        <v>30</v>
      </c>
      <c r="H481" s="7"/>
    </row>
    <row r="482" spans="2:8" ht="9.6" customHeight="1">
      <c r="B482" s="11">
        <f t="shared" si="31"/>
        <v>46157</v>
      </c>
      <c r="C482" s="6" t="s">
        <v>795</v>
      </c>
      <c r="D482" s="6" t="s">
        <v>462</v>
      </c>
      <c r="E482" s="66" t="s">
        <v>28</v>
      </c>
      <c r="F482" s="6" t="s">
        <v>811</v>
      </c>
      <c r="G482" s="6" t="s">
        <v>30</v>
      </c>
      <c r="H482" s="7"/>
    </row>
    <row r="483" spans="2:8" ht="9.6" customHeight="1">
      <c r="B483" s="11">
        <f t="shared" si="31"/>
        <v>46157</v>
      </c>
      <c r="C483" s="6" t="s">
        <v>812</v>
      </c>
      <c r="D483" s="6" t="s">
        <v>253</v>
      </c>
      <c r="E483" s="66" t="s">
        <v>28</v>
      </c>
      <c r="F483" s="17" t="s">
        <v>813</v>
      </c>
      <c r="G483" s="6" t="s">
        <v>83</v>
      </c>
      <c r="H483" s="7"/>
    </row>
    <row r="484" spans="2:8" ht="9.6" customHeight="1">
      <c r="B484" s="11">
        <f t="shared" si="31"/>
        <v>46157</v>
      </c>
      <c r="C484" s="6" t="s">
        <v>814</v>
      </c>
      <c r="D484" s="6" t="s">
        <v>815</v>
      </c>
      <c r="E484" s="66" t="s">
        <v>28</v>
      </c>
      <c r="F484" s="17" t="s">
        <v>816</v>
      </c>
      <c r="G484" s="6" t="s">
        <v>83</v>
      </c>
      <c r="H484" s="7"/>
    </row>
    <row r="485" spans="2:8" ht="9.6" customHeight="1">
      <c r="B485" s="11">
        <f t="shared" si="31"/>
        <v>46157</v>
      </c>
      <c r="C485" s="6" t="s">
        <v>35</v>
      </c>
      <c r="D485" s="6" t="s">
        <v>44</v>
      </c>
      <c r="E485" s="66" t="s">
        <v>11</v>
      </c>
      <c r="F485" s="6" t="s">
        <v>817</v>
      </c>
      <c r="G485" s="6" t="s">
        <v>87</v>
      </c>
      <c r="H485" s="7"/>
    </row>
    <row r="486" spans="2:8" ht="9.6" customHeight="1">
      <c r="B486" s="11">
        <f t="shared" si="31"/>
        <v>46157</v>
      </c>
      <c r="C486" s="6" t="s">
        <v>617</v>
      </c>
      <c r="D486" s="6" t="s">
        <v>19</v>
      </c>
      <c r="E486" s="66" t="s">
        <v>11</v>
      </c>
      <c r="F486" s="6" t="s">
        <v>818</v>
      </c>
      <c r="G486" s="6" t="s">
        <v>51</v>
      </c>
      <c r="H486" s="7"/>
    </row>
    <row r="487" spans="2:8" ht="9.6" customHeight="1">
      <c r="B487" s="11">
        <f t="shared" si="31"/>
        <v>46157</v>
      </c>
      <c r="C487" s="6" t="s">
        <v>819</v>
      </c>
      <c r="D487" s="6" t="s">
        <v>44</v>
      </c>
      <c r="E487" s="66" t="s">
        <v>11</v>
      </c>
      <c r="F487" s="6" t="s">
        <v>820</v>
      </c>
      <c r="G487" s="6" t="s">
        <v>34</v>
      </c>
      <c r="H487" s="7"/>
    </row>
    <row r="488" spans="2:8" ht="9.6" customHeight="1">
      <c r="B488" s="11">
        <f t="shared" si="31"/>
        <v>46157</v>
      </c>
      <c r="C488" s="6" t="s">
        <v>821</v>
      </c>
      <c r="D488" s="6" t="s">
        <v>822</v>
      </c>
      <c r="E488" s="66" t="s">
        <v>11</v>
      </c>
      <c r="F488" s="6" t="s">
        <v>823</v>
      </c>
      <c r="G488" s="6" t="s">
        <v>51</v>
      </c>
      <c r="H488" s="7"/>
    </row>
    <row r="489" spans="2:8" ht="9.6" customHeight="1">
      <c r="B489" s="11">
        <f t="shared" si="31"/>
        <v>46157</v>
      </c>
      <c r="C489" s="6" t="s">
        <v>35</v>
      </c>
      <c r="D489" s="6" t="s">
        <v>23</v>
      </c>
      <c r="E489" s="66" t="s">
        <v>11</v>
      </c>
      <c r="F489" s="6" t="s">
        <v>824</v>
      </c>
      <c r="G489" s="6" t="s">
        <v>30</v>
      </c>
      <c r="H489" s="7"/>
    </row>
    <row r="490" spans="2:8" ht="9.6" customHeight="1">
      <c r="B490" s="5">
        <v>46158</v>
      </c>
      <c r="C490" s="12" t="s">
        <v>176</v>
      </c>
      <c r="D490" s="12" t="s">
        <v>15</v>
      </c>
      <c r="E490" s="66" t="s">
        <v>28</v>
      </c>
      <c r="F490" s="12" t="s">
        <v>825</v>
      </c>
      <c r="G490" s="12" t="s">
        <v>30</v>
      </c>
      <c r="H490" s="7"/>
    </row>
    <row r="491" spans="2:8" ht="9.6" customHeight="1">
      <c r="B491" s="11">
        <f t="shared" ref="B491:B507" si="32">B490</f>
        <v>46158</v>
      </c>
      <c r="C491" s="12" t="s">
        <v>826</v>
      </c>
      <c r="D491" s="6" t="s">
        <v>827</v>
      </c>
      <c r="E491" s="66" t="s">
        <v>28</v>
      </c>
      <c r="F491" s="6" t="s">
        <v>828</v>
      </c>
      <c r="G491" s="6" t="s">
        <v>30</v>
      </c>
      <c r="H491" s="7"/>
    </row>
    <row r="492" spans="2:8" ht="9.6" customHeight="1">
      <c r="B492" s="11">
        <f t="shared" si="32"/>
        <v>46158</v>
      </c>
      <c r="C492" s="6" t="s">
        <v>829</v>
      </c>
      <c r="D492" s="6" t="s">
        <v>207</v>
      </c>
      <c r="E492" s="66" t="s">
        <v>28</v>
      </c>
      <c r="F492" s="17" t="s">
        <v>830</v>
      </c>
      <c r="G492" s="6" t="s">
        <v>30</v>
      </c>
      <c r="H492" s="7"/>
    </row>
    <row r="493" spans="2:8" ht="9.6" customHeight="1">
      <c r="B493" s="11">
        <f t="shared" si="32"/>
        <v>46158</v>
      </c>
      <c r="C493" s="6" t="s">
        <v>27</v>
      </c>
      <c r="D493" s="6" t="s">
        <v>116</v>
      </c>
      <c r="E493" s="66" t="s">
        <v>28</v>
      </c>
      <c r="F493" s="6" t="s">
        <v>831</v>
      </c>
      <c r="G493" s="6" t="s">
        <v>34</v>
      </c>
      <c r="H493" s="7"/>
    </row>
    <row r="494" spans="2:8" ht="9.6" customHeight="1">
      <c r="B494" s="11">
        <f t="shared" si="32"/>
        <v>46158</v>
      </c>
      <c r="C494" s="6" t="s">
        <v>832</v>
      </c>
      <c r="D494" s="6" t="s">
        <v>42</v>
      </c>
      <c r="E494" s="66" t="s">
        <v>28</v>
      </c>
      <c r="F494" s="18" t="s">
        <v>833</v>
      </c>
      <c r="G494" s="6" t="s">
        <v>417</v>
      </c>
      <c r="H494" s="7"/>
    </row>
    <row r="495" spans="2:8" ht="9.6" customHeight="1">
      <c r="B495" s="11">
        <f t="shared" si="32"/>
        <v>46158</v>
      </c>
      <c r="C495" s="6" t="s">
        <v>27</v>
      </c>
      <c r="D495" s="6" t="s">
        <v>834</v>
      </c>
      <c r="E495" s="66" t="s">
        <v>28</v>
      </c>
      <c r="F495" s="6" t="s">
        <v>835</v>
      </c>
      <c r="G495" s="6" t="s">
        <v>34</v>
      </c>
      <c r="H495" s="7"/>
    </row>
    <row r="496" spans="2:8" ht="9.6" customHeight="1">
      <c r="B496" s="11">
        <f t="shared" si="32"/>
        <v>46158</v>
      </c>
      <c r="C496" s="6" t="s">
        <v>836</v>
      </c>
      <c r="D496" s="6" t="s">
        <v>44</v>
      </c>
      <c r="E496" s="66" t="s">
        <v>28</v>
      </c>
      <c r="F496" s="6" t="s">
        <v>837</v>
      </c>
      <c r="G496" s="6" t="s">
        <v>34</v>
      </c>
      <c r="H496" s="7"/>
    </row>
    <row r="497" spans="2:8" ht="9.6" customHeight="1">
      <c r="B497" s="11">
        <f t="shared" si="32"/>
        <v>46158</v>
      </c>
      <c r="C497" s="6" t="s">
        <v>27</v>
      </c>
      <c r="D497" s="6" t="s">
        <v>352</v>
      </c>
      <c r="E497" s="66" t="s">
        <v>28</v>
      </c>
      <c r="F497" s="6" t="s">
        <v>838</v>
      </c>
      <c r="G497" s="6" t="s">
        <v>34</v>
      </c>
      <c r="H497" s="7"/>
    </row>
    <row r="498" spans="2:8" ht="9.6" customHeight="1">
      <c r="B498" s="11">
        <f t="shared" si="32"/>
        <v>46158</v>
      </c>
      <c r="C498" s="6" t="s">
        <v>27</v>
      </c>
      <c r="D498" s="6" t="s">
        <v>42</v>
      </c>
      <c r="E498" s="66" t="s">
        <v>28</v>
      </c>
      <c r="F498" s="6" t="s">
        <v>839</v>
      </c>
      <c r="G498" s="6" t="s">
        <v>34</v>
      </c>
      <c r="H498" s="7"/>
    </row>
    <row r="499" spans="2:8" ht="9.6" customHeight="1">
      <c r="B499" s="11">
        <f t="shared" si="32"/>
        <v>46158</v>
      </c>
      <c r="C499" s="6" t="s">
        <v>840</v>
      </c>
      <c r="D499" s="6" t="s">
        <v>42</v>
      </c>
      <c r="E499" s="66" t="s">
        <v>28</v>
      </c>
      <c r="F499" s="6" t="s">
        <v>841</v>
      </c>
      <c r="G499" s="6" t="s">
        <v>54</v>
      </c>
      <c r="H499" s="7"/>
    </row>
    <row r="500" spans="2:8" ht="9.6" customHeight="1">
      <c r="B500" s="11">
        <f t="shared" si="32"/>
        <v>46158</v>
      </c>
      <c r="C500" s="6" t="s">
        <v>176</v>
      </c>
      <c r="D500" s="6" t="s">
        <v>44</v>
      </c>
      <c r="E500" s="66" t="s">
        <v>28</v>
      </c>
      <c r="F500" s="17" t="s">
        <v>842</v>
      </c>
      <c r="G500" s="6" t="s">
        <v>54</v>
      </c>
      <c r="H500" s="7"/>
    </row>
    <row r="501" spans="2:8" ht="9.6" customHeight="1">
      <c r="B501" s="11">
        <f t="shared" si="32"/>
        <v>46158</v>
      </c>
      <c r="C501" s="6" t="s">
        <v>836</v>
      </c>
      <c r="D501" s="7" t="s">
        <v>42</v>
      </c>
      <c r="E501" s="66" t="s">
        <v>28</v>
      </c>
      <c r="F501" s="17" t="s">
        <v>843</v>
      </c>
      <c r="G501" s="6" t="s">
        <v>34</v>
      </c>
      <c r="H501" s="7"/>
    </row>
    <row r="502" spans="2:8" ht="9.6" customHeight="1">
      <c r="B502" s="11">
        <f t="shared" si="32"/>
        <v>46158</v>
      </c>
      <c r="C502" s="6" t="s">
        <v>27</v>
      </c>
      <c r="D502" s="6" t="s">
        <v>81</v>
      </c>
      <c r="E502" s="66" t="s">
        <v>28</v>
      </c>
      <c r="F502" s="6" t="s">
        <v>758</v>
      </c>
      <c r="G502" s="6" t="s">
        <v>34</v>
      </c>
      <c r="H502" s="7"/>
    </row>
    <row r="503" spans="2:8" ht="9.6" customHeight="1">
      <c r="B503" s="11">
        <f t="shared" si="32"/>
        <v>46158</v>
      </c>
      <c r="C503" s="6" t="s">
        <v>249</v>
      </c>
      <c r="D503" s="6" t="s">
        <v>94</v>
      </c>
      <c r="E503" s="66" t="s">
        <v>28</v>
      </c>
      <c r="F503" s="6" t="s">
        <v>844</v>
      </c>
      <c r="G503" s="6" t="s">
        <v>34</v>
      </c>
      <c r="H503" s="7"/>
    </row>
    <row r="504" spans="2:8" ht="9.6" customHeight="1">
      <c r="B504" s="11">
        <f t="shared" si="32"/>
        <v>46158</v>
      </c>
      <c r="C504" s="6" t="s">
        <v>176</v>
      </c>
      <c r="D504" s="6" t="s">
        <v>44</v>
      </c>
      <c r="E504" s="66" t="s">
        <v>28</v>
      </c>
      <c r="F504" s="6" t="s">
        <v>845</v>
      </c>
      <c r="G504" s="6" t="s">
        <v>70</v>
      </c>
      <c r="H504" s="7"/>
    </row>
    <row r="505" spans="2:8" ht="9.6" customHeight="1">
      <c r="B505" s="11">
        <f t="shared" si="32"/>
        <v>46158</v>
      </c>
      <c r="C505" s="6" t="s">
        <v>27</v>
      </c>
      <c r="D505" s="6" t="s">
        <v>846</v>
      </c>
      <c r="E505" s="66" t="s">
        <v>28</v>
      </c>
      <c r="F505" s="6" t="s">
        <v>847</v>
      </c>
      <c r="G505" s="6" t="s">
        <v>30</v>
      </c>
      <c r="H505" s="7"/>
    </row>
    <row r="506" spans="2:8" ht="9.6" customHeight="1">
      <c r="B506" s="11">
        <f t="shared" si="32"/>
        <v>46158</v>
      </c>
      <c r="C506" s="6" t="s">
        <v>617</v>
      </c>
      <c r="D506" s="6" t="s">
        <v>81</v>
      </c>
      <c r="E506" s="66" t="s">
        <v>11</v>
      </c>
      <c r="F506" s="6" t="s">
        <v>629</v>
      </c>
      <c r="G506" s="6" t="s">
        <v>34</v>
      </c>
      <c r="H506" s="7"/>
    </row>
    <row r="507" spans="2:8" ht="9.6" customHeight="1">
      <c r="B507" s="11">
        <f t="shared" si="32"/>
        <v>46158</v>
      </c>
      <c r="C507" s="6" t="s">
        <v>848</v>
      </c>
      <c r="D507" s="6" t="s">
        <v>385</v>
      </c>
      <c r="E507" s="66" t="s">
        <v>11</v>
      </c>
      <c r="F507" s="6" t="s">
        <v>849</v>
      </c>
      <c r="G507" s="6" t="s">
        <v>51</v>
      </c>
      <c r="H507" s="7"/>
    </row>
    <row r="508" spans="2:8" ht="9.6" customHeight="1">
      <c r="B508" s="5">
        <v>46159</v>
      </c>
      <c r="C508" s="6" t="s">
        <v>850</v>
      </c>
      <c r="D508" s="6" t="s">
        <v>716</v>
      </c>
      <c r="E508" s="66" t="s">
        <v>28</v>
      </c>
      <c r="F508" s="6" t="s">
        <v>851</v>
      </c>
      <c r="G508" s="6" t="s">
        <v>30</v>
      </c>
      <c r="H508" s="7"/>
    </row>
    <row r="509" spans="2:8" ht="9.6" customHeight="1">
      <c r="B509" s="11">
        <f t="shared" ref="B509:B527" si="33">B508</f>
        <v>46159</v>
      </c>
      <c r="C509" s="6" t="s">
        <v>852</v>
      </c>
      <c r="D509" s="6" t="s">
        <v>44</v>
      </c>
      <c r="E509" s="66" t="s">
        <v>28</v>
      </c>
      <c r="F509" s="6" t="s">
        <v>853</v>
      </c>
      <c r="G509" s="6" t="s">
        <v>30</v>
      </c>
      <c r="H509" s="7"/>
    </row>
    <row r="510" spans="2:8" ht="9.6" customHeight="1">
      <c r="B510" s="11">
        <f t="shared" si="33"/>
        <v>46159</v>
      </c>
      <c r="C510" s="6" t="s">
        <v>35</v>
      </c>
      <c r="D510" s="6" t="s">
        <v>19</v>
      </c>
      <c r="E510" s="66" t="s">
        <v>28</v>
      </c>
      <c r="F510" s="6" t="s">
        <v>854</v>
      </c>
      <c r="G510" s="6" t="s">
        <v>30</v>
      </c>
      <c r="H510" s="7"/>
    </row>
    <row r="511" spans="2:8" ht="9.6" customHeight="1">
      <c r="B511" s="11">
        <f t="shared" si="33"/>
        <v>46159</v>
      </c>
      <c r="C511" s="6" t="s">
        <v>795</v>
      </c>
      <c r="D511" s="6" t="s">
        <v>19</v>
      </c>
      <c r="E511" s="66" t="s">
        <v>28</v>
      </c>
      <c r="F511" s="6" t="s">
        <v>655</v>
      </c>
      <c r="G511" s="6" t="s">
        <v>30</v>
      </c>
      <c r="H511" s="7"/>
    </row>
    <row r="512" spans="2:8" ht="9.6" customHeight="1">
      <c r="B512" s="11">
        <f t="shared" si="33"/>
        <v>46159</v>
      </c>
      <c r="C512" s="6" t="s">
        <v>855</v>
      </c>
      <c r="D512" s="6" t="s">
        <v>52</v>
      </c>
      <c r="E512" s="66" t="s">
        <v>28</v>
      </c>
      <c r="F512" s="6" t="s">
        <v>856</v>
      </c>
      <c r="G512" s="6" t="s">
        <v>187</v>
      </c>
      <c r="H512" s="7"/>
    </row>
    <row r="513" spans="2:8" ht="9.6" customHeight="1">
      <c r="B513" s="11">
        <f t="shared" si="33"/>
        <v>46159</v>
      </c>
      <c r="C513" s="6" t="s">
        <v>795</v>
      </c>
      <c r="D513" s="6" t="s">
        <v>52</v>
      </c>
      <c r="E513" s="66" t="s">
        <v>28</v>
      </c>
      <c r="F513" s="6" t="s">
        <v>857</v>
      </c>
      <c r="G513" s="6" t="s">
        <v>30</v>
      </c>
      <c r="H513" s="7"/>
    </row>
    <row r="514" spans="2:8" ht="9.6" customHeight="1">
      <c r="B514" s="11">
        <f t="shared" si="33"/>
        <v>46159</v>
      </c>
      <c r="C514" s="6" t="s">
        <v>858</v>
      </c>
      <c r="D514" s="6" t="s">
        <v>859</v>
      </c>
      <c r="E514" s="66" t="s">
        <v>28</v>
      </c>
      <c r="F514" s="6" t="s">
        <v>860</v>
      </c>
      <c r="G514" s="6" t="s">
        <v>70</v>
      </c>
      <c r="H514" s="7"/>
    </row>
    <row r="515" spans="2:8" ht="9.6" customHeight="1">
      <c r="B515" s="11">
        <f t="shared" si="33"/>
        <v>46159</v>
      </c>
      <c r="C515" s="6" t="s">
        <v>795</v>
      </c>
      <c r="D515" s="6" t="s">
        <v>10</v>
      </c>
      <c r="E515" s="66" t="s">
        <v>28</v>
      </c>
      <c r="F515" s="6" t="s">
        <v>861</v>
      </c>
      <c r="G515" s="6" t="s">
        <v>70</v>
      </c>
      <c r="H515" s="7"/>
    </row>
    <row r="516" spans="2:8" ht="9.6" customHeight="1">
      <c r="B516" s="11">
        <f t="shared" si="33"/>
        <v>46159</v>
      </c>
      <c r="C516" s="6" t="s">
        <v>862</v>
      </c>
      <c r="D516" s="6" t="s">
        <v>52</v>
      </c>
      <c r="E516" s="66" t="s">
        <v>28</v>
      </c>
      <c r="F516" s="6" t="s">
        <v>863</v>
      </c>
      <c r="G516" s="6" t="s">
        <v>187</v>
      </c>
      <c r="H516" s="7"/>
    </row>
    <row r="517" spans="2:8" ht="9.6" customHeight="1">
      <c r="B517" s="11">
        <f t="shared" si="33"/>
        <v>46159</v>
      </c>
      <c r="C517" s="6" t="s">
        <v>176</v>
      </c>
      <c r="D517" s="6" t="s">
        <v>859</v>
      </c>
      <c r="E517" s="66" t="s">
        <v>28</v>
      </c>
      <c r="F517" s="6" t="s">
        <v>864</v>
      </c>
      <c r="G517" s="6" t="s">
        <v>70</v>
      </c>
      <c r="H517" s="7"/>
    </row>
    <row r="518" spans="2:8" ht="9.6" customHeight="1">
      <c r="B518" s="11">
        <f t="shared" si="33"/>
        <v>46159</v>
      </c>
      <c r="C518" s="6" t="s">
        <v>176</v>
      </c>
      <c r="D518" s="6" t="s">
        <v>865</v>
      </c>
      <c r="E518" s="66" t="s">
        <v>28</v>
      </c>
      <c r="F518" s="22" t="s">
        <v>866</v>
      </c>
      <c r="G518" s="6" t="s">
        <v>70</v>
      </c>
      <c r="H518" s="7"/>
    </row>
    <row r="519" spans="2:8" ht="9.6" customHeight="1">
      <c r="B519" s="11">
        <f t="shared" si="33"/>
        <v>46159</v>
      </c>
      <c r="C519" s="6" t="s">
        <v>867</v>
      </c>
      <c r="D519" s="6" t="s">
        <v>62</v>
      </c>
      <c r="E519" s="66" t="s">
        <v>28</v>
      </c>
      <c r="F519" s="6" t="s">
        <v>868</v>
      </c>
      <c r="G519" s="6" t="s">
        <v>30</v>
      </c>
      <c r="H519" s="7"/>
    </row>
    <row r="520" spans="2:8" ht="9.6" customHeight="1">
      <c r="B520" s="11">
        <f t="shared" si="33"/>
        <v>46159</v>
      </c>
      <c r="C520" s="6" t="s">
        <v>869</v>
      </c>
      <c r="D520" s="6" t="s">
        <v>52</v>
      </c>
      <c r="E520" s="66" t="s">
        <v>28</v>
      </c>
      <c r="F520" s="6" t="s">
        <v>870</v>
      </c>
      <c r="G520" s="6" t="s">
        <v>187</v>
      </c>
      <c r="H520" s="7"/>
    </row>
    <row r="521" spans="2:8" ht="9.6" customHeight="1">
      <c r="B521" s="11">
        <f t="shared" si="33"/>
        <v>46159</v>
      </c>
      <c r="C521" s="6" t="s">
        <v>871</v>
      </c>
      <c r="D521" s="6" t="s">
        <v>44</v>
      </c>
      <c r="E521" s="66" t="s">
        <v>28</v>
      </c>
      <c r="F521" s="6" t="s">
        <v>872</v>
      </c>
      <c r="G521" s="6" t="s">
        <v>70</v>
      </c>
      <c r="H521" s="7"/>
    </row>
    <row r="522" spans="2:8" ht="9.6" customHeight="1">
      <c r="B522" s="11">
        <f t="shared" si="33"/>
        <v>46159</v>
      </c>
      <c r="C522" s="6" t="s">
        <v>176</v>
      </c>
      <c r="D522" s="6" t="s">
        <v>52</v>
      </c>
      <c r="E522" s="66" t="s">
        <v>28</v>
      </c>
      <c r="F522" s="6" t="s">
        <v>873</v>
      </c>
      <c r="G522" s="6" t="s">
        <v>30</v>
      </c>
      <c r="H522" s="7"/>
    </row>
    <row r="523" spans="2:8" ht="9.6" customHeight="1">
      <c r="B523" s="11">
        <f t="shared" si="33"/>
        <v>46159</v>
      </c>
      <c r="C523" s="6" t="s">
        <v>176</v>
      </c>
      <c r="D523" s="6" t="s">
        <v>456</v>
      </c>
      <c r="E523" s="66" t="s">
        <v>28</v>
      </c>
      <c r="F523" s="6" t="s">
        <v>874</v>
      </c>
      <c r="G523" s="6" t="s">
        <v>371</v>
      </c>
      <c r="H523" s="7"/>
    </row>
    <row r="524" spans="2:8" ht="9.6" customHeight="1">
      <c r="B524" s="11">
        <f t="shared" si="33"/>
        <v>46159</v>
      </c>
      <c r="C524" s="6" t="s">
        <v>875</v>
      </c>
      <c r="D524" s="6" t="s">
        <v>52</v>
      </c>
      <c r="E524" s="66" t="s">
        <v>11</v>
      </c>
      <c r="F524" s="6" t="s">
        <v>876</v>
      </c>
      <c r="G524" s="6" t="s">
        <v>877</v>
      </c>
      <c r="H524" s="7"/>
    </row>
    <row r="525" spans="2:8" ht="9.6" customHeight="1">
      <c r="B525" s="11">
        <f t="shared" si="33"/>
        <v>46159</v>
      </c>
      <c r="C525" s="6" t="s">
        <v>878</v>
      </c>
      <c r="D525" s="6" t="s">
        <v>879</v>
      </c>
      <c r="E525" s="66" t="s">
        <v>11</v>
      </c>
      <c r="F525" s="6" t="s">
        <v>685</v>
      </c>
      <c r="G525" s="6" t="s">
        <v>34</v>
      </c>
      <c r="H525" s="7"/>
    </row>
    <row r="526" spans="2:8" ht="9.6" customHeight="1">
      <c r="B526" s="11">
        <f t="shared" si="33"/>
        <v>46159</v>
      </c>
      <c r="C526" s="6" t="s">
        <v>880</v>
      </c>
      <c r="D526" s="6" t="s">
        <v>881</v>
      </c>
      <c r="E526" s="66" t="s">
        <v>11</v>
      </c>
      <c r="F526" s="6" t="s">
        <v>882</v>
      </c>
      <c r="G526" s="6" t="s">
        <v>34</v>
      </c>
      <c r="H526" s="7"/>
    </row>
    <row r="527" spans="2:8" ht="9.6" customHeight="1">
      <c r="B527" s="11">
        <f t="shared" si="33"/>
        <v>46159</v>
      </c>
      <c r="C527" s="6" t="s">
        <v>883</v>
      </c>
      <c r="D527" s="6" t="s">
        <v>735</v>
      </c>
      <c r="E527" s="66" t="s">
        <v>11</v>
      </c>
      <c r="F527" s="6" t="s">
        <v>884</v>
      </c>
      <c r="G527" s="6" t="s">
        <v>34</v>
      </c>
      <c r="H527" s="7"/>
    </row>
    <row r="528" spans="2:8" ht="9.6" customHeight="1">
      <c r="B528" s="5">
        <v>46161</v>
      </c>
      <c r="C528" s="12" t="s">
        <v>34</v>
      </c>
      <c r="D528" s="12" t="s">
        <v>885</v>
      </c>
      <c r="E528" s="66" t="s">
        <v>11</v>
      </c>
      <c r="F528" s="12" t="s">
        <v>886</v>
      </c>
      <c r="G528" s="12" t="s">
        <v>887</v>
      </c>
      <c r="H528" s="7"/>
    </row>
    <row r="529" spans="2:8" ht="9.6" customHeight="1">
      <c r="B529" s="11">
        <f t="shared" ref="B529:B567" si="34">B528</f>
        <v>46161</v>
      </c>
      <c r="C529" s="6" t="s">
        <v>888</v>
      </c>
      <c r="D529" s="6" t="s">
        <v>374</v>
      </c>
      <c r="E529" s="66" t="s">
        <v>11</v>
      </c>
      <c r="F529" s="6" t="s">
        <v>889</v>
      </c>
      <c r="G529" s="6" t="s">
        <v>34</v>
      </c>
      <c r="H529" s="7"/>
    </row>
    <row r="530" spans="2:8" ht="9.6" customHeight="1">
      <c r="B530" s="11">
        <f t="shared" si="34"/>
        <v>46161</v>
      </c>
      <c r="C530" s="6" t="s">
        <v>890</v>
      </c>
      <c r="D530" s="6" t="s">
        <v>76</v>
      </c>
      <c r="E530" s="66" t="s">
        <v>11</v>
      </c>
      <c r="F530" s="6" t="s">
        <v>891</v>
      </c>
      <c r="G530" s="6" t="s">
        <v>892</v>
      </c>
      <c r="H530" s="7"/>
    </row>
    <row r="531" spans="2:8" ht="9.6" customHeight="1">
      <c r="B531" s="11">
        <f t="shared" si="34"/>
        <v>46161</v>
      </c>
      <c r="C531" s="6" t="s">
        <v>893</v>
      </c>
      <c r="D531" s="6" t="s">
        <v>42</v>
      </c>
      <c r="E531" s="66" t="s">
        <v>11</v>
      </c>
      <c r="F531" s="6" t="s">
        <v>894</v>
      </c>
      <c r="G531" s="6" t="s">
        <v>34</v>
      </c>
      <c r="H531" s="7"/>
    </row>
    <row r="532" spans="2:8" ht="9.6" customHeight="1">
      <c r="B532" s="11">
        <f t="shared" si="34"/>
        <v>46161</v>
      </c>
      <c r="C532" s="6" t="s">
        <v>895</v>
      </c>
      <c r="D532" s="6" t="s">
        <v>462</v>
      </c>
      <c r="E532" s="66" t="s">
        <v>28</v>
      </c>
      <c r="F532" s="23" t="s">
        <v>896</v>
      </c>
      <c r="G532" s="6" t="s">
        <v>83</v>
      </c>
      <c r="H532" s="7"/>
    </row>
    <row r="533" spans="2:8" ht="9.6" customHeight="1">
      <c r="B533" s="11">
        <f t="shared" si="34"/>
        <v>46161</v>
      </c>
      <c r="C533" s="6" t="s">
        <v>897</v>
      </c>
      <c r="D533" s="6" t="s">
        <v>76</v>
      </c>
      <c r="E533" s="66" t="s">
        <v>28</v>
      </c>
      <c r="F533" s="23" t="s">
        <v>898</v>
      </c>
      <c r="G533" s="6" t="s">
        <v>83</v>
      </c>
      <c r="H533" s="7"/>
    </row>
    <row r="534" spans="2:8" ht="9.6" customHeight="1">
      <c r="B534" s="11">
        <f t="shared" si="34"/>
        <v>46161</v>
      </c>
      <c r="C534" s="6" t="s">
        <v>897</v>
      </c>
      <c r="D534" s="6" t="s">
        <v>42</v>
      </c>
      <c r="E534" s="66" t="s">
        <v>28</v>
      </c>
      <c r="F534" s="23" t="s">
        <v>899</v>
      </c>
      <c r="G534" s="6" t="s">
        <v>83</v>
      </c>
      <c r="H534" s="7"/>
    </row>
    <row r="535" spans="2:8" ht="9.6" customHeight="1">
      <c r="B535" s="11">
        <f t="shared" si="34"/>
        <v>46161</v>
      </c>
      <c r="C535" s="6" t="s">
        <v>795</v>
      </c>
      <c r="D535" s="6" t="s">
        <v>462</v>
      </c>
      <c r="E535" s="66" t="s">
        <v>28</v>
      </c>
      <c r="F535" s="23" t="s">
        <v>900</v>
      </c>
      <c r="G535" s="6" t="s">
        <v>30</v>
      </c>
      <c r="H535" s="7"/>
    </row>
    <row r="536" spans="2:8" ht="9.6" customHeight="1">
      <c r="B536" s="11">
        <f t="shared" si="34"/>
        <v>46161</v>
      </c>
      <c r="C536" s="6" t="s">
        <v>901</v>
      </c>
      <c r="D536" s="6" t="s">
        <v>23</v>
      </c>
      <c r="E536" s="66" t="s">
        <v>28</v>
      </c>
      <c r="F536" s="23" t="s">
        <v>902</v>
      </c>
      <c r="G536" s="6" t="s">
        <v>83</v>
      </c>
      <c r="H536" s="7"/>
    </row>
    <row r="537" spans="2:8" ht="9.6" customHeight="1">
      <c r="B537" s="11">
        <f t="shared" si="34"/>
        <v>46161</v>
      </c>
      <c r="C537" s="6" t="s">
        <v>903</v>
      </c>
      <c r="D537" s="6" t="s">
        <v>76</v>
      </c>
      <c r="E537" s="66" t="s">
        <v>28</v>
      </c>
      <c r="F537" s="23" t="s">
        <v>904</v>
      </c>
      <c r="G537" s="6" t="s">
        <v>83</v>
      </c>
      <c r="H537" s="7"/>
    </row>
    <row r="538" spans="2:8" ht="9.6" customHeight="1">
      <c r="B538" s="11">
        <f t="shared" si="34"/>
        <v>46161</v>
      </c>
      <c r="C538" s="6" t="s">
        <v>905</v>
      </c>
      <c r="D538" s="6" t="s">
        <v>44</v>
      </c>
      <c r="E538" s="66" t="s">
        <v>28</v>
      </c>
      <c r="F538" s="23" t="s">
        <v>906</v>
      </c>
      <c r="G538" s="6" t="s">
        <v>30</v>
      </c>
      <c r="H538" s="7"/>
    </row>
    <row r="539" spans="2:8" ht="9.6" customHeight="1">
      <c r="B539" s="11">
        <f t="shared" si="34"/>
        <v>46161</v>
      </c>
      <c r="C539" s="6" t="s">
        <v>795</v>
      </c>
      <c r="D539" s="6" t="s">
        <v>44</v>
      </c>
      <c r="E539" s="66" t="s">
        <v>28</v>
      </c>
      <c r="F539" s="23" t="s">
        <v>907</v>
      </c>
      <c r="G539" s="6" t="s">
        <v>30</v>
      </c>
      <c r="H539" s="7"/>
    </row>
    <row r="540" spans="2:8" ht="9.6" customHeight="1">
      <c r="B540" s="11">
        <f t="shared" si="34"/>
        <v>46161</v>
      </c>
      <c r="C540" s="6" t="s">
        <v>795</v>
      </c>
      <c r="D540" s="6" t="s">
        <v>44</v>
      </c>
      <c r="E540" s="66" t="s">
        <v>28</v>
      </c>
      <c r="F540" s="23" t="s">
        <v>908</v>
      </c>
      <c r="G540" s="6" t="s">
        <v>30</v>
      </c>
      <c r="H540" s="7"/>
    </row>
    <row r="541" spans="2:8" ht="9.6" customHeight="1">
      <c r="B541" s="11">
        <f t="shared" si="34"/>
        <v>46161</v>
      </c>
      <c r="C541" s="6" t="s">
        <v>795</v>
      </c>
      <c r="D541" s="6" t="s">
        <v>15</v>
      </c>
      <c r="E541" s="66" t="s">
        <v>28</v>
      </c>
      <c r="F541" s="23" t="s">
        <v>909</v>
      </c>
      <c r="G541" s="6" t="s">
        <v>30</v>
      </c>
      <c r="H541" s="7"/>
    </row>
    <row r="542" spans="2:8" ht="9.6" customHeight="1">
      <c r="B542" s="11">
        <f t="shared" si="34"/>
        <v>46161</v>
      </c>
      <c r="C542" s="6" t="s">
        <v>795</v>
      </c>
      <c r="D542" s="6" t="s">
        <v>910</v>
      </c>
      <c r="E542" s="66" t="s">
        <v>28</v>
      </c>
      <c r="F542" s="24" t="s">
        <v>911</v>
      </c>
      <c r="G542" s="6" t="s">
        <v>30</v>
      </c>
      <c r="H542" s="7"/>
    </row>
    <row r="543" spans="2:8" ht="9.6" customHeight="1">
      <c r="B543" s="11">
        <f t="shared" si="34"/>
        <v>46161</v>
      </c>
      <c r="C543" s="6" t="s">
        <v>912</v>
      </c>
      <c r="D543" s="6" t="s">
        <v>913</v>
      </c>
      <c r="E543" s="66" t="s">
        <v>28</v>
      </c>
      <c r="F543" s="23" t="s">
        <v>914</v>
      </c>
      <c r="G543" s="6" t="s">
        <v>70</v>
      </c>
      <c r="H543" s="7"/>
    </row>
    <row r="544" spans="2:8" ht="9.6" customHeight="1">
      <c r="B544" s="11">
        <f t="shared" si="34"/>
        <v>46161</v>
      </c>
      <c r="C544" s="6" t="s">
        <v>795</v>
      </c>
      <c r="D544" s="6" t="s">
        <v>44</v>
      </c>
      <c r="E544" s="66" t="s">
        <v>28</v>
      </c>
      <c r="F544" s="23" t="s">
        <v>915</v>
      </c>
      <c r="G544" s="6" t="s">
        <v>70</v>
      </c>
      <c r="H544" s="7"/>
    </row>
    <row r="545" spans="2:8" ht="9.6" customHeight="1">
      <c r="B545" s="11">
        <f t="shared" si="34"/>
        <v>46161</v>
      </c>
      <c r="C545" s="6" t="s">
        <v>916</v>
      </c>
      <c r="D545" s="6" t="s">
        <v>462</v>
      </c>
      <c r="E545" s="66" t="s">
        <v>28</v>
      </c>
      <c r="F545" s="23" t="s">
        <v>917</v>
      </c>
      <c r="G545" s="6" t="s">
        <v>83</v>
      </c>
      <c r="H545" s="7"/>
    </row>
    <row r="546" spans="2:8" ht="9.6" customHeight="1">
      <c r="B546" s="11">
        <f t="shared" si="34"/>
        <v>46161</v>
      </c>
      <c r="C546" s="6" t="s">
        <v>795</v>
      </c>
      <c r="D546" s="6" t="s">
        <v>52</v>
      </c>
      <c r="E546" s="66" t="s">
        <v>28</v>
      </c>
      <c r="F546" s="23" t="s">
        <v>918</v>
      </c>
      <c r="G546" s="6" t="s">
        <v>371</v>
      </c>
      <c r="H546" s="7"/>
    </row>
    <row r="547" spans="2:8" ht="9.6" customHeight="1">
      <c r="B547" s="11">
        <f t="shared" si="34"/>
        <v>46161</v>
      </c>
      <c r="C547" s="6" t="s">
        <v>795</v>
      </c>
      <c r="D547" s="6" t="s">
        <v>44</v>
      </c>
      <c r="E547" s="66" t="s">
        <v>28</v>
      </c>
      <c r="F547" s="23" t="s">
        <v>919</v>
      </c>
      <c r="G547" s="6" t="s">
        <v>70</v>
      </c>
      <c r="H547" s="7"/>
    </row>
    <row r="548" spans="2:8" ht="9.6" customHeight="1">
      <c r="B548" s="11">
        <f t="shared" si="34"/>
        <v>46161</v>
      </c>
      <c r="C548" s="6" t="s">
        <v>795</v>
      </c>
      <c r="D548" s="6" t="s">
        <v>44</v>
      </c>
      <c r="E548" s="66" t="s">
        <v>28</v>
      </c>
      <c r="F548" s="24" t="s">
        <v>920</v>
      </c>
      <c r="G548" s="6" t="s">
        <v>70</v>
      </c>
      <c r="H548" s="7"/>
    </row>
    <row r="549" spans="2:8" ht="9.6" customHeight="1">
      <c r="B549" s="11">
        <f t="shared" si="34"/>
        <v>46161</v>
      </c>
      <c r="C549" s="6" t="s">
        <v>921</v>
      </c>
      <c r="D549" s="6" t="s">
        <v>922</v>
      </c>
      <c r="E549" s="66" t="s">
        <v>28</v>
      </c>
      <c r="F549" s="23" t="s">
        <v>923</v>
      </c>
      <c r="G549" s="6" t="s">
        <v>30</v>
      </c>
      <c r="H549" s="7"/>
    </row>
    <row r="550" spans="2:8" ht="9.6" customHeight="1">
      <c r="B550" s="11">
        <f t="shared" si="34"/>
        <v>46161</v>
      </c>
      <c r="C550" s="6" t="s">
        <v>924</v>
      </c>
      <c r="D550" s="6" t="s">
        <v>925</v>
      </c>
      <c r="E550" s="66" t="s">
        <v>28</v>
      </c>
      <c r="F550" s="23" t="s">
        <v>623</v>
      </c>
      <c r="G550" s="6" t="s">
        <v>30</v>
      </c>
      <c r="H550" s="7"/>
    </row>
    <row r="551" spans="2:8" ht="9.6" customHeight="1">
      <c r="B551" s="11">
        <f t="shared" si="34"/>
        <v>46161</v>
      </c>
      <c r="C551" s="6" t="s">
        <v>795</v>
      </c>
      <c r="D551" s="6" t="s">
        <v>142</v>
      </c>
      <c r="E551" s="66" t="s">
        <v>28</v>
      </c>
      <c r="F551" s="23" t="s">
        <v>926</v>
      </c>
      <c r="G551" s="6" t="s">
        <v>371</v>
      </c>
      <c r="H551" s="7"/>
    </row>
    <row r="552" spans="2:8" ht="9.6" customHeight="1">
      <c r="B552" s="11">
        <f t="shared" si="34"/>
        <v>46161</v>
      </c>
      <c r="C552" s="6" t="s">
        <v>927</v>
      </c>
      <c r="D552" s="6" t="s">
        <v>62</v>
      </c>
      <c r="E552" s="66" t="s">
        <v>28</v>
      </c>
      <c r="F552" s="23" t="s">
        <v>928</v>
      </c>
      <c r="G552" s="6" t="s">
        <v>30</v>
      </c>
      <c r="H552" s="7"/>
    </row>
    <row r="553" spans="2:8" ht="9.6" customHeight="1">
      <c r="B553" s="11">
        <f t="shared" si="34"/>
        <v>46161</v>
      </c>
      <c r="C553" s="6" t="s">
        <v>929</v>
      </c>
      <c r="D553" s="6" t="s">
        <v>925</v>
      </c>
      <c r="E553" s="66" t="s">
        <v>28</v>
      </c>
      <c r="F553" s="24" t="s">
        <v>930</v>
      </c>
      <c r="G553" s="6" t="s">
        <v>30</v>
      </c>
      <c r="H553" s="7"/>
    </row>
    <row r="554" spans="2:8" ht="9.6" customHeight="1">
      <c r="B554" s="11">
        <f t="shared" si="34"/>
        <v>46161</v>
      </c>
      <c r="C554" s="6" t="s">
        <v>931</v>
      </c>
      <c r="D554" s="6" t="s">
        <v>932</v>
      </c>
      <c r="E554" s="66" t="s">
        <v>28</v>
      </c>
      <c r="F554" s="24" t="s">
        <v>933</v>
      </c>
      <c r="G554" s="6" t="s">
        <v>83</v>
      </c>
      <c r="H554" s="7"/>
    </row>
    <row r="555" spans="2:8" ht="9.6" customHeight="1">
      <c r="B555" s="11">
        <f t="shared" si="34"/>
        <v>46161</v>
      </c>
      <c r="C555" s="6" t="s">
        <v>934</v>
      </c>
      <c r="D555" s="6" t="s">
        <v>52</v>
      </c>
      <c r="E555" s="66" t="s">
        <v>28</v>
      </c>
      <c r="F555" s="23" t="s">
        <v>935</v>
      </c>
      <c r="G555" s="6" t="s">
        <v>83</v>
      </c>
      <c r="H555" s="7"/>
    </row>
    <row r="556" spans="2:8" ht="9.6" customHeight="1">
      <c r="B556" s="11">
        <f t="shared" si="34"/>
        <v>46161</v>
      </c>
      <c r="C556" s="6" t="s">
        <v>936</v>
      </c>
      <c r="D556" s="6" t="s">
        <v>937</v>
      </c>
      <c r="E556" s="66" t="s">
        <v>28</v>
      </c>
      <c r="F556" s="23" t="s">
        <v>938</v>
      </c>
      <c r="G556" s="6" t="s">
        <v>936</v>
      </c>
      <c r="H556" s="7"/>
    </row>
    <row r="557" spans="2:8" ht="9.6" customHeight="1">
      <c r="B557" s="11">
        <f t="shared" si="34"/>
        <v>46161</v>
      </c>
      <c r="C557" s="6" t="s">
        <v>795</v>
      </c>
      <c r="D557" s="6" t="s">
        <v>44</v>
      </c>
      <c r="E557" s="66" t="s">
        <v>28</v>
      </c>
      <c r="F557" s="24" t="s">
        <v>939</v>
      </c>
      <c r="G557" s="6" t="s">
        <v>30</v>
      </c>
      <c r="H557" s="7"/>
    </row>
    <row r="558" spans="2:8" ht="9.6" customHeight="1">
      <c r="B558" s="11">
        <f t="shared" si="34"/>
        <v>46161</v>
      </c>
      <c r="C558" s="6" t="s">
        <v>795</v>
      </c>
      <c r="D558" s="6" t="s">
        <v>15</v>
      </c>
      <c r="E558" s="66" t="s">
        <v>28</v>
      </c>
      <c r="F558" s="24" t="s">
        <v>940</v>
      </c>
      <c r="G558" s="6" t="s">
        <v>30</v>
      </c>
      <c r="H558" s="7"/>
    </row>
    <row r="559" spans="2:8" ht="9.6" customHeight="1">
      <c r="B559" s="11">
        <f t="shared" si="34"/>
        <v>46161</v>
      </c>
      <c r="C559" s="6" t="s">
        <v>795</v>
      </c>
      <c r="D559" s="6" t="s">
        <v>42</v>
      </c>
      <c r="E559" s="66" t="s">
        <v>28</v>
      </c>
      <c r="F559" s="23" t="s">
        <v>941</v>
      </c>
      <c r="G559" s="6" t="s">
        <v>30</v>
      </c>
      <c r="H559" s="7"/>
    </row>
    <row r="560" spans="2:8" ht="9.6" customHeight="1">
      <c r="B560" s="11">
        <f t="shared" si="34"/>
        <v>46161</v>
      </c>
      <c r="C560" s="6" t="s">
        <v>942</v>
      </c>
      <c r="D560" s="6" t="s">
        <v>52</v>
      </c>
      <c r="E560" s="66" t="s">
        <v>28</v>
      </c>
      <c r="F560" s="23" t="s">
        <v>943</v>
      </c>
      <c r="G560" s="6" t="s">
        <v>83</v>
      </c>
      <c r="H560" s="7"/>
    </row>
    <row r="561" spans="2:8" ht="9.6" customHeight="1">
      <c r="B561" s="11">
        <f t="shared" si="34"/>
        <v>46161</v>
      </c>
      <c r="C561" s="6" t="s">
        <v>944</v>
      </c>
      <c r="D561" s="6" t="s">
        <v>945</v>
      </c>
      <c r="E561" s="66" t="s">
        <v>28</v>
      </c>
      <c r="F561" s="23" t="s">
        <v>946</v>
      </c>
      <c r="G561" s="6" t="s">
        <v>123</v>
      </c>
      <c r="H561" s="7"/>
    </row>
    <row r="562" spans="2:8" ht="9.6" customHeight="1">
      <c r="B562" s="11">
        <f t="shared" si="34"/>
        <v>46161</v>
      </c>
      <c r="C562" s="6" t="s">
        <v>795</v>
      </c>
      <c r="D562" s="6" t="s">
        <v>44</v>
      </c>
      <c r="E562" s="66" t="s">
        <v>28</v>
      </c>
      <c r="F562" s="23" t="s">
        <v>947</v>
      </c>
      <c r="G562" s="6" t="s">
        <v>70</v>
      </c>
      <c r="H562" s="7"/>
    </row>
    <row r="563" spans="2:8" ht="9.6" customHeight="1">
      <c r="B563" s="11">
        <f t="shared" si="34"/>
        <v>46161</v>
      </c>
      <c r="C563" s="6" t="s">
        <v>916</v>
      </c>
      <c r="D563" s="6" t="s">
        <v>52</v>
      </c>
      <c r="E563" s="66" t="s">
        <v>28</v>
      </c>
      <c r="F563" s="23" t="s">
        <v>948</v>
      </c>
      <c r="G563" s="6" t="s">
        <v>123</v>
      </c>
      <c r="H563" s="7"/>
    </row>
    <row r="564" spans="2:8" ht="9.6" customHeight="1">
      <c r="B564" s="11">
        <f t="shared" si="34"/>
        <v>46161</v>
      </c>
      <c r="C564" s="6" t="s">
        <v>949</v>
      </c>
      <c r="D564" s="6" t="s">
        <v>44</v>
      </c>
      <c r="E564" s="66" t="s">
        <v>28</v>
      </c>
      <c r="F564" s="23" t="s">
        <v>950</v>
      </c>
      <c r="G564" s="6" t="s">
        <v>83</v>
      </c>
      <c r="H564" s="7"/>
    </row>
    <row r="565" spans="2:8" ht="9.6" customHeight="1">
      <c r="B565" s="11">
        <f t="shared" si="34"/>
        <v>46161</v>
      </c>
      <c r="C565" s="6" t="s">
        <v>951</v>
      </c>
      <c r="D565" s="6" t="s">
        <v>385</v>
      </c>
      <c r="E565" s="66" t="s">
        <v>11</v>
      </c>
      <c r="F565" s="6" t="s">
        <v>952</v>
      </c>
      <c r="G565" s="6" t="s">
        <v>51</v>
      </c>
      <c r="H565" s="7"/>
    </row>
    <row r="566" spans="2:8" ht="9.6" customHeight="1">
      <c r="B566" s="11">
        <f t="shared" si="34"/>
        <v>46161</v>
      </c>
      <c r="C566" s="6" t="s">
        <v>953</v>
      </c>
      <c r="D566" s="6" t="s">
        <v>910</v>
      </c>
      <c r="E566" s="66" t="s">
        <v>11</v>
      </c>
      <c r="F566" s="6" t="s">
        <v>954</v>
      </c>
      <c r="G566" s="6" t="s">
        <v>51</v>
      </c>
      <c r="H566" s="7"/>
    </row>
    <row r="567" spans="2:8" ht="9.6" customHeight="1">
      <c r="B567" s="11">
        <f t="shared" si="34"/>
        <v>46161</v>
      </c>
      <c r="C567" s="6" t="s">
        <v>955</v>
      </c>
      <c r="D567" s="6" t="s">
        <v>19</v>
      </c>
      <c r="E567" s="66" t="s">
        <v>11</v>
      </c>
      <c r="F567" s="6" t="s">
        <v>629</v>
      </c>
      <c r="G567" s="6" t="s">
        <v>51</v>
      </c>
      <c r="H567" s="7"/>
    </row>
    <row r="568" spans="2:8" ht="9.6" customHeight="1">
      <c r="B568" s="5">
        <v>46162</v>
      </c>
      <c r="C568" s="6" t="s">
        <v>956</v>
      </c>
      <c r="D568" s="6" t="s">
        <v>232</v>
      </c>
      <c r="E568" s="66" t="s">
        <v>11</v>
      </c>
      <c r="F568" s="6" t="s">
        <v>957</v>
      </c>
      <c r="G568" s="6" t="s">
        <v>51</v>
      </c>
      <c r="H568" s="7"/>
    </row>
    <row r="569" spans="2:8" ht="9.6" customHeight="1">
      <c r="B569" s="11">
        <f t="shared" ref="B569:B576" si="35">B568</f>
        <v>46162</v>
      </c>
      <c r="C569" s="6" t="s">
        <v>958</v>
      </c>
      <c r="D569" s="6" t="s">
        <v>94</v>
      </c>
      <c r="E569" s="66" t="s">
        <v>11</v>
      </c>
      <c r="F569" s="6" t="s">
        <v>959</v>
      </c>
      <c r="G569" s="6" t="s">
        <v>51</v>
      </c>
      <c r="H569" s="7"/>
    </row>
    <row r="570" spans="2:8" ht="9.6" customHeight="1">
      <c r="B570" s="11">
        <f t="shared" si="35"/>
        <v>46162</v>
      </c>
      <c r="C570" s="6" t="s">
        <v>960</v>
      </c>
      <c r="D570" s="6" t="s">
        <v>52</v>
      </c>
      <c r="E570" s="66" t="s">
        <v>11</v>
      </c>
      <c r="F570" s="6" t="s">
        <v>961</v>
      </c>
      <c r="G570" s="6" t="s">
        <v>30</v>
      </c>
      <c r="H570" s="7"/>
    </row>
    <row r="571" spans="2:8" ht="9.6" customHeight="1">
      <c r="B571" s="11">
        <f t="shared" si="35"/>
        <v>46162</v>
      </c>
      <c r="C571" s="6" t="s">
        <v>35</v>
      </c>
      <c r="D571" s="6" t="s">
        <v>962</v>
      </c>
      <c r="E571" s="66" t="s">
        <v>11</v>
      </c>
      <c r="F571" s="6" t="s">
        <v>963</v>
      </c>
      <c r="G571" s="6" t="s">
        <v>21</v>
      </c>
      <c r="H571" s="7"/>
    </row>
    <row r="572" spans="2:8" ht="9.6" customHeight="1">
      <c r="B572" s="11">
        <f t="shared" si="35"/>
        <v>46162</v>
      </c>
      <c r="C572" s="6" t="s">
        <v>964</v>
      </c>
      <c r="D572" s="6" t="s">
        <v>965</v>
      </c>
      <c r="E572" s="66" t="s">
        <v>11</v>
      </c>
      <c r="F572" s="6" t="s">
        <v>966</v>
      </c>
      <c r="G572" s="6" t="s">
        <v>51</v>
      </c>
      <c r="H572" s="7"/>
    </row>
    <row r="573" spans="2:8" ht="9.6" customHeight="1">
      <c r="B573" s="11">
        <f t="shared" si="35"/>
        <v>46162</v>
      </c>
      <c r="C573" s="6" t="s">
        <v>967</v>
      </c>
      <c r="D573" s="6" t="s">
        <v>612</v>
      </c>
      <c r="E573" s="66" t="s">
        <v>11</v>
      </c>
      <c r="F573" s="6" t="s">
        <v>968</v>
      </c>
      <c r="G573" s="6" t="s">
        <v>51</v>
      </c>
      <c r="H573" s="7"/>
    </row>
    <row r="574" spans="2:8" ht="9.6" customHeight="1">
      <c r="B574" s="11">
        <f t="shared" si="35"/>
        <v>46162</v>
      </c>
      <c r="C574" s="6" t="s">
        <v>35</v>
      </c>
      <c r="D574" s="6" t="s">
        <v>969</v>
      </c>
      <c r="E574" s="66" t="s">
        <v>11</v>
      </c>
      <c r="F574" s="6" t="s">
        <v>970</v>
      </c>
      <c r="G574" s="6" t="s">
        <v>21</v>
      </c>
      <c r="H574" s="7"/>
    </row>
    <row r="575" spans="2:8" ht="9.6" customHeight="1">
      <c r="B575" s="11">
        <f t="shared" si="35"/>
        <v>46162</v>
      </c>
      <c r="C575" s="6" t="s">
        <v>971</v>
      </c>
      <c r="D575" s="6" t="s">
        <v>583</v>
      </c>
      <c r="E575" s="66" t="s">
        <v>11</v>
      </c>
      <c r="F575" s="6" t="s">
        <v>972</v>
      </c>
      <c r="G575" s="6" t="s">
        <v>51</v>
      </c>
      <c r="H575" s="7"/>
    </row>
    <row r="576" spans="2:8" ht="9.6" customHeight="1">
      <c r="B576" s="11">
        <f t="shared" si="35"/>
        <v>46162</v>
      </c>
      <c r="C576" s="6" t="s">
        <v>973</v>
      </c>
      <c r="D576" s="6" t="s">
        <v>385</v>
      </c>
      <c r="E576" s="66" t="s">
        <v>11</v>
      </c>
      <c r="F576" s="6" t="s">
        <v>974</v>
      </c>
      <c r="G576" s="6" t="s">
        <v>51</v>
      </c>
      <c r="H576" s="7"/>
    </row>
    <row r="577" spans="2:8" ht="9.6" customHeight="1">
      <c r="B577" s="20">
        <v>46163</v>
      </c>
      <c r="C577" s="6" t="s">
        <v>975</v>
      </c>
      <c r="D577" s="7" t="s">
        <v>256</v>
      </c>
      <c r="E577" s="66" t="s">
        <v>11</v>
      </c>
      <c r="F577" s="6" t="s">
        <v>976</v>
      </c>
      <c r="G577" s="6" t="s">
        <v>51</v>
      </c>
      <c r="H577" s="7"/>
    </row>
    <row r="578" spans="2:8" ht="9.6" customHeight="1">
      <c r="B578" s="11">
        <f>B577</f>
        <v>46163</v>
      </c>
      <c r="C578" s="6" t="s">
        <v>977</v>
      </c>
      <c r="D578" s="6" t="s">
        <v>420</v>
      </c>
      <c r="E578" s="66" t="s">
        <v>11</v>
      </c>
      <c r="F578" s="6" t="s">
        <v>978</v>
      </c>
      <c r="G578" s="6" t="s">
        <v>51</v>
      </c>
      <c r="H578" s="7"/>
    </row>
    <row r="579" spans="2:8" ht="9.6" customHeight="1">
      <c r="B579" s="11">
        <f>B578</f>
        <v>46163</v>
      </c>
      <c r="C579" s="6" t="s">
        <v>979</v>
      </c>
      <c r="D579" s="6" t="s">
        <v>42</v>
      </c>
      <c r="E579" s="66" t="s">
        <v>11</v>
      </c>
      <c r="F579" s="6" t="s">
        <v>980</v>
      </c>
      <c r="G579" s="6" t="s">
        <v>51</v>
      </c>
      <c r="H579" s="7"/>
    </row>
    <row r="580" spans="2:8" ht="9.6" customHeight="1">
      <c r="B580" s="11">
        <f>B579</f>
        <v>46163</v>
      </c>
      <c r="C580" s="6" t="s">
        <v>981</v>
      </c>
      <c r="D580" s="6" t="s">
        <v>76</v>
      </c>
      <c r="E580" s="66" t="s">
        <v>11</v>
      </c>
      <c r="F580" s="6" t="s">
        <v>982</v>
      </c>
      <c r="G580" s="6" t="s">
        <v>34</v>
      </c>
      <c r="H580" s="7"/>
    </row>
    <row r="581" spans="2:8" ht="9.6" customHeight="1">
      <c r="B581" s="11">
        <f>B580</f>
        <v>46163</v>
      </c>
      <c r="C581" s="6" t="s">
        <v>983</v>
      </c>
      <c r="D581" s="6" t="s">
        <v>256</v>
      </c>
      <c r="E581" s="66" t="s">
        <v>11</v>
      </c>
      <c r="F581" s="6" t="s">
        <v>984</v>
      </c>
      <c r="G581" s="6" t="s">
        <v>648</v>
      </c>
      <c r="H581" s="7"/>
    </row>
    <row r="582" spans="2:8" ht="9.6" customHeight="1">
      <c r="B582" s="5">
        <v>46164</v>
      </c>
      <c r="C582" s="6" t="s">
        <v>985</v>
      </c>
      <c r="D582" s="7" t="s">
        <v>42</v>
      </c>
      <c r="E582" s="66" t="s">
        <v>28</v>
      </c>
      <c r="F582" s="12" t="s">
        <v>986</v>
      </c>
      <c r="G582" s="12" t="s">
        <v>83</v>
      </c>
      <c r="H582" s="7"/>
    </row>
    <row r="583" spans="2:8" ht="9.6" customHeight="1">
      <c r="B583" s="11">
        <f t="shared" ref="B583:B610" si="36">B582</f>
        <v>46164</v>
      </c>
      <c r="C583" s="6" t="s">
        <v>987</v>
      </c>
      <c r="D583" s="6" t="s">
        <v>52</v>
      </c>
      <c r="E583" s="66" t="s">
        <v>28</v>
      </c>
      <c r="F583" s="6" t="s">
        <v>988</v>
      </c>
      <c r="G583" s="6" t="s">
        <v>30</v>
      </c>
      <c r="H583" s="7"/>
    </row>
    <row r="584" spans="2:8" ht="9.6" customHeight="1">
      <c r="B584" s="11">
        <f t="shared" si="36"/>
        <v>46164</v>
      </c>
      <c r="C584" s="6" t="s">
        <v>989</v>
      </c>
      <c r="D584" s="6" t="s">
        <v>44</v>
      </c>
      <c r="E584" s="66" t="s">
        <v>28</v>
      </c>
      <c r="F584" s="6" t="s">
        <v>990</v>
      </c>
      <c r="G584" s="6" t="s">
        <v>30</v>
      </c>
      <c r="H584" s="7"/>
    </row>
    <row r="585" spans="2:8" ht="9.6" customHeight="1">
      <c r="B585" s="11">
        <f t="shared" si="36"/>
        <v>46164</v>
      </c>
      <c r="C585" s="6" t="s">
        <v>989</v>
      </c>
      <c r="D585" s="6" t="s">
        <v>76</v>
      </c>
      <c r="E585" s="66" t="s">
        <v>28</v>
      </c>
      <c r="F585" s="6" t="s">
        <v>991</v>
      </c>
      <c r="G585" s="6" t="s">
        <v>30</v>
      </c>
      <c r="H585" s="7"/>
    </row>
    <row r="586" spans="2:8" ht="9.6" customHeight="1">
      <c r="B586" s="11">
        <f t="shared" si="36"/>
        <v>46164</v>
      </c>
      <c r="C586" s="6" t="s">
        <v>992</v>
      </c>
      <c r="D586" s="6" t="s">
        <v>885</v>
      </c>
      <c r="E586" s="66" t="s">
        <v>28</v>
      </c>
      <c r="F586" s="6" t="s">
        <v>578</v>
      </c>
      <c r="G586" s="6" t="s">
        <v>417</v>
      </c>
      <c r="H586" s="7"/>
    </row>
    <row r="587" spans="2:8" ht="9.6" customHeight="1">
      <c r="B587" s="11">
        <f t="shared" si="36"/>
        <v>46164</v>
      </c>
      <c r="C587" s="6" t="s">
        <v>417</v>
      </c>
      <c r="D587" s="6" t="s">
        <v>42</v>
      </c>
      <c r="E587" s="66" t="s">
        <v>28</v>
      </c>
      <c r="F587" s="6" t="s">
        <v>993</v>
      </c>
      <c r="G587" s="6" t="s">
        <v>417</v>
      </c>
      <c r="H587" s="7"/>
    </row>
    <row r="588" spans="2:8" ht="9.6" customHeight="1">
      <c r="B588" s="11">
        <f t="shared" si="36"/>
        <v>46164</v>
      </c>
      <c r="C588" s="6" t="s">
        <v>994</v>
      </c>
      <c r="D588" s="6" t="s">
        <v>224</v>
      </c>
      <c r="E588" s="66" t="s">
        <v>28</v>
      </c>
      <c r="F588" s="6" t="s">
        <v>995</v>
      </c>
      <c r="G588" s="6" t="s">
        <v>123</v>
      </c>
      <c r="H588" s="7"/>
    </row>
    <row r="589" spans="2:8" ht="9.6" customHeight="1">
      <c r="B589" s="11">
        <f t="shared" si="36"/>
        <v>46164</v>
      </c>
      <c r="C589" s="6" t="s">
        <v>996</v>
      </c>
      <c r="D589" s="6" t="s">
        <v>997</v>
      </c>
      <c r="E589" s="66" t="s">
        <v>28</v>
      </c>
      <c r="F589" s="6" t="s">
        <v>998</v>
      </c>
      <c r="G589" s="6" t="s">
        <v>123</v>
      </c>
      <c r="H589" s="7"/>
    </row>
    <row r="590" spans="2:8" ht="9.6" customHeight="1">
      <c r="B590" s="11">
        <f t="shared" si="36"/>
        <v>46164</v>
      </c>
      <c r="C590" s="6" t="s">
        <v>989</v>
      </c>
      <c r="D590" s="6" t="s">
        <v>94</v>
      </c>
      <c r="E590" s="66" t="s">
        <v>28</v>
      </c>
      <c r="F590" s="6" t="s">
        <v>999</v>
      </c>
      <c r="G590" s="6" t="s">
        <v>1000</v>
      </c>
      <c r="H590" s="7"/>
    </row>
    <row r="591" spans="2:8" ht="9.6" customHeight="1">
      <c r="B591" s="11">
        <f t="shared" si="36"/>
        <v>46164</v>
      </c>
      <c r="C591" s="6" t="s">
        <v>1001</v>
      </c>
      <c r="D591" s="6" t="s">
        <v>81</v>
      </c>
      <c r="E591" s="66" t="s">
        <v>28</v>
      </c>
      <c r="F591" s="6" t="s">
        <v>1002</v>
      </c>
      <c r="G591" s="6" t="s">
        <v>123</v>
      </c>
      <c r="H591" s="7"/>
    </row>
    <row r="592" spans="2:8" ht="9.6" customHeight="1">
      <c r="B592" s="11">
        <f t="shared" si="36"/>
        <v>46164</v>
      </c>
      <c r="C592" s="6" t="s">
        <v>989</v>
      </c>
      <c r="D592" s="6" t="s">
        <v>94</v>
      </c>
      <c r="E592" s="66" t="s">
        <v>28</v>
      </c>
      <c r="F592" s="6" t="s">
        <v>1003</v>
      </c>
      <c r="G592" s="6" t="s">
        <v>371</v>
      </c>
      <c r="H592" s="7"/>
    </row>
    <row r="593" spans="2:8" ht="9.6" customHeight="1">
      <c r="B593" s="11">
        <f t="shared" si="36"/>
        <v>46164</v>
      </c>
      <c r="C593" s="6" t="s">
        <v>1004</v>
      </c>
      <c r="D593" s="6" t="s">
        <v>42</v>
      </c>
      <c r="E593" s="66" t="s">
        <v>28</v>
      </c>
      <c r="F593" s="6" t="s">
        <v>1005</v>
      </c>
      <c r="G593" s="6" t="s">
        <v>123</v>
      </c>
      <c r="H593" s="7"/>
    </row>
    <row r="594" spans="2:8" ht="9.6" customHeight="1">
      <c r="B594" s="11">
        <f t="shared" si="36"/>
        <v>46164</v>
      </c>
      <c r="C594" s="6" t="s">
        <v>858</v>
      </c>
      <c r="D594" s="6" t="s">
        <v>42</v>
      </c>
      <c r="E594" s="66" t="s">
        <v>28</v>
      </c>
      <c r="F594" s="6" t="s">
        <v>860</v>
      </c>
      <c r="G594" s="6" t="s">
        <v>123</v>
      </c>
      <c r="H594" s="7"/>
    </row>
    <row r="595" spans="2:8" ht="9.6" customHeight="1">
      <c r="B595" s="11">
        <f t="shared" si="36"/>
        <v>46164</v>
      </c>
      <c r="C595" s="6" t="s">
        <v>1006</v>
      </c>
      <c r="D595" s="6" t="s">
        <v>23</v>
      </c>
      <c r="E595" s="66" t="s">
        <v>28</v>
      </c>
      <c r="F595" s="6" t="s">
        <v>1007</v>
      </c>
      <c r="G595" s="6" t="s">
        <v>30</v>
      </c>
      <c r="H595" s="7"/>
    </row>
    <row r="596" spans="2:8" ht="9.6" customHeight="1">
      <c r="B596" s="11">
        <f t="shared" si="36"/>
        <v>46164</v>
      </c>
      <c r="C596" s="6" t="s">
        <v>1008</v>
      </c>
      <c r="D596" s="6" t="s">
        <v>352</v>
      </c>
      <c r="E596" s="66" t="s">
        <v>28</v>
      </c>
      <c r="F596" s="6" t="s">
        <v>1009</v>
      </c>
      <c r="G596" s="6" t="s">
        <v>123</v>
      </c>
      <c r="H596" s="7"/>
    </row>
    <row r="597" spans="2:8" ht="9.6" customHeight="1">
      <c r="B597" s="11">
        <f t="shared" si="36"/>
        <v>46164</v>
      </c>
      <c r="C597" s="6" t="s">
        <v>1010</v>
      </c>
      <c r="D597" s="6" t="s">
        <v>94</v>
      </c>
      <c r="E597" s="66" t="s">
        <v>28</v>
      </c>
      <c r="F597" s="17" t="s">
        <v>1011</v>
      </c>
      <c r="G597" s="6" t="s">
        <v>123</v>
      </c>
      <c r="H597" s="7"/>
    </row>
    <row r="598" spans="2:8" ht="9.6" customHeight="1">
      <c r="B598" s="11">
        <f t="shared" si="36"/>
        <v>46164</v>
      </c>
      <c r="C598" s="6" t="s">
        <v>1012</v>
      </c>
      <c r="D598" s="6" t="s">
        <v>44</v>
      </c>
      <c r="E598" s="66" t="s">
        <v>28</v>
      </c>
      <c r="F598" s="17" t="s">
        <v>1013</v>
      </c>
      <c r="G598" s="6" t="s">
        <v>70</v>
      </c>
      <c r="H598" s="7"/>
    </row>
    <row r="599" spans="2:8" ht="9.6" customHeight="1">
      <c r="B599" s="11">
        <f t="shared" si="36"/>
        <v>46164</v>
      </c>
      <c r="C599" s="6" t="s">
        <v>1014</v>
      </c>
      <c r="D599" s="6" t="s">
        <v>44</v>
      </c>
      <c r="E599" s="66" t="s">
        <v>28</v>
      </c>
      <c r="F599" s="6" t="s">
        <v>1015</v>
      </c>
      <c r="G599" s="6" t="s">
        <v>70</v>
      </c>
      <c r="H599" s="7"/>
    </row>
    <row r="600" spans="2:8" ht="9.6" customHeight="1">
      <c r="B600" s="11">
        <f t="shared" si="36"/>
        <v>46164</v>
      </c>
      <c r="C600" s="6" t="s">
        <v>989</v>
      </c>
      <c r="D600" s="6" t="s">
        <v>213</v>
      </c>
      <c r="E600" s="66" t="s">
        <v>28</v>
      </c>
      <c r="F600" s="6" t="s">
        <v>1016</v>
      </c>
      <c r="G600" s="6" t="s">
        <v>237</v>
      </c>
      <c r="H600" s="7"/>
    </row>
    <row r="601" spans="2:8" ht="9.6" customHeight="1">
      <c r="B601" s="11">
        <f t="shared" si="36"/>
        <v>46164</v>
      </c>
      <c r="C601" s="6" t="s">
        <v>989</v>
      </c>
      <c r="D601" s="6" t="s">
        <v>213</v>
      </c>
      <c r="E601" s="66" t="s">
        <v>28</v>
      </c>
      <c r="F601" s="6" t="s">
        <v>1017</v>
      </c>
      <c r="G601" s="6" t="s">
        <v>237</v>
      </c>
      <c r="H601" s="7"/>
    </row>
    <row r="602" spans="2:8" ht="9.6" customHeight="1">
      <c r="B602" s="11">
        <f t="shared" si="36"/>
        <v>46164</v>
      </c>
      <c r="C602" s="6" t="s">
        <v>1018</v>
      </c>
      <c r="D602" s="6" t="s">
        <v>94</v>
      </c>
      <c r="E602" s="66" t="s">
        <v>28</v>
      </c>
      <c r="F602" s="6" t="s">
        <v>1019</v>
      </c>
      <c r="G602" s="6" t="s">
        <v>123</v>
      </c>
      <c r="H602" s="7"/>
    </row>
    <row r="603" spans="2:8" ht="9.6" customHeight="1">
      <c r="B603" s="11">
        <f t="shared" si="36"/>
        <v>46164</v>
      </c>
      <c r="C603" s="6" t="s">
        <v>1020</v>
      </c>
      <c r="D603" s="6" t="s">
        <v>44</v>
      </c>
      <c r="E603" s="66" t="s">
        <v>28</v>
      </c>
      <c r="F603" s="17" t="s">
        <v>1021</v>
      </c>
      <c r="G603" s="6" t="s">
        <v>70</v>
      </c>
      <c r="H603" s="7"/>
    </row>
    <row r="604" spans="2:8" ht="9.6" customHeight="1">
      <c r="B604" s="11">
        <f t="shared" si="36"/>
        <v>46164</v>
      </c>
      <c r="C604" s="6" t="s">
        <v>1022</v>
      </c>
      <c r="D604" s="6" t="s">
        <v>76</v>
      </c>
      <c r="E604" s="66" t="s">
        <v>28</v>
      </c>
      <c r="F604" s="17" t="s">
        <v>1023</v>
      </c>
      <c r="G604" s="6" t="s">
        <v>123</v>
      </c>
      <c r="H604" s="7"/>
    </row>
    <row r="605" spans="2:8" ht="9.6" customHeight="1">
      <c r="B605" s="11">
        <f t="shared" si="36"/>
        <v>46164</v>
      </c>
      <c r="C605" s="6" t="s">
        <v>1020</v>
      </c>
      <c r="D605" s="6" t="s">
        <v>44</v>
      </c>
      <c r="E605" s="66" t="s">
        <v>28</v>
      </c>
      <c r="F605" s="17" t="s">
        <v>114</v>
      </c>
      <c r="G605" s="6" t="s">
        <v>30</v>
      </c>
      <c r="H605" s="7"/>
    </row>
    <row r="606" spans="2:8" ht="9.6" customHeight="1">
      <c r="B606" s="11">
        <f t="shared" si="36"/>
        <v>46164</v>
      </c>
      <c r="C606" s="6" t="s">
        <v>1024</v>
      </c>
      <c r="D606" s="6" t="s">
        <v>116</v>
      </c>
      <c r="E606" s="66" t="s">
        <v>11</v>
      </c>
      <c r="F606" s="6" t="s">
        <v>1025</v>
      </c>
      <c r="G606" s="6" t="s">
        <v>34</v>
      </c>
      <c r="H606" s="7"/>
    </row>
    <row r="607" spans="2:8" ht="9.6" customHeight="1">
      <c r="B607" s="11">
        <f t="shared" si="36"/>
        <v>46164</v>
      </c>
      <c r="C607" s="6" t="s">
        <v>1026</v>
      </c>
      <c r="D607" s="6" t="s">
        <v>1027</v>
      </c>
      <c r="E607" s="66" t="s">
        <v>11</v>
      </c>
      <c r="F607" s="6" t="s">
        <v>1028</v>
      </c>
      <c r="G607" s="6" t="s">
        <v>483</v>
      </c>
      <c r="H607" s="7"/>
    </row>
    <row r="608" spans="2:8" ht="9.6" customHeight="1">
      <c r="B608" s="11">
        <f t="shared" si="36"/>
        <v>46164</v>
      </c>
      <c r="C608" s="6" t="s">
        <v>1029</v>
      </c>
      <c r="D608" s="6" t="s">
        <v>1030</v>
      </c>
      <c r="E608" s="66" t="s">
        <v>11</v>
      </c>
      <c r="F608" s="6" t="s">
        <v>1031</v>
      </c>
      <c r="G608" s="6" t="s">
        <v>1032</v>
      </c>
      <c r="H608" s="7"/>
    </row>
    <row r="609" spans="2:8" ht="9.6" customHeight="1">
      <c r="B609" s="11">
        <f t="shared" si="36"/>
        <v>46164</v>
      </c>
      <c r="C609" s="6" t="s">
        <v>1033</v>
      </c>
      <c r="D609" s="6" t="s">
        <v>23</v>
      </c>
      <c r="E609" s="66" t="s">
        <v>11</v>
      </c>
      <c r="F609" s="6" t="s">
        <v>1034</v>
      </c>
      <c r="G609" s="6" t="s">
        <v>1035</v>
      </c>
      <c r="H609" s="7"/>
    </row>
    <row r="610" spans="2:8" ht="9.6" customHeight="1">
      <c r="B610" s="11">
        <f t="shared" si="36"/>
        <v>46164</v>
      </c>
      <c r="C610" s="6" t="s">
        <v>1036</v>
      </c>
      <c r="D610" s="6" t="s">
        <v>1037</v>
      </c>
      <c r="E610" s="66" t="s">
        <v>11</v>
      </c>
      <c r="F610" s="6" t="s">
        <v>1038</v>
      </c>
      <c r="G610" s="17"/>
      <c r="H610" s="9"/>
    </row>
    <row r="611" spans="2:8" ht="9.6" customHeight="1">
      <c r="B611" s="5">
        <v>46165</v>
      </c>
      <c r="C611" s="12" t="s">
        <v>249</v>
      </c>
      <c r="D611" s="12" t="s">
        <v>23</v>
      </c>
      <c r="E611" s="66" t="s">
        <v>28</v>
      </c>
      <c r="F611" s="12" t="s">
        <v>1039</v>
      </c>
      <c r="G611" s="12" t="s">
        <v>34</v>
      </c>
      <c r="H611" s="7"/>
    </row>
    <row r="612" spans="2:8" ht="9.6" customHeight="1">
      <c r="B612" s="11">
        <f t="shared" ref="B612:B627" si="37">B611</f>
        <v>46165</v>
      </c>
      <c r="C612" s="6" t="s">
        <v>176</v>
      </c>
      <c r="D612" s="12" t="s">
        <v>15</v>
      </c>
      <c r="E612" s="66" t="s">
        <v>28</v>
      </c>
      <c r="F612" s="6" t="s">
        <v>1040</v>
      </c>
      <c r="G612" s="12" t="s">
        <v>30</v>
      </c>
      <c r="H612" s="7"/>
    </row>
    <row r="613" spans="2:8" ht="9.6" customHeight="1">
      <c r="B613" s="11">
        <f t="shared" si="37"/>
        <v>46165</v>
      </c>
      <c r="C613" s="6" t="s">
        <v>27</v>
      </c>
      <c r="D613" s="6" t="s">
        <v>32</v>
      </c>
      <c r="E613" s="66" t="s">
        <v>28</v>
      </c>
      <c r="F613" s="6" t="s">
        <v>1041</v>
      </c>
      <c r="G613" s="12" t="s">
        <v>34</v>
      </c>
      <c r="H613" s="7"/>
    </row>
    <row r="614" spans="2:8" ht="9.6" customHeight="1">
      <c r="B614" s="11">
        <f t="shared" si="37"/>
        <v>46165</v>
      </c>
      <c r="C614" s="6" t="s">
        <v>27</v>
      </c>
      <c r="D614" s="6" t="s">
        <v>44</v>
      </c>
      <c r="E614" s="66" t="s">
        <v>28</v>
      </c>
      <c r="F614" s="6" t="s">
        <v>1042</v>
      </c>
      <c r="G614" s="12" t="s">
        <v>30</v>
      </c>
      <c r="H614" s="7"/>
    </row>
    <row r="615" spans="2:8" ht="9.6" customHeight="1">
      <c r="B615" s="11">
        <f t="shared" si="37"/>
        <v>46165</v>
      </c>
      <c r="C615" s="12" t="s">
        <v>249</v>
      </c>
      <c r="D615" s="6" t="s">
        <v>76</v>
      </c>
      <c r="E615" s="66" t="s">
        <v>28</v>
      </c>
      <c r="F615" s="12" t="s">
        <v>1043</v>
      </c>
      <c r="G615" s="12" t="s">
        <v>30</v>
      </c>
      <c r="H615" s="7"/>
    </row>
    <row r="616" spans="2:8" ht="9.6" customHeight="1">
      <c r="B616" s="11">
        <f t="shared" si="37"/>
        <v>46165</v>
      </c>
      <c r="C616" s="6" t="s">
        <v>27</v>
      </c>
      <c r="D616" s="6" t="s">
        <v>42</v>
      </c>
      <c r="E616" s="66" t="s">
        <v>28</v>
      </c>
      <c r="F616" s="12" t="s">
        <v>1044</v>
      </c>
      <c r="G616" s="12" t="s">
        <v>30</v>
      </c>
      <c r="H616" s="7"/>
    </row>
    <row r="617" spans="2:8" ht="9.6" customHeight="1">
      <c r="B617" s="11">
        <f t="shared" si="37"/>
        <v>46165</v>
      </c>
      <c r="C617" s="6" t="s">
        <v>1045</v>
      </c>
      <c r="D617" s="6" t="s">
        <v>44</v>
      </c>
      <c r="E617" s="66" t="s">
        <v>28</v>
      </c>
      <c r="F617" s="6" t="s">
        <v>578</v>
      </c>
      <c r="G617" s="12" t="s">
        <v>30</v>
      </c>
      <c r="H617" s="7"/>
    </row>
    <row r="618" spans="2:8" ht="9.6" customHeight="1">
      <c r="B618" s="11">
        <f t="shared" si="37"/>
        <v>46165</v>
      </c>
      <c r="C618" s="6" t="s">
        <v>832</v>
      </c>
      <c r="D618" s="6" t="s">
        <v>81</v>
      </c>
      <c r="E618" s="66" t="s">
        <v>28</v>
      </c>
      <c r="F618" s="6" t="s">
        <v>1046</v>
      </c>
      <c r="G618" s="6" t="s">
        <v>30</v>
      </c>
      <c r="H618" s="7"/>
    </row>
    <row r="619" spans="2:8" ht="9.6" customHeight="1">
      <c r="B619" s="11">
        <f t="shared" si="37"/>
        <v>46165</v>
      </c>
      <c r="C619" s="6" t="s">
        <v>83</v>
      </c>
      <c r="D619" s="6" t="s">
        <v>42</v>
      </c>
      <c r="E619" s="66" t="s">
        <v>28</v>
      </c>
      <c r="F619" s="6" t="s">
        <v>1047</v>
      </c>
      <c r="G619" s="6" t="s">
        <v>34</v>
      </c>
      <c r="H619" s="7"/>
    </row>
    <row r="620" spans="2:8" ht="9.6" customHeight="1">
      <c r="B620" s="11">
        <f t="shared" si="37"/>
        <v>46165</v>
      </c>
      <c r="C620" s="6" t="s">
        <v>176</v>
      </c>
      <c r="D620" s="6" t="s">
        <v>42</v>
      </c>
      <c r="E620" s="66" t="s">
        <v>28</v>
      </c>
      <c r="F620" s="6" t="s">
        <v>1048</v>
      </c>
      <c r="G620" s="6" t="s">
        <v>30</v>
      </c>
      <c r="H620" s="7"/>
    </row>
    <row r="621" spans="2:8" ht="9.6" customHeight="1">
      <c r="B621" s="11">
        <f t="shared" si="37"/>
        <v>46165</v>
      </c>
      <c r="C621" s="6" t="s">
        <v>840</v>
      </c>
      <c r="D621" s="6" t="s">
        <v>81</v>
      </c>
      <c r="E621" s="66" t="s">
        <v>28</v>
      </c>
      <c r="F621" s="6" t="s">
        <v>1049</v>
      </c>
      <c r="G621" s="6" t="s">
        <v>371</v>
      </c>
      <c r="H621" s="7"/>
    </row>
    <row r="622" spans="2:8" ht="9.6" customHeight="1">
      <c r="B622" s="11">
        <f t="shared" si="37"/>
        <v>46165</v>
      </c>
      <c r="C622" s="6" t="s">
        <v>176</v>
      </c>
      <c r="D622" s="6" t="s">
        <v>81</v>
      </c>
      <c r="E622" s="66" t="s">
        <v>28</v>
      </c>
      <c r="F622" s="6" t="s">
        <v>1050</v>
      </c>
      <c r="G622" s="6" t="s">
        <v>30</v>
      </c>
      <c r="H622" s="7"/>
    </row>
    <row r="623" spans="2:8" ht="9.6" customHeight="1">
      <c r="B623" s="11">
        <f t="shared" si="37"/>
        <v>46165</v>
      </c>
      <c r="C623" s="6" t="s">
        <v>1051</v>
      </c>
      <c r="D623" s="12" t="s">
        <v>15</v>
      </c>
      <c r="E623" s="66" t="s">
        <v>28</v>
      </c>
      <c r="F623" s="6" t="s">
        <v>578</v>
      </c>
      <c r="G623" s="6" t="s">
        <v>30</v>
      </c>
      <c r="H623" s="7"/>
    </row>
    <row r="624" spans="2:8" ht="9.6" customHeight="1">
      <c r="B624" s="11">
        <f t="shared" si="37"/>
        <v>46165</v>
      </c>
      <c r="C624" s="6" t="s">
        <v>176</v>
      </c>
      <c r="D624" s="6" t="s">
        <v>213</v>
      </c>
      <c r="E624" s="66" t="s">
        <v>28</v>
      </c>
      <c r="F624" s="6" t="s">
        <v>1052</v>
      </c>
      <c r="G624" s="6" t="s">
        <v>379</v>
      </c>
      <c r="H624" s="7"/>
    </row>
    <row r="625" spans="2:8" ht="9.6" customHeight="1">
      <c r="B625" s="11">
        <f t="shared" si="37"/>
        <v>46165</v>
      </c>
      <c r="C625" s="6" t="s">
        <v>27</v>
      </c>
      <c r="D625" s="6" t="s">
        <v>81</v>
      </c>
      <c r="E625" s="66" t="s">
        <v>11</v>
      </c>
      <c r="F625" s="6" t="s">
        <v>1053</v>
      </c>
      <c r="G625" s="6" t="s">
        <v>1054</v>
      </c>
      <c r="H625" s="7"/>
    </row>
    <row r="626" spans="2:8" ht="9.6" customHeight="1">
      <c r="B626" s="11">
        <f t="shared" si="37"/>
        <v>46165</v>
      </c>
      <c r="C626" s="6" t="s">
        <v>27</v>
      </c>
      <c r="D626" s="6" t="s">
        <v>36</v>
      </c>
      <c r="E626" s="66" t="s">
        <v>11</v>
      </c>
      <c r="F626" s="6" t="s">
        <v>1055</v>
      </c>
      <c r="G626" s="6" t="s">
        <v>1056</v>
      </c>
      <c r="H626" s="7"/>
    </row>
    <row r="627" spans="2:8" ht="9.6" customHeight="1">
      <c r="B627" s="11">
        <f t="shared" si="37"/>
        <v>46165</v>
      </c>
      <c r="C627" s="6" t="s">
        <v>27</v>
      </c>
      <c r="D627" s="6" t="s">
        <v>103</v>
      </c>
      <c r="E627" s="66" t="s">
        <v>11</v>
      </c>
      <c r="F627" s="6" t="s">
        <v>1057</v>
      </c>
      <c r="G627" s="6" t="s">
        <v>1058</v>
      </c>
      <c r="H627" s="7"/>
    </row>
    <row r="628" spans="2:8" ht="9.6" customHeight="1">
      <c r="B628" s="5">
        <v>46166</v>
      </c>
      <c r="C628" s="12" t="s">
        <v>215</v>
      </c>
      <c r="D628" s="12" t="s">
        <v>23</v>
      </c>
      <c r="E628" s="66" t="s">
        <v>28</v>
      </c>
      <c r="F628" s="12" t="s">
        <v>1059</v>
      </c>
      <c r="G628" s="12" t="s">
        <v>34</v>
      </c>
      <c r="H628" s="7"/>
    </row>
    <row r="629" spans="2:8" ht="9.6" customHeight="1">
      <c r="B629" s="11">
        <f t="shared" ref="B629:B654" si="38">B628</f>
        <v>46166</v>
      </c>
      <c r="C629" s="12" t="s">
        <v>215</v>
      </c>
      <c r="D629" s="6" t="s">
        <v>922</v>
      </c>
      <c r="E629" s="66" t="s">
        <v>28</v>
      </c>
      <c r="F629" s="6" t="s">
        <v>1060</v>
      </c>
      <c r="G629" s="6" t="s">
        <v>34</v>
      </c>
      <c r="H629" s="7"/>
    </row>
    <row r="630" spans="2:8" ht="9.6" customHeight="1">
      <c r="B630" s="11">
        <f t="shared" si="38"/>
        <v>46166</v>
      </c>
      <c r="C630" s="6" t="s">
        <v>176</v>
      </c>
      <c r="D630" s="6" t="s">
        <v>81</v>
      </c>
      <c r="E630" s="66" t="s">
        <v>28</v>
      </c>
      <c r="F630" s="6" t="s">
        <v>1061</v>
      </c>
      <c r="G630" s="6" t="s">
        <v>30</v>
      </c>
      <c r="H630" s="7"/>
    </row>
    <row r="631" spans="2:8" ht="9.6" customHeight="1">
      <c r="B631" s="11">
        <f t="shared" si="38"/>
        <v>46166</v>
      </c>
      <c r="C631" s="6" t="s">
        <v>176</v>
      </c>
      <c r="D631" s="6" t="s">
        <v>15</v>
      </c>
      <c r="E631" s="66" t="s">
        <v>28</v>
      </c>
      <c r="F631" s="6" t="s">
        <v>1062</v>
      </c>
      <c r="G631" s="6" t="s">
        <v>30</v>
      </c>
      <c r="H631" s="7"/>
    </row>
    <row r="632" spans="2:8" ht="9.6" customHeight="1">
      <c r="B632" s="11">
        <f t="shared" si="38"/>
        <v>46166</v>
      </c>
      <c r="C632" s="12" t="s">
        <v>1063</v>
      </c>
      <c r="D632" s="6" t="s">
        <v>44</v>
      </c>
      <c r="E632" s="66" t="s">
        <v>28</v>
      </c>
      <c r="F632" s="7" t="s">
        <v>1064</v>
      </c>
      <c r="G632" s="6" t="s">
        <v>30</v>
      </c>
      <c r="H632" s="7"/>
    </row>
    <row r="633" spans="2:8" ht="9.6" customHeight="1">
      <c r="B633" s="11">
        <f t="shared" si="38"/>
        <v>46166</v>
      </c>
      <c r="C633" s="12" t="s">
        <v>176</v>
      </c>
      <c r="D633" s="6" t="s">
        <v>213</v>
      </c>
      <c r="E633" s="66" t="s">
        <v>28</v>
      </c>
      <c r="F633" s="17" t="s">
        <v>1065</v>
      </c>
      <c r="G633" s="6" t="s">
        <v>70</v>
      </c>
      <c r="H633" s="7"/>
    </row>
    <row r="634" spans="2:8" ht="9.6" customHeight="1">
      <c r="B634" s="11">
        <f t="shared" si="38"/>
        <v>46166</v>
      </c>
      <c r="C634" s="6" t="s">
        <v>176</v>
      </c>
      <c r="D634" s="6" t="s">
        <v>44</v>
      </c>
      <c r="E634" s="66" t="s">
        <v>28</v>
      </c>
      <c r="F634" s="17" t="s">
        <v>1066</v>
      </c>
      <c r="G634" s="6" t="s">
        <v>70</v>
      </c>
      <c r="H634" s="7"/>
    </row>
    <row r="635" spans="2:8" ht="9.6" customHeight="1">
      <c r="B635" s="11">
        <f t="shared" si="38"/>
        <v>46166</v>
      </c>
      <c r="C635" s="6" t="s">
        <v>215</v>
      </c>
      <c r="D635" s="6" t="s">
        <v>44</v>
      </c>
      <c r="E635" s="66" t="s">
        <v>28</v>
      </c>
      <c r="F635" s="6" t="s">
        <v>1067</v>
      </c>
      <c r="G635" s="6" t="s">
        <v>34</v>
      </c>
      <c r="H635" s="7"/>
    </row>
    <row r="636" spans="2:8" ht="9.6" customHeight="1">
      <c r="B636" s="11">
        <f t="shared" si="38"/>
        <v>46166</v>
      </c>
      <c r="C636" s="6" t="s">
        <v>176</v>
      </c>
      <c r="D636" s="6" t="s">
        <v>1068</v>
      </c>
      <c r="E636" s="66" t="s">
        <v>28</v>
      </c>
      <c r="F636" s="17" t="s">
        <v>1069</v>
      </c>
      <c r="G636" s="6" t="s">
        <v>70</v>
      </c>
      <c r="H636" s="7"/>
    </row>
    <row r="637" spans="2:8" ht="9.6" customHeight="1">
      <c r="B637" s="11">
        <f t="shared" si="38"/>
        <v>46166</v>
      </c>
      <c r="C637" s="6" t="s">
        <v>176</v>
      </c>
      <c r="D637" s="6" t="s">
        <v>1070</v>
      </c>
      <c r="E637" s="66" t="s">
        <v>28</v>
      </c>
      <c r="F637" s="17" t="s">
        <v>1071</v>
      </c>
      <c r="G637" s="6" t="s">
        <v>70</v>
      </c>
      <c r="H637" s="7"/>
    </row>
    <row r="638" spans="2:8" ht="9.6" customHeight="1">
      <c r="B638" s="11">
        <f t="shared" si="38"/>
        <v>46166</v>
      </c>
      <c r="C638" s="6" t="s">
        <v>176</v>
      </c>
      <c r="D638" s="6" t="s">
        <v>1070</v>
      </c>
      <c r="E638" s="66" t="s">
        <v>28</v>
      </c>
      <c r="F638" s="17" t="s">
        <v>1072</v>
      </c>
      <c r="G638" s="6" t="s">
        <v>70</v>
      </c>
      <c r="H638" s="7"/>
    </row>
    <row r="639" spans="2:8" ht="9.6" customHeight="1">
      <c r="B639" s="11">
        <f t="shared" si="38"/>
        <v>46166</v>
      </c>
      <c r="C639" s="6" t="s">
        <v>176</v>
      </c>
      <c r="D639" s="6" t="s">
        <v>10</v>
      </c>
      <c r="E639" s="66" t="s">
        <v>28</v>
      </c>
      <c r="F639" s="17" t="s">
        <v>1073</v>
      </c>
      <c r="G639" s="6" t="s">
        <v>70</v>
      </c>
      <c r="H639" s="7"/>
    </row>
    <row r="640" spans="2:8" ht="9.6" customHeight="1">
      <c r="B640" s="11">
        <f t="shared" si="38"/>
        <v>46166</v>
      </c>
      <c r="C640" s="6" t="s">
        <v>1063</v>
      </c>
      <c r="D640" s="6" t="s">
        <v>253</v>
      </c>
      <c r="E640" s="66" t="s">
        <v>28</v>
      </c>
      <c r="F640" s="17" t="s">
        <v>1074</v>
      </c>
      <c r="G640" s="6" t="s">
        <v>30</v>
      </c>
      <c r="H640" s="7"/>
    </row>
    <row r="641" spans="2:8" ht="9.6" customHeight="1">
      <c r="B641" s="11">
        <f t="shared" si="38"/>
        <v>46166</v>
      </c>
      <c r="C641" s="6" t="s">
        <v>176</v>
      </c>
      <c r="D641" s="17" t="s">
        <v>207</v>
      </c>
      <c r="E641" s="66" t="s">
        <v>28</v>
      </c>
      <c r="F641" s="17" t="s">
        <v>1075</v>
      </c>
      <c r="G641" s="6" t="s">
        <v>70</v>
      </c>
      <c r="H641" s="7"/>
    </row>
    <row r="642" spans="2:8" ht="9.6" customHeight="1">
      <c r="B642" s="11">
        <f t="shared" si="38"/>
        <v>46166</v>
      </c>
      <c r="C642" s="6" t="s">
        <v>176</v>
      </c>
      <c r="D642" s="17" t="s">
        <v>207</v>
      </c>
      <c r="E642" s="66" t="s">
        <v>28</v>
      </c>
      <c r="F642" s="17" t="s">
        <v>1076</v>
      </c>
      <c r="G642" s="6" t="s">
        <v>30</v>
      </c>
      <c r="H642" s="7"/>
    </row>
    <row r="643" spans="2:8" ht="9.6" customHeight="1">
      <c r="B643" s="11">
        <f t="shared" si="38"/>
        <v>46166</v>
      </c>
      <c r="C643" s="6" t="s">
        <v>176</v>
      </c>
      <c r="D643" s="6" t="s">
        <v>81</v>
      </c>
      <c r="E643" s="66" t="s">
        <v>28</v>
      </c>
      <c r="F643" s="17" t="s">
        <v>758</v>
      </c>
      <c r="G643" s="6" t="s">
        <v>30</v>
      </c>
      <c r="H643" s="7"/>
    </row>
    <row r="644" spans="2:8" ht="9.6" customHeight="1">
      <c r="B644" s="11">
        <f t="shared" si="38"/>
        <v>46166</v>
      </c>
      <c r="C644" s="6" t="s">
        <v>27</v>
      </c>
      <c r="D644" s="6" t="s">
        <v>1077</v>
      </c>
      <c r="E644" s="66" t="s">
        <v>28</v>
      </c>
      <c r="F644" s="17" t="s">
        <v>1078</v>
      </c>
      <c r="G644" s="6" t="s">
        <v>34</v>
      </c>
      <c r="H644" s="7"/>
    </row>
    <row r="645" spans="2:8" ht="9.6" customHeight="1">
      <c r="B645" s="11">
        <f t="shared" si="38"/>
        <v>46166</v>
      </c>
      <c r="C645" s="6" t="s">
        <v>27</v>
      </c>
      <c r="D645" s="17" t="s">
        <v>207</v>
      </c>
      <c r="E645" s="66" t="s">
        <v>28</v>
      </c>
      <c r="F645" s="17" t="s">
        <v>1079</v>
      </c>
      <c r="G645" s="6" t="s">
        <v>70</v>
      </c>
      <c r="H645" s="7"/>
    </row>
    <row r="646" spans="2:8" ht="9.6" customHeight="1">
      <c r="B646" s="11">
        <f t="shared" si="38"/>
        <v>46166</v>
      </c>
      <c r="C646" s="6" t="s">
        <v>176</v>
      </c>
      <c r="D646" s="6" t="s">
        <v>207</v>
      </c>
      <c r="E646" s="66" t="s">
        <v>28</v>
      </c>
      <c r="F646" s="17" t="s">
        <v>1080</v>
      </c>
      <c r="G646" s="6" t="s">
        <v>70</v>
      </c>
      <c r="H646" s="7"/>
    </row>
    <row r="647" spans="2:8" ht="9.6" customHeight="1">
      <c r="B647" s="11">
        <f t="shared" si="38"/>
        <v>46166</v>
      </c>
      <c r="C647" s="6" t="s">
        <v>1081</v>
      </c>
      <c r="D647" s="6" t="s">
        <v>1082</v>
      </c>
      <c r="E647" s="66" t="s">
        <v>28</v>
      </c>
      <c r="F647" s="17" t="s">
        <v>1083</v>
      </c>
      <c r="G647" s="6" t="s">
        <v>70</v>
      </c>
      <c r="H647" s="7"/>
    </row>
    <row r="648" spans="2:8" ht="9.6" customHeight="1">
      <c r="B648" s="11">
        <f t="shared" si="38"/>
        <v>46166</v>
      </c>
      <c r="C648" s="6" t="s">
        <v>27</v>
      </c>
      <c r="D648" s="6" t="s">
        <v>42</v>
      </c>
      <c r="E648" s="66" t="s">
        <v>28</v>
      </c>
      <c r="F648" s="17" t="s">
        <v>1084</v>
      </c>
      <c r="G648" s="6" t="s">
        <v>34</v>
      </c>
      <c r="H648" s="7"/>
    </row>
    <row r="649" spans="2:8" ht="9.6" customHeight="1">
      <c r="B649" s="11">
        <f t="shared" si="38"/>
        <v>46166</v>
      </c>
      <c r="C649" s="6" t="s">
        <v>1085</v>
      </c>
      <c r="D649" s="6" t="s">
        <v>76</v>
      </c>
      <c r="E649" s="66" t="s">
        <v>11</v>
      </c>
      <c r="F649" s="6" t="s">
        <v>1086</v>
      </c>
      <c r="G649" s="6" t="s">
        <v>83</v>
      </c>
      <c r="H649" s="7"/>
    </row>
    <row r="650" spans="2:8" ht="9.6" customHeight="1">
      <c r="B650" s="11">
        <f t="shared" si="38"/>
        <v>46166</v>
      </c>
      <c r="C650" s="6" t="s">
        <v>1087</v>
      </c>
      <c r="D650" s="6" t="s">
        <v>44</v>
      </c>
      <c r="E650" s="66" t="s">
        <v>11</v>
      </c>
      <c r="F650" s="6" t="s">
        <v>1088</v>
      </c>
      <c r="G650" s="6" t="s">
        <v>83</v>
      </c>
      <c r="H650" s="7"/>
    </row>
    <row r="651" spans="2:8" ht="9.6" customHeight="1">
      <c r="B651" s="11">
        <f t="shared" si="38"/>
        <v>46166</v>
      </c>
      <c r="C651" s="6" t="s">
        <v>1089</v>
      </c>
      <c r="D651" s="6" t="s">
        <v>60</v>
      </c>
      <c r="E651" s="66" t="s">
        <v>11</v>
      </c>
      <c r="F651" s="6" t="s">
        <v>1090</v>
      </c>
      <c r="G651" s="25" t="s">
        <v>41</v>
      </c>
      <c r="H651" s="26"/>
    </row>
    <row r="652" spans="2:8" ht="9.6" customHeight="1">
      <c r="B652" s="11">
        <f t="shared" si="38"/>
        <v>46166</v>
      </c>
      <c r="C652" s="6" t="s">
        <v>1091</v>
      </c>
      <c r="D652" s="6" t="s">
        <v>374</v>
      </c>
      <c r="E652" s="66" t="s">
        <v>11</v>
      </c>
      <c r="F652" s="6" t="s">
        <v>839</v>
      </c>
      <c r="G652" s="6" t="s">
        <v>83</v>
      </c>
      <c r="H652" s="7"/>
    </row>
    <row r="653" spans="2:8" ht="9.6" customHeight="1">
      <c r="B653" s="11">
        <f t="shared" si="38"/>
        <v>46166</v>
      </c>
      <c r="C653" s="6" t="s">
        <v>1092</v>
      </c>
      <c r="D653" s="6" t="s">
        <v>44</v>
      </c>
      <c r="E653" s="66" t="s">
        <v>11</v>
      </c>
      <c r="F653" s="17" t="s">
        <v>1093</v>
      </c>
      <c r="G653" s="6" t="s">
        <v>41</v>
      </c>
      <c r="H653" s="7"/>
    </row>
    <row r="654" spans="2:8" ht="9.6" customHeight="1">
      <c r="B654" s="11">
        <f t="shared" si="38"/>
        <v>46166</v>
      </c>
      <c r="C654" s="6" t="s">
        <v>1094</v>
      </c>
      <c r="D654" s="6" t="s">
        <v>44</v>
      </c>
      <c r="E654" s="66" t="s">
        <v>11</v>
      </c>
      <c r="F654" s="6" t="s">
        <v>1095</v>
      </c>
      <c r="G654" s="6" t="s">
        <v>30</v>
      </c>
      <c r="H654" s="7"/>
    </row>
    <row r="655" spans="2:8" ht="9.6" customHeight="1">
      <c r="B655" s="5">
        <v>46167</v>
      </c>
      <c r="C655" s="6" t="s">
        <v>1096</v>
      </c>
      <c r="D655" s="12" t="s">
        <v>1097</v>
      </c>
      <c r="E655" s="66" t="s">
        <v>11</v>
      </c>
      <c r="F655" s="12" t="s">
        <v>1098</v>
      </c>
      <c r="G655" s="12" t="s">
        <v>1099</v>
      </c>
      <c r="H655" s="7"/>
    </row>
    <row r="656" spans="2:8" ht="9.6" customHeight="1">
      <c r="B656" s="11">
        <f t="shared" ref="B656:B672" si="39">B655</f>
        <v>46167</v>
      </c>
      <c r="C656" s="6" t="s">
        <v>1100</v>
      </c>
      <c r="D656" s="6" t="s">
        <v>1101</v>
      </c>
      <c r="E656" s="66" t="s">
        <v>11</v>
      </c>
      <c r="F656" s="6" t="s">
        <v>1102</v>
      </c>
      <c r="G656" s="6" t="s">
        <v>83</v>
      </c>
      <c r="H656" s="7"/>
    </row>
    <row r="657" spans="2:8" ht="9.6" customHeight="1">
      <c r="B657" s="11">
        <f t="shared" si="39"/>
        <v>46167</v>
      </c>
      <c r="C657" s="6" t="s">
        <v>1103</v>
      </c>
      <c r="D657" s="6" t="s">
        <v>213</v>
      </c>
      <c r="E657" s="66" t="s">
        <v>11</v>
      </c>
      <c r="F657" s="6" t="s">
        <v>1104</v>
      </c>
      <c r="G657" s="6" t="s">
        <v>41</v>
      </c>
      <c r="H657" s="7"/>
    </row>
    <row r="658" spans="2:8" ht="9.6" customHeight="1">
      <c r="B658" s="11">
        <f t="shared" si="39"/>
        <v>46167</v>
      </c>
      <c r="C658" s="6" t="s">
        <v>1105</v>
      </c>
      <c r="D658" s="6" t="s">
        <v>23</v>
      </c>
      <c r="E658" s="66" t="s">
        <v>11</v>
      </c>
      <c r="F658" s="6" t="s">
        <v>1106</v>
      </c>
      <c r="G658" s="6" t="s">
        <v>51</v>
      </c>
      <c r="H658" s="7"/>
    </row>
    <row r="659" spans="2:8" ht="9.6" customHeight="1">
      <c r="B659" s="11">
        <f t="shared" si="39"/>
        <v>46167</v>
      </c>
      <c r="C659" s="6" t="s">
        <v>1107</v>
      </c>
      <c r="D659" s="6" t="s">
        <v>42</v>
      </c>
      <c r="E659" s="66" t="s">
        <v>11</v>
      </c>
      <c r="F659" s="6" t="s">
        <v>1108</v>
      </c>
      <c r="G659" s="6" t="s">
        <v>123</v>
      </c>
      <c r="H659" s="7"/>
    </row>
    <row r="660" spans="2:8" ht="9.6" customHeight="1">
      <c r="B660" s="11">
        <f t="shared" si="39"/>
        <v>46167</v>
      </c>
      <c r="C660" s="12" t="s">
        <v>775</v>
      </c>
      <c r="D660" s="6" t="s">
        <v>213</v>
      </c>
      <c r="E660" s="66" t="s">
        <v>28</v>
      </c>
      <c r="F660" s="6" t="s">
        <v>1109</v>
      </c>
      <c r="G660" s="6" t="s">
        <v>70</v>
      </c>
      <c r="H660" s="7"/>
    </row>
    <row r="661" spans="2:8" ht="9.6" customHeight="1">
      <c r="B661" s="11">
        <f t="shared" si="39"/>
        <v>46167</v>
      </c>
      <c r="C661" s="12" t="s">
        <v>775</v>
      </c>
      <c r="D661" s="6" t="s">
        <v>213</v>
      </c>
      <c r="E661" s="66" t="s">
        <v>28</v>
      </c>
      <c r="F661" s="6" t="s">
        <v>1110</v>
      </c>
      <c r="G661" s="6" t="s">
        <v>70</v>
      </c>
      <c r="H661" s="7"/>
    </row>
    <row r="662" spans="2:8" ht="9.6" customHeight="1">
      <c r="B662" s="11">
        <f t="shared" si="39"/>
        <v>46167</v>
      </c>
      <c r="C662" s="12" t="s">
        <v>775</v>
      </c>
      <c r="D662" s="6" t="s">
        <v>1111</v>
      </c>
      <c r="E662" s="66" t="s">
        <v>28</v>
      </c>
      <c r="F662" s="6" t="s">
        <v>1112</v>
      </c>
      <c r="G662" s="6" t="s">
        <v>70</v>
      </c>
      <c r="H662" s="7"/>
    </row>
    <row r="663" spans="2:8" ht="9.6" customHeight="1">
      <c r="B663" s="11">
        <f t="shared" si="39"/>
        <v>46167</v>
      </c>
      <c r="C663" s="12" t="s">
        <v>775</v>
      </c>
      <c r="D663" s="6" t="s">
        <v>44</v>
      </c>
      <c r="E663" s="66" t="s">
        <v>28</v>
      </c>
      <c r="F663" s="6" t="s">
        <v>1113</v>
      </c>
      <c r="G663" s="6" t="s">
        <v>70</v>
      </c>
      <c r="H663" s="7"/>
    </row>
    <row r="664" spans="2:8" ht="9.6" customHeight="1">
      <c r="B664" s="11">
        <f t="shared" si="39"/>
        <v>46167</v>
      </c>
      <c r="C664" s="6" t="s">
        <v>1114</v>
      </c>
      <c r="D664" s="12" t="s">
        <v>42</v>
      </c>
      <c r="E664" s="66" t="s">
        <v>11</v>
      </c>
      <c r="F664" s="6" t="s">
        <v>1115</v>
      </c>
      <c r="G664" s="6" t="s">
        <v>34</v>
      </c>
      <c r="H664" s="7"/>
    </row>
    <row r="665" spans="2:8" ht="9.6" customHeight="1">
      <c r="B665" s="11">
        <f t="shared" si="39"/>
        <v>46167</v>
      </c>
      <c r="C665" s="6" t="s">
        <v>1116</v>
      </c>
      <c r="D665" s="6" t="s">
        <v>52</v>
      </c>
      <c r="E665" s="66" t="s">
        <v>11</v>
      </c>
      <c r="F665" s="6" t="s">
        <v>1117</v>
      </c>
      <c r="G665" s="6" t="s">
        <v>123</v>
      </c>
      <c r="H665" s="7"/>
    </row>
    <row r="666" spans="2:8" ht="9.6" customHeight="1">
      <c r="B666" s="11">
        <f t="shared" si="39"/>
        <v>46167</v>
      </c>
      <c r="C666" s="6" t="s">
        <v>1118</v>
      </c>
      <c r="D666" s="6" t="s">
        <v>76</v>
      </c>
      <c r="E666" s="66" t="s">
        <v>11</v>
      </c>
      <c r="F666" s="6" t="s">
        <v>1119</v>
      </c>
      <c r="G666" s="6" t="s">
        <v>1120</v>
      </c>
      <c r="H666" s="7"/>
    </row>
    <row r="667" spans="2:8" ht="9.6" customHeight="1">
      <c r="B667" s="11">
        <f t="shared" si="39"/>
        <v>46167</v>
      </c>
      <c r="C667" s="6" t="s">
        <v>795</v>
      </c>
      <c r="D667" s="6" t="s">
        <v>15</v>
      </c>
      <c r="E667" s="66" t="s">
        <v>11</v>
      </c>
      <c r="F667" s="6" t="s">
        <v>359</v>
      </c>
      <c r="G667" s="6" t="s">
        <v>30</v>
      </c>
      <c r="H667" s="7"/>
    </row>
    <row r="668" spans="2:8" ht="9.6" customHeight="1">
      <c r="B668" s="11">
        <f t="shared" si="39"/>
        <v>46167</v>
      </c>
      <c r="C668" s="6" t="s">
        <v>1121</v>
      </c>
      <c r="D668" s="6" t="s">
        <v>60</v>
      </c>
      <c r="E668" s="66" t="s">
        <v>11</v>
      </c>
      <c r="F668" s="6" t="s">
        <v>1122</v>
      </c>
      <c r="G668" s="6" t="s">
        <v>30</v>
      </c>
      <c r="H668" s="7"/>
    </row>
    <row r="669" spans="2:8" ht="9.6" customHeight="1">
      <c r="B669" s="11">
        <f t="shared" si="39"/>
        <v>46167</v>
      </c>
      <c r="C669" s="6" t="s">
        <v>1123</v>
      </c>
      <c r="D669" s="6" t="s">
        <v>52</v>
      </c>
      <c r="E669" s="66" t="s">
        <v>11</v>
      </c>
      <c r="F669" s="6" t="s">
        <v>1124</v>
      </c>
      <c r="G669" s="6" t="s">
        <v>83</v>
      </c>
      <c r="H669" s="7"/>
    </row>
    <row r="670" spans="2:8" ht="9.6" customHeight="1">
      <c r="B670" s="11">
        <f t="shared" si="39"/>
        <v>46167</v>
      </c>
      <c r="C670" s="6" t="s">
        <v>1125</v>
      </c>
      <c r="D670" s="6" t="s">
        <v>403</v>
      </c>
      <c r="E670" s="66" t="s">
        <v>11</v>
      </c>
      <c r="F670" s="6" t="s">
        <v>1126</v>
      </c>
      <c r="G670" s="6" t="s">
        <v>83</v>
      </c>
      <c r="H670" s="7"/>
    </row>
    <row r="671" spans="2:8" ht="9.6" customHeight="1">
      <c r="B671" s="11">
        <f t="shared" si="39"/>
        <v>46167</v>
      </c>
      <c r="C671" s="6" t="s">
        <v>1127</v>
      </c>
      <c r="D671" s="6" t="s">
        <v>81</v>
      </c>
      <c r="E671" s="66" t="s">
        <v>11</v>
      </c>
      <c r="F671" s="6" t="s">
        <v>1128</v>
      </c>
      <c r="G671" s="6" t="s">
        <v>83</v>
      </c>
      <c r="H671" s="7"/>
    </row>
    <row r="672" spans="2:8" ht="9.6" customHeight="1">
      <c r="B672" s="11">
        <f t="shared" si="39"/>
        <v>46167</v>
      </c>
      <c r="C672" s="6" t="s">
        <v>1129</v>
      </c>
      <c r="D672" s="6" t="s">
        <v>23</v>
      </c>
      <c r="E672" s="66" t="s">
        <v>11</v>
      </c>
      <c r="F672" s="6" t="s">
        <v>1130</v>
      </c>
      <c r="G672" s="6" t="s">
        <v>123</v>
      </c>
      <c r="H672" s="7"/>
    </row>
    <row r="673" spans="2:8" ht="9.6" customHeight="1">
      <c r="B673" s="5">
        <v>46168</v>
      </c>
      <c r="C673" s="6" t="s">
        <v>1131</v>
      </c>
      <c r="D673" s="12" t="s">
        <v>1132</v>
      </c>
      <c r="E673" s="66" t="s">
        <v>11</v>
      </c>
      <c r="F673" s="12" t="s">
        <v>1133</v>
      </c>
      <c r="G673" s="12" t="s">
        <v>83</v>
      </c>
      <c r="H673" s="7"/>
    </row>
    <row r="674" spans="2:8" ht="9.6" customHeight="1">
      <c r="B674" s="11">
        <f>B673</f>
        <v>46168</v>
      </c>
      <c r="C674" s="6" t="s">
        <v>1134</v>
      </c>
      <c r="D674" s="6" t="s">
        <v>44</v>
      </c>
      <c r="E674" s="66" t="s">
        <v>11</v>
      </c>
      <c r="F674" s="6" t="s">
        <v>1135</v>
      </c>
      <c r="G674" s="6" t="s">
        <v>123</v>
      </c>
      <c r="H674" s="7"/>
    </row>
    <row r="675" spans="2:8" ht="9.6" customHeight="1">
      <c r="B675" s="11">
        <f>B674</f>
        <v>46168</v>
      </c>
      <c r="C675" s="6" t="s">
        <v>1136</v>
      </c>
      <c r="D675" s="6" t="s">
        <v>76</v>
      </c>
      <c r="E675" s="66" t="s">
        <v>11</v>
      </c>
      <c r="F675" s="6" t="s">
        <v>1137</v>
      </c>
      <c r="G675" s="6" t="s">
        <v>417</v>
      </c>
      <c r="H675" s="7"/>
    </row>
    <row r="676" spans="2:8" ht="9.6" customHeight="1">
      <c r="B676" s="5">
        <v>46169</v>
      </c>
      <c r="C676" s="6" t="s">
        <v>1138</v>
      </c>
      <c r="D676" s="6" t="s">
        <v>1132</v>
      </c>
      <c r="E676" s="66" t="s">
        <v>11</v>
      </c>
      <c r="F676" s="6" t="s">
        <v>1139</v>
      </c>
      <c r="G676" s="6" t="s">
        <v>1138</v>
      </c>
      <c r="H676" s="7"/>
    </row>
    <row r="677" spans="2:8" ht="9.6" customHeight="1">
      <c r="B677" s="11">
        <f t="shared" ref="B677:B693" si="40">B676</f>
        <v>46169</v>
      </c>
      <c r="C677" s="6" t="s">
        <v>1140</v>
      </c>
      <c r="D677" s="6" t="s">
        <v>1141</v>
      </c>
      <c r="E677" s="66" t="s">
        <v>11</v>
      </c>
      <c r="F677" s="6" t="s">
        <v>1142</v>
      </c>
      <c r="G677" s="6" t="s">
        <v>1140</v>
      </c>
      <c r="H677" s="7"/>
    </row>
    <row r="678" spans="2:8" ht="9.6" customHeight="1">
      <c r="B678" s="11">
        <f t="shared" si="40"/>
        <v>46169</v>
      </c>
      <c r="C678" s="6" t="s">
        <v>1143</v>
      </c>
      <c r="D678" s="6" t="s">
        <v>44</v>
      </c>
      <c r="E678" s="66" t="s">
        <v>28</v>
      </c>
      <c r="F678" s="6" t="s">
        <v>1144</v>
      </c>
      <c r="G678" s="6" t="s">
        <v>51</v>
      </c>
      <c r="H678" s="7"/>
    </row>
    <row r="679" spans="2:8" ht="9.6" customHeight="1">
      <c r="B679" s="11">
        <f t="shared" si="40"/>
        <v>46169</v>
      </c>
      <c r="C679" s="6" t="s">
        <v>1143</v>
      </c>
      <c r="D679" s="6" t="s">
        <v>253</v>
      </c>
      <c r="E679" s="66" t="s">
        <v>28</v>
      </c>
      <c r="F679" s="6" t="s">
        <v>578</v>
      </c>
      <c r="G679" s="6" t="s">
        <v>51</v>
      </c>
      <c r="H679" s="7"/>
    </row>
    <row r="680" spans="2:8" ht="9.6" customHeight="1">
      <c r="B680" s="11">
        <f t="shared" si="40"/>
        <v>46169</v>
      </c>
      <c r="C680" s="6" t="s">
        <v>1143</v>
      </c>
      <c r="D680" s="6" t="s">
        <v>15</v>
      </c>
      <c r="E680" s="66" t="s">
        <v>28</v>
      </c>
      <c r="F680" s="6" t="s">
        <v>1145</v>
      </c>
      <c r="G680" s="6" t="s">
        <v>51</v>
      </c>
      <c r="H680" s="7"/>
    </row>
    <row r="681" spans="2:8" ht="9.6" customHeight="1">
      <c r="B681" s="11">
        <f t="shared" si="40"/>
        <v>46169</v>
      </c>
      <c r="C681" s="6" t="s">
        <v>1143</v>
      </c>
      <c r="D681" s="6" t="s">
        <v>62</v>
      </c>
      <c r="E681" s="66" t="s">
        <v>28</v>
      </c>
      <c r="F681" s="6" t="s">
        <v>1146</v>
      </c>
      <c r="G681" s="6" t="s">
        <v>51</v>
      </c>
      <c r="H681" s="7"/>
    </row>
    <row r="682" spans="2:8" ht="9.6" customHeight="1">
      <c r="B682" s="11">
        <f t="shared" si="40"/>
        <v>46169</v>
      </c>
      <c r="C682" s="6" t="s">
        <v>1143</v>
      </c>
      <c r="D682" s="6" t="s">
        <v>76</v>
      </c>
      <c r="E682" s="66" t="s">
        <v>28</v>
      </c>
      <c r="F682" s="6" t="s">
        <v>1147</v>
      </c>
      <c r="G682" s="6" t="s">
        <v>51</v>
      </c>
      <c r="H682" s="7"/>
    </row>
    <row r="683" spans="2:8" ht="9.6" customHeight="1">
      <c r="B683" s="11">
        <f t="shared" si="40"/>
        <v>46169</v>
      </c>
      <c r="C683" s="6" t="s">
        <v>1143</v>
      </c>
      <c r="D683" s="6" t="s">
        <v>261</v>
      </c>
      <c r="E683" s="66" t="s">
        <v>28</v>
      </c>
      <c r="F683" s="6" t="s">
        <v>1148</v>
      </c>
      <c r="G683" s="6" t="s">
        <v>51</v>
      </c>
      <c r="H683" s="7"/>
    </row>
    <row r="684" spans="2:8" ht="9.6" customHeight="1">
      <c r="B684" s="11">
        <f t="shared" si="40"/>
        <v>46169</v>
      </c>
      <c r="C684" s="6" t="s">
        <v>1143</v>
      </c>
      <c r="D684" s="6" t="s">
        <v>209</v>
      </c>
      <c r="E684" s="66" t="s">
        <v>28</v>
      </c>
      <c r="F684" s="17" t="s">
        <v>1048</v>
      </c>
      <c r="G684" s="6" t="s">
        <v>51</v>
      </c>
      <c r="H684" s="7"/>
    </row>
    <row r="685" spans="2:8" ht="9.6" customHeight="1">
      <c r="B685" s="11">
        <f t="shared" si="40"/>
        <v>46169</v>
      </c>
      <c r="C685" s="6" t="s">
        <v>1143</v>
      </c>
      <c r="D685" s="6" t="s">
        <v>44</v>
      </c>
      <c r="E685" s="66" t="s">
        <v>28</v>
      </c>
      <c r="F685" s="17" t="s">
        <v>1149</v>
      </c>
      <c r="G685" s="6" t="s">
        <v>51</v>
      </c>
      <c r="H685" s="7"/>
    </row>
    <row r="686" spans="2:8" ht="9.6" customHeight="1">
      <c r="B686" s="11">
        <f t="shared" si="40"/>
        <v>46169</v>
      </c>
      <c r="C686" s="6" t="s">
        <v>1143</v>
      </c>
      <c r="D686" s="17" t="s">
        <v>207</v>
      </c>
      <c r="E686" s="66" t="s">
        <v>28</v>
      </c>
      <c r="F686" s="17" t="s">
        <v>1150</v>
      </c>
      <c r="G686" s="6" t="s">
        <v>51</v>
      </c>
      <c r="H686" s="7"/>
    </row>
    <row r="687" spans="2:8" ht="9.6" customHeight="1">
      <c r="B687" s="11">
        <f t="shared" si="40"/>
        <v>46169</v>
      </c>
      <c r="C687" s="6" t="s">
        <v>1143</v>
      </c>
      <c r="D687" s="6" t="s">
        <v>94</v>
      </c>
      <c r="E687" s="66" t="s">
        <v>28</v>
      </c>
      <c r="F687" s="17" t="s">
        <v>1151</v>
      </c>
      <c r="G687" s="6" t="s">
        <v>51</v>
      </c>
      <c r="H687" s="7"/>
    </row>
    <row r="688" spans="2:8" ht="9.6" customHeight="1">
      <c r="B688" s="11">
        <f t="shared" si="40"/>
        <v>46169</v>
      </c>
      <c r="C688" s="6" t="s">
        <v>1143</v>
      </c>
      <c r="D688" s="6" t="s">
        <v>103</v>
      </c>
      <c r="E688" s="66" t="s">
        <v>28</v>
      </c>
      <c r="F688" s="17" t="s">
        <v>1152</v>
      </c>
      <c r="G688" s="6" t="s">
        <v>51</v>
      </c>
      <c r="H688" s="7"/>
    </row>
    <row r="689" spans="2:8" ht="9.6" customHeight="1">
      <c r="B689" s="11">
        <f t="shared" si="40"/>
        <v>46169</v>
      </c>
      <c r="C689" s="6" t="s">
        <v>1143</v>
      </c>
      <c r="D689" s="6" t="s">
        <v>735</v>
      </c>
      <c r="E689" s="66" t="s">
        <v>28</v>
      </c>
      <c r="F689" s="17" t="s">
        <v>1153</v>
      </c>
      <c r="G689" s="6" t="s">
        <v>51</v>
      </c>
      <c r="H689" s="7"/>
    </row>
    <row r="690" spans="2:8" ht="9.6" customHeight="1">
      <c r="B690" s="11">
        <f t="shared" si="40"/>
        <v>46169</v>
      </c>
      <c r="C690" s="6" t="s">
        <v>1154</v>
      </c>
      <c r="D690" s="6" t="s">
        <v>19</v>
      </c>
      <c r="E690" s="66" t="s">
        <v>11</v>
      </c>
      <c r="F690" s="6" t="s">
        <v>1155</v>
      </c>
      <c r="G690" s="6" t="s">
        <v>51</v>
      </c>
      <c r="H690" s="7"/>
    </row>
    <row r="691" spans="2:8" ht="9.6" customHeight="1">
      <c r="B691" s="11">
        <f t="shared" si="40"/>
        <v>46169</v>
      </c>
      <c r="C691" s="6" t="s">
        <v>1156</v>
      </c>
      <c r="D691" s="6" t="s">
        <v>636</v>
      </c>
      <c r="E691" s="66" t="s">
        <v>11</v>
      </c>
      <c r="F691" s="6" t="s">
        <v>1157</v>
      </c>
      <c r="G691" s="6" t="s">
        <v>51</v>
      </c>
      <c r="H691" s="7"/>
    </row>
    <row r="692" spans="2:8" ht="9.6" customHeight="1">
      <c r="B692" s="11">
        <f t="shared" si="40"/>
        <v>46169</v>
      </c>
      <c r="C692" s="6" t="s">
        <v>1158</v>
      </c>
      <c r="D692" s="6" t="s">
        <v>38</v>
      </c>
      <c r="E692" s="66" t="s">
        <v>11</v>
      </c>
      <c r="F692" s="6" t="s">
        <v>1159</v>
      </c>
      <c r="G692" s="6" t="s">
        <v>51</v>
      </c>
      <c r="H692" s="7"/>
    </row>
    <row r="693" spans="2:8" ht="9.6" customHeight="1">
      <c r="B693" s="11">
        <f t="shared" si="40"/>
        <v>46169</v>
      </c>
      <c r="C693" s="6" t="s">
        <v>1160</v>
      </c>
      <c r="D693" s="6" t="s">
        <v>42</v>
      </c>
      <c r="E693" s="66" t="s">
        <v>11</v>
      </c>
      <c r="F693" s="6" t="s">
        <v>1048</v>
      </c>
      <c r="G693" s="6" t="s">
        <v>51</v>
      </c>
      <c r="H693" s="7"/>
    </row>
    <row r="694" spans="2:8" ht="9.6" customHeight="1">
      <c r="B694" s="5">
        <v>46170</v>
      </c>
      <c r="C694" s="12" t="s">
        <v>1161</v>
      </c>
      <c r="D694" s="12" t="s">
        <v>407</v>
      </c>
      <c r="E694" s="66" t="s">
        <v>11</v>
      </c>
      <c r="F694" s="12" t="s">
        <v>1162</v>
      </c>
      <c r="G694" s="12" t="s">
        <v>51</v>
      </c>
      <c r="H694" s="7"/>
    </row>
    <row r="695" spans="2:8" ht="9.6" customHeight="1">
      <c r="B695" s="11">
        <f t="shared" ref="B695:B715" si="41">B694</f>
        <v>46170</v>
      </c>
      <c r="C695" s="6" t="s">
        <v>35</v>
      </c>
      <c r="D695" s="6" t="s">
        <v>1163</v>
      </c>
      <c r="E695" s="66" t="s">
        <v>11</v>
      </c>
      <c r="F695" s="7" t="s">
        <v>1164</v>
      </c>
      <c r="G695" s="6" t="s">
        <v>21</v>
      </c>
      <c r="H695" s="7"/>
    </row>
    <row r="696" spans="2:8" ht="9.6" customHeight="1">
      <c r="B696" s="11">
        <f t="shared" si="41"/>
        <v>46170</v>
      </c>
      <c r="C696" s="6" t="s">
        <v>249</v>
      </c>
      <c r="D696" s="6" t="s">
        <v>10</v>
      </c>
      <c r="E696" s="66" t="s">
        <v>28</v>
      </c>
      <c r="F696" s="27" t="s">
        <v>1165</v>
      </c>
      <c r="G696" s="6" t="s">
        <v>21</v>
      </c>
      <c r="H696" s="7"/>
    </row>
    <row r="697" spans="2:8" ht="9.6" customHeight="1">
      <c r="B697" s="11">
        <f t="shared" si="41"/>
        <v>46170</v>
      </c>
      <c r="C697" s="6" t="s">
        <v>249</v>
      </c>
      <c r="D697" s="6" t="s">
        <v>10</v>
      </c>
      <c r="E697" s="66" t="s">
        <v>28</v>
      </c>
      <c r="F697" s="6" t="s">
        <v>1165</v>
      </c>
      <c r="G697" s="6" t="s">
        <v>21</v>
      </c>
      <c r="H697" s="7"/>
    </row>
    <row r="698" spans="2:8" ht="9.6" customHeight="1">
      <c r="B698" s="11">
        <f t="shared" si="41"/>
        <v>46170</v>
      </c>
      <c r="C698" s="6" t="s">
        <v>83</v>
      </c>
      <c r="D698" s="6" t="s">
        <v>1166</v>
      </c>
      <c r="E698" s="66" t="s">
        <v>28</v>
      </c>
      <c r="F698" s="6" t="s">
        <v>1167</v>
      </c>
      <c r="G698" s="6" t="s">
        <v>51</v>
      </c>
      <c r="H698" s="7"/>
    </row>
    <row r="699" spans="2:8" ht="9.6" customHeight="1">
      <c r="B699" s="11">
        <f t="shared" si="41"/>
        <v>46170</v>
      </c>
      <c r="C699" s="6" t="s">
        <v>27</v>
      </c>
      <c r="D699" s="6" t="s">
        <v>44</v>
      </c>
      <c r="E699" s="66" t="s">
        <v>28</v>
      </c>
      <c r="F699" s="6" t="s">
        <v>1168</v>
      </c>
      <c r="G699" s="6" t="s">
        <v>21</v>
      </c>
      <c r="H699" s="7"/>
    </row>
    <row r="700" spans="2:8" ht="9.6" customHeight="1">
      <c r="B700" s="11">
        <f t="shared" si="41"/>
        <v>46170</v>
      </c>
      <c r="C700" s="6" t="s">
        <v>249</v>
      </c>
      <c r="D700" s="6" t="s">
        <v>167</v>
      </c>
      <c r="E700" s="66" t="s">
        <v>28</v>
      </c>
      <c r="F700" s="6" t="s">
        <v>1169</v>
      </c>
      <c r="G700" s="6" t="s">
        <v>51</v>
      </c>
      <c r="H700" s="7"/>
    </row>
    <row r="701" spans="2:8" ht="9.6" customHeight="1">
      <c r="B701" s="11">
        <f t="shared" si="41"/>
        <v>46170</v>
      </c>
      <c r="C701" s="6" t="s">
        <v>83</v>
      </c>
      <c r="D701" s="6" t="s">
        <v>1170</v>
      </c>
      <c r="E701" s="66" t="s">
        <v>28</v>
      </c>
      <c r="F701" s="6" t="s">
        <v>1169</v>
      </c>
      <c r="G701" s="6" t="s">
        <v>51</v>
      </c>
      <c r="H701" s="7"/>
    </row>
    <row r="702" spans="2:8" ht="9.6" customHeight="1">
      <c r="B702" s="11">
        <f t="shared" si="41"/>
        <v>46170</v>
      </c>
      <c r="C702" s="6" t="s">
        <v>27</v>
      </c>
      <c r="D702" s="6" t="s">
        <v>44</v>
      </c>
      <c r="E702" s="66" t="s">
        <v>28</v>
      </c>
      <c r="F702" s="6" t="s">
        <v>906</v>
      </c>
      <c r="G702" s="6" t="s">
        <v>21</v>
      </c>
      <c r="H702" s="7"/>
    </row>
    <row r="703" spans="2:8" ht="9.6" customHeight="1">
      <c r="B703" s="11">
        <f t="shared" si="41"/>
        <v>46170</v>
      </c>
      <c r="C703" s="6" t="s">
        <v>83</v>
      </c>
      <c r="D703" s="6" t="s">
        <v>207</v>
      </c>
      <c r="E703" s="66" t="s">
        <v>28</v>
      </c>
      <c r="F703" s="6" t="s">
        <v>1171</v>
      </c>
      <c r="G703" s="6" t="s">
        <v>51</v>
      </c>
      <c r="H703" s="7"/>
    </row>
    <row r="704" spans="2:8" ht="9.6" customHeight="1">
      <c r="B704" s="11">
        <f t="shared" si="41"/>
        <v>46170</v>
      </c>
      <c r="C704" s="6" t="s">
        <v>27</v>
      </c>
      <c r="D704" s="6" t="s">
        <v>407</v>
      </c>
      <c r="E704" s="66" t="s">
        <v>28</v>
      </c>
      <c r="F704" s="6" t="s">
        <v>1172</v>
      </c>
      <c r="G704" s="6" t="s">
        <v>51</v>
      </c>
      <c r="H704" s="7"/>
    </row>
    <row r="705" spans="2:8" ht="9.6" customHeight="1">
      <c r="B705" s="11">
        <f t="shared" si="41"/>
        <v>46170</v>
      </c>
      <c r="C705" s="6" t="s">
        <v>27</v>
      </c>
      <c r="D705" s="6" t="s">
        <v>44</v>
      </c>
      <c r="E705" s="66" t="s">
        <v>28</v>
      </c>
      <c r="F705" s="6" t="s">
        <v>1173</v>
      </c>
      <c r="G705" s="6" t="s">
        <v>51</v>
      </c>
      <c r="H705" s="7"/>
    </row>
    <row r="706" spans="2:8" ht="9.6" customHeight="1">
      <c r="B706" s="11">
        <f t="shared" si="41"/>
        <v>46170</v>
      </c>
      <c r="C706" s="6" t="s">
        <v>1174</v>
      </c>
      <c r="D706" s="6" t="s">
        <v>23</v>
      </c>
      <c r="E706" s="66" t="s">
        <v>28</v>
      </c>
      <c r="F706" s="6" t="s">
        <v>1175</v>
      </c>
      <c r="G706" s="6" t="s">
        <v>51</v>
      </c>
      <c r="H706" s="7"/>
    </row>
    <row r="707" spans="2:8" ht="9.6" customHeight="1">
      <c r="B707" s="11">
        <f t="shared" si="41"/>
        <v>46170</v>
      </c>
      <c r="C707" s="6" t="s">
        <v>27</v>
      </c>
      <c r="D707" s="6" t="s">
        <v>76</v>
      </c>
      <c r="E707" s="66" t="s">
        <v>28</v>
      </c>
      <c r="F707" s="6" t="s">
        <v>1176</v>
      </c>
      <c r="G707" s="6" t="s">
        <v>51</v>
      </c>
      <c r="H707" s="7"/>
    </row>
    <row r="708" spans="2:8" ht="9.6" customHeight="1">
      <c r="B708" s="11">
        <f t="shared" si="41"/>
        <v>46170</v>
      </c>
      <c r="C708" s="6" t="s">
        <v>176</v>
      </c>
      <c r="D708" s="6" t="s">
        <v>44</v>
      </c>
      <c r="E708" s="66" t="s">
        <v>28</v>
      </c>
      <c r="F708" s="6" t="s">
        <v>1177</v>
      </c>
      <c r="G708" s="6" t="s">
        <v>21</v>
      </c>
      <c r="H708" s="7"/>
    </row>
    <row r="709" spans="2:8" ht="9.6" customHeight="1">
      <c r="B709" s="11">
        <f t="shared" si="41"/>
        <v>46170</v>
      </c>
      <c r="C709" s="6" t="s">
        <v>176</v>
      </c>
      <c r="D709" s="6" t="s">
        <v>1178</v>
      </c>
      <c r="E709" s="66" t="s">
        <v>28</v>
      </c>
      <c r="F709" s="6" t="s">
        <v>1179</v>
      </c>
      <c r="G709" s="6" t="s">
        <v>1180</v>
      </c>
      <c r="H709" s="7"/>
    </row>
    <row r="710" spans="2:8" ht="9.6" customHeight="1">
      <c r="B710" s="11">
        <f t="shared" si="41"/>
        <v>46170</v>
      </c>
      <c r="C710" s="6" t="s">
        <v>1181</v>
      </c>
      <c r="D710" s="6" t="s">
        <v>1163</v>
      </c>
      <c r="E710" s="66" t="s">
        <v>11</v>
      </c>
      <c r="F710" s="6" t="s">
        <v>1182</v>
      </c>
      <c r="G710" s="6" t="s">
        <v>51</v>
      </c>
      <c r="H710" s="7"/>
    </row>
    <row r="711" spans="2:8" ht="9.6" customHeight="1">
      <c r="B711" s="11">
        <f t="shared" si="41"/>
        <v>46170</v>
      </c>
      <c r="C711" s="6" t="s">
        <v>795</v>
      </c>
      <c r="D711" s="6" t="s">
        <v>407</v>
      </c>
      <c r="E711" s="66" t="s">
        <v>11</v>
      </c>
      <c r="F711" s="6" t="s">
        <v>1183</v>
      </c>
      <c r="G711" s="6" t="s">
        <v>30</v>
      </c>
      <c r="H711" s="7"/>
    </row>
    <row r="712" spans="2:8" ht="9.6" customHeight="1">
      <c r="B712" s="11">
        <f t="shared" si="41"/>
        <v>46170</v>
      </c>
      <c r="C712" s="6" t="s">
        <v>1184</v>
      </c>
      <c r="D712" s="6" t="s">
        <v>23</v>
      </c>
      <c r="E712" s="66" t="s">
        <v>11</v>
      </c>
      <c r="F712" s="6" t="s">
        <v>1185</v>
      </c>
      <c r="G712" s="6" t="s">
        <v>51</v>
      </c>
      <c r="H712" s="7"/>
    </row>
    <row r="713" spans="2:8" ht="9.6" customHeight="1">
      <c r="B713" s="11">
        <f t="shared" si="41"/>
        <v>46170</v>
      </c>
      <c r="C713" s="6" t="s">
        <v>1092</v>
      </c>
      <c r="D713" s="6" t="s">
        <v>52</v>
      </c>
      <c r="E713" s="66" t="s">
        <v>11</v>
      </c>
      <c r="F713" s="6" t="s">
        <v>1186</v>
      </c>
      <c r="G713" s="6" t="s">
        <v>51</v>
      </c>
      <c r="H713" s="7"/>
    </row>
    <row r="714" spans="2:8" ht="9.6" customHeight="1">
      <c r="B714" s="11">
        <f t="shared" si="41"/>
        <v>46170</v>
      </c>
      <c r="C714" s="6" t="s">
        <v>1187</v>
      </c>
      <c r="D714" s="6" t="s">
        <v>1188</v>
      </c>
      <c r="E714" s="66" t="s">
        <v>11</v>
      </c>
      <c r="F714" s="6" t="s">
        <v>758</v>
      </c>
      <c r="G714" s="6" t="s">
        <v>51</v>
      </c>
      <c r="H714" s="7"/>
    </row>
    <row r="715" spans="2:8" ht="9.6" customHeight="1">
      <c r="B715" s="11">
        <f t="shared" si="41"/>
        <v>46170</v>
      </c>
      <c r="C715" s="6" t="s">
        <v>1189</v>
      </c>
      <c r="D715" s="6" t="s">
        <v>1188</v>
      </c>
      <c r="E715" s="66" t="s">
        <v>11</v>
      </c>
      <c r="F715" s="6" t="s">
        <v>870</v>
      </c>
      <c r="G715" s="6" t="s">
        <v>51</v>
      </c>
      <c r="H715" s="7"/>
    </row>
    <row r="716" spans="2:8" ht="9.6" customHeight="1">
      <c r="B716" s="5">
        <v>46171</v>
      </c>
      <c r="C716" s="12" t="s">
        <v>1190</v>
      </c>
      <c r="D716" s="12" t="s">
        <v>570</v>
      </c>
      <c r="E716" s="66" t="s">
        <v>11</v>
      </c>
      <c r="F716" s="12" t="s">
        <v>1191</v>
      </c>
      <c r="G716" s="12" t="s">
        <v>51</v>
      </c>
      <c r="H716" s="7"/>
    </row>
    <row r="717" spans="2:8" ht="9.6" customHeight="1">
      <c r="B717" s="11">
        <f t="shared" ref="B717:B722" si="42">B716</f>
        <v>46171</v>
      </c>
      <c r="C717" s="6" t="s">
        <v>1092</v>
      </c>
      <c r="D717" s="6" t="s">
        <v>42</v>
      </c>
      <c r="E717" s="66" t="s">
        <v>11</v>
      </c>
      <c r="F717" s="6" t="s">
        <v>712</v>
      </c>
      <c r="G717" s="6" t="s">
        <v>51</v>
      </c>
      <c r="H717" s="7"/>
    </row>
    <row r="718" spans="2:8" ht="9.6" customHeight="1">
      <c r="B718" s="11">
        <f t="shared" si="42"/>
        <v>46171</v>
      </c>
      <c r="C718" s="6" t="s">
        <v>795</v>
      </c>
      <c r="D718" s="6" t="s">
        <v>62</v>
      </c>
      <c r="E718" s="66" t="s">
        <v>11</v>
      </c>
      <c r="F718" s="6" t="s">
        <v>1192</v>
      </c>
      <c r="G718" s="6" t="s">
        <v>30</v>
      </c>
      <c r="H718" s="7"/>
    </row>
    <row r="719" spans="2:8" ht="9.6" customHeight="1">
      <c r="B719" s="11">
        <f t="shared" si="42"/>
        <v>46171</v>
      </c>
      <c r="C719" s="6" t="s">
        <v>795</v>
      </c>
      <c r="D719" s="6" t="s">
        <v>10</v>
      </c>
      <c r="E719" s="66" t="s">
        <v>11</v>
      </c>
      <c r="F719" s="6" t="s">
        <v>1193</v>
      </c>
      <c r="G719" s="6" t="s">
        <v>70</v>
      </c>
      <c r="H719" s="7"/>
    </row>
    <row r="720" spans="2:8" ht="9.6" customHeight="1">
      <c r="B720" s="11">
        <f t="shared" si="42"/>
        <v>46171</v>
      </c>
      <c r="C720" s="6" t="s">
        <v>1187</v>
      </c>
      <c r="D720" s="6" t="s">
        <v>19</v>
      </c>
      <c r="E720" s="66" t="s">
        <v>11</v>
      </c>
      <c r="F720" s="6" t="s">
        <v>758</v>
      </c>
      <c r="G720" s="6" t="s">
        <v>51</v>
      </c>
      <c r="H720" s="7"/>
    </row>
    <row r="721" spans="2:8" ht="9.6" customHeight="1">
      <c r="B721" s="11">
        <f t="shared" si="42"/>
        <v>46171</v>
      </c>
      <c r="C721" s="6" t="s">
        <v>1194</v>
      </c>
      <c r="D721" s="6" t="s">
        <v>116</v>
      </c>
      <c r="E721" s="66" t="s">
        <v>11</v>
      </c>
      <c r="F721" s="6" t="s">
        <v>1195</v>
      </c>
      <c r="G721" s="6" t="s">
        <v>51</v>
      </c>
      <c r="H721" s="7"/>
    </row>
    <row r="722" spans="2:8" ht="9.6" customHeight="1">
      <c r="B722" s="11">
        <f t="shared" si="42"/>
        <v>46171</v>
      </c>
      <c r="C722" s="6" t="s">
        <v>1196</v>
      </c>
      <c r="D722" s="6" t="s">
        <v>588</v>
      </c>
      <c r="E722" s="66" t="s">
        <v>11</v>
      </c>
      <c r="F722" s="6" t="s">
        <v>1197</v>
      </c>
      <c r="G722" s="6" t="s">
        <v>51</v>
      </c>
      <c r="H722" s="7"/>
    </row>
    <row r="723" spans="2:8" ht="9.6" customHeight="1">
      <c r="B723" s="5">
        <v>46172</v>
      </c>
      <c r="C723" s="6" t="s">
        <v>1198</v>
      </c>
      <c r="D723" s="6" t="s">
        <v>1199</v>
      </c>
      <c r="E723" s="66" t="s">
        <v>11</v>
      </c>
      <c r="F723" s="6" t="s">
        <v>1200</v>
      </c>
      <c r="G723" s="6" t="s">
        <v>1201</v>
      </c>
      <c r="H723" s="7"/>
    </row>
    <row r="724" spans="2:8" ht="9.6" customHeight="1">
      <c r="B724" s="11">
        <f t="shared" ref="B724:B730" si="43">B723</f>
        <v>46172</v>
      </c>
      <c r="C724" s="6" t="s">
        <v>1202</v>
      </c>
      <c r="D724" s="6" t="s">
        <v>202</v>
      </c>
      <c r="E724" s="66" t="s">
        <v>11</v>
      </c>
      <c r="F724" s="6" t="s">
        <v>1203</v>
      </c>
      <c r="G724" s="6" t="s">
        <v>483</v>
      </c>
      <c r="H724" s="7"/>
    </row>
    <row r="725" spans="2:8" ht="9.6" customHeight="1">
      <c r="B725" s="11">
        <f t="shared" si="43"/>
        <v>46172</v>
      </c>
      <c r="C725" s="6" t="s">
        <v>1204</v>
      </c>
      <c r="D725" s="6"/>
      <c r="E725" s="66" t="s">
        <v>11</v>
      </c>
      <c r="F725" s="6" t="s">
        <v>1205</v>
      </c>
      <c r="G725" s="6" t="s">
        <v>483</v>
      </c>
      <c r="H725" s="7"/>
    </row>
    <row r="726" spans="2:8" ht="9.6" customHeight="1">
      <c r="B726" s="11">
        <f t="shared" si="43"/>
        <v>46172</v>
      </c>
      <c r="C726" s="6" t="s">
        <v>1206</v>
      </c>
      <c r="D726" s="6" t="s">
        <v>1207</v>
      </c>
      <c r="E726" s="66" t="s">
        <v>11</v>
      </c>
      <c r="F726" s="6" t="s">
        <v>1208</v>
      </c>
      <c r="G726" s="6" t="s">
        <v>34</v>
      </c>
      <c r="H726" s="7"/>
    </row>
    <row r="727" spans="2:8" ht="9.6" customHeight="1">
      <c r="B727" s="11">
        <f t="shared" si="43"/>
        <v>46172</v>
      </c>
      <c r="C727" s="6" t="s">
        <v>1209</v>
      </c>
      <c r="D727" s="6" t="s">
        <v>94</v>
      </c>
      <c r="E727" s="66" t="s">
        <v>11</v>
      </c>
      <c r="F727" s="6" t="s">
        <v>1210</v>
      </c>
      <c r="G727" s="6" t="s">
        <v>30</v>
      </c>
      <c r="H727" s="7"/>
    </row>
    <row r="728" spans="2:8" ht="9.6" customHeight="1">
      <c r="B728" s="11">
        <f t="shared" si="43"/>
        <v>46172</v>
      </c>
      <c r="C728" s="6" t="s">
        <v>1211</v>
      </c>
      <c r="D728" s="6" t="s">
        <v>1212</v>
      </c>
      <c r="E728" s="66" t="s">
        <v>11</v>
      </c>
      <c r="F728" s="6" t="s">
        <v>1213</v>
      </c>
      <c r="G728" s="6" t="s">
        <v>1214</v>
      </c>
      <c r="H728" s="7"/>
    </row>
    <row r="729" spans="2:8" ht="9.6" customHeight="1">
      <c r="B729" s="11">
        <f t="shared" si="43"/>
        <v>46172</v>
      </c>
      <c r="C729" s="6" t="s">
        <v>1215</v>
      </c>
      <c r="D729" s="6" t="s">
        <v>253</v>
      </c>
      <c r="E729" s="66" t="s">
        <v>11</v>
      </c>
      <c r="F729" s="6" t="s">
        <v>1216</v>
      </c>
      <c r="G729" s="6" t="s">
        <v>34</v>
      </c>
      <c r="H729" s="7"/>
    </row>
    <row r="730" spans="2:8" ht="9.6" customHeight="1">
      <c r="B730" s="11">
        <f t="shared" si="43"/>
        <v>46172</v>
      </c>
      <c r="C730" s="6" t="s">
        <v>1217</v>
      </c>
      <c r="D730" s="6" t="s">
        <v>1218</v>
      </c>
      <c r="E730" s="66" t="s">
        <v>11</v>
      </c>
      <c r="F730" s="6" t="s">
        <v>1219</v>
      </c>
      <c r="G730" s="6" t="s">
        <v>34</v>
      </c>
      <c r="H730" s="7"/>
    </row>
    <row r="731" spans="2:8" ht="9.6" customHeight="1">
      <c r="B731" s="5">
        <v>46173</v>
      </c>
      <c r="C731" s="12" t="s">
        <v>1220</v>
      </c>
      <c r="D731" s="12" t="s">
        <v>23</v>
      </c>
      <c r="E731" s="66" t="s">
        <v>11</v>
      </c>
      <c r="F731" s="12" t="s">
        <v>1221</v>
      </c>
      <c r="G731" s="6" t="s">
        <v>34</v>
      </c>
      <c r="H731" s="7"/>
    </row>
    <row r="732" spans="2:8" ht="9.6" customHeight="1">
      <c r="B732" s="11">
        <f t="shared" ref="B732:B753" si="44">B731</f>
        <v>46173</v>
      </c>
      <c r="C732" s="6" t="s">
        <v>176</v>
      </c>
      <c r="D732" s="6" t="s">
        <v>23</v>
      </c>
      <c r="E732" s="66" t="s">
        <v>28</v>
      </c>
      <c r="F732" s="6" t="s">
        <v>1222</v>
      </c>
      <c r="G732" s="6" t="s">
        <v>30</v>
      </c>
      <c r="H732" s="7"/>
    </row>
    <row r="733" spans="2:8" ht="9.6" customHeight="1">
      <c r="B733" s="11">
        <f t="shared" si="44"/>
        <v>46173</v>
      </c>
      <c r="C733" s="6" t="s">
        <v>27</v>
      </c>
      <c r="D733" s="6" t="s">
        <v>922</v>
      </c>
      <c r="E733" s="66" t="s">
        <v>28</v>
      </c>
      <c r="F733" s="6" t="s">
        <v>1223</v>
      </c>
      <c r="G733" s="6" t="s">
        <v>34</v>
      </c>
      <c r="H733" s="7"/>
    </row>
    <row r="734" spans="2:8" ht="9.6" customHeight="1">
      <c r="B734" s="11">
        <f t="shared" si="44"/>
        <v>46173</v>
      </c>
      <c r="C734" s="6" t="s">
        <v>176</v>
      </c>
      <c r="D734" s="6" t="s">
        <v>23</v>
      </c>
      <c r="E734" s="66" t="s">
        <v>28</v>
      </c>
      <c r="F734" s="6" t="s">
        <v>1224</v>
      </c>
      <c r="G734" s="6" t="s">
        <v>70</v>
      </c>
      <c r="H734" s="7"/>
    </row>
    <row r="735" spans="2:8" ht="9.6" customHeight="1">
      <c r="B735" s="11">
        <f t="shared" si="44"/>
        <v>46173</v>
      </c>
      <c r="C735" s="6" t="s">
        <v>176</v>
      </c>
      <c r="D735" s="6" t="s">
        <v>44</v>
      </c>
      <c r="E735" s="66" t="s">
        <v>28</v>
      </c>
      <c r="F735" s="6" t="s">
        <v>1225</v>
      </c>
      <c r="G735" s="6" t="s">
        <v>70</v>
      </c>
      <c r="H735" s="7"/>
    </row>
    <row r="736" spans="2:8" ht="9.6" customHeight="1">
      <c r="B736" s="11">
        <f t="shared" si="44"/>
        <v>46173</v>
      </c>
      <c r="C736" s="6" t="s">
        <v>27</v>
      </c>
      <c r="D736" s="6" t="s">
        <v>1226</v>
      </c>
      <c r="E736" s="66" t="s">
        <v>28</v>
      </c>
      <c r="F736" s="6" t="s">
        <v>1227</v>
      </c>
      <c r="G736" s="6" t="s">
        <v>34</v>
      </c>
      <c r="H736" s="7"/>
    </row>
    <row r="737" spans="2:8" ht="9.6" customHeight="1">
      <c r="B737" s="11">
        <f t="shared" si="44"/>
        <v>46173</v>
      </c>
      <c r="C737" s="6" t="s">
        <v>1174</v>
      </c>
      <c r="D737" s="6" t="s">
        <v>317</v>
      </c>
      <c r="E737" s="66" t="s">
        <v>28</v>
      </c>
      <c r="F737" s="6" t="s">
        <v>1228</v>
      </c>
      <c r="G737" s="6" t="s">
        <v>41</v>
      </c>
      <c r="H737" s="7"/>
    </row>
    <row r="738" spans="2:8" ht="9.6" customHeight="1">
      <c r="B738" s="11">
        <f t="shared" si="44"/>
        <v>46173</v>
      </c>
      <c r="C738" s="6" t="s">
        <v>27</v>
      </c>
      <c r="D738" s="6" t="s">
        <v>81</v>
      </c>
      <c r="E738" s="66" t="s">
        <v>28</v>
      </c>
      <c r="F738" s="6" t="s">
        <v>1229</v>
      </c>
      <c r="G738" s="6" t="s">
        <v>34</v>
      </c>
      <c r="H738" s="7"/>
    </row>
    <row r="739" spans="2:8" ht="9.6" customHeight="1">
      <c r="B739" s="11">
        <f t="shared" si="44"/>
        <v>46173</v>
      </c>
      <c r="C739" s="6" t="s">
        <v>176</v>
      </c>
      <c r="D739" s="6" t="s">
        <v>1230</v>
      </c>
      <c r="E739" s="66" t="s">
        <v>28</v>
      </c>
      <c r="F739" s="6" t="s">
        <v>1231</v>
      </c>
      <c r="G739" s="6" t="s">
        <v>234</v>
      </c>
      <c r="H739" s="7"/>
    </row>
    <row r="740" spans="2:8" ht="9.6" customHeight="1">
      <c r="B740" s="11">
        <f t="shared" si="44"/>
        <v>46173</v>
      </c>
      <c r="C740" s="6" t="s">
        <v>27</v>
      </c>
      <c r="D740" s="6" t="s">
        <v>44</v>
      </c>
      <c r="E740" s="66" t="s">
        <v>28</v>
      </c>
      <c r="F740" s="6" t="s">
        <v>1232</v>
      </c>
      <c r="G740" s="6" t="s">
        <v>30</v>
      </c>
      <c r="H740" s="7"/>
    </row>
    <row r="741" spans="2:8" ht="9.6" customHeight="1">
      <c r="B741" s="11">
        <f t="shared" si="44"/>
        <v>46173</v>
      </c>
      <c r="C741" s="6" t="s">
        <v>249</v>
      </c>
      <c r="D741" s="6" t="s">
        <v>207</v>
      </c>
      <c r="E741" s="66" t="s">
        <v>28</v>
      </c>
      <c r="F741" s="6" t="s">
        <v>1233</v>
      </c>
      <c r="G741" s="6" t="s">
        <v>70</v>
      </c>
      <c r="H741" s="7"/>
    </row>
    <row r="742" spans="2:8" ht="9.6" customHeight="1">
      <c r="B742" s="11">
        <f t="shared" si="44"/>
        <v>46173</v>
      </c>
      <c r="C742" s="6" t="s">
        <v>176</v>
      </c>
      <c r="D742" s="6" t="s">
        <v>207</v>
      </c>
      <c r="E742" s="66" t="s">
        <v>28</v>
      </c>
      <c r="F742" s="6" t="s">
        <v>1234</v>
      </c>
      <c r="G742" s="6" t="s">
        <v>70</v>
      </c>
      <c r="H742" s="7"/>
    </row>
    <row r="743" spans="2:8" ht="9.6" customHeight="1">
      <c r="B743" s="11">
        <f t="shared" si="44"/>
        <v>46173</v>
      </c>
      <c r="C743" s="6" t="s">
        <v>27</v>
      </c>
      <c r="D743" s="6" t="s">
        <v>207</v>
      </c>
      <c r="E743" s="66" t="s">
        <v>28</v>
      </c>
      <c r="F743" s="6" t="s">
        <v>1235</v>
      </c>
      <c r="G743" s="6" t="s">
        <v>83</v>
      </c>
      <c r="H743" s="7"/>
    </row>
    <row r="744" spans="2:8" ht="9.6" customHeight="1">
      <c r="B744" s="11">
        <f t="shared" si="44"/>
        <v>46173</v>
      </c>
      <c r="C744" s="6" t="s">
        <v>27</v>
      </c>
      <c r="D744" s="6" t="s">
        <v>207</v>
      </c>
      <c r="E744" s="66" t="s">
        <v>28</v>
      </c>
      <c r="F744" s="6" t="s">
        <v>1236</v>
      </c>
      <c r="G744" s="6" t="s">
        <v>41</v>
      </c>
      <c r="H744" s="7"/>
    </row>
    <row r="745" spans="2:8" ht="9.6" customHeight="1">
      <c r="B745" s="11">
        <f t="shared" si="44"/>
        <v>46173</v>
      </c>
      <c r="C745" s="6" t="s">
        <v>417</v>
      </c>
      <c r="D745" s="6" t="s">
        <v>207</v>
      </c>
      <c r="E745" s="66" t="s">
        <v>28</v>
      </c>
      <c r="F745" s="6" t="s">
        <v>1237</v>
      </c>
      <c r="G745" s="6" t="s">
        <v>70</v>
      </c>
      <c r="H745" s="7"/>
    </row>
    <row r="746" spans="2:8" ht="9.6" customHeight="1">
      <c r="B746" s="11">
        <f t="shared" si="44"/>
        <v>46173</v>
      </c>
      <c r="C746" s="6" t="s">
        <v>176</v>
      </c>
      <c r="D746" s="6" t="s">
        <v>42</v>
      </c>
      <c r="E746" s="66" t="s">
        <v>28</v>
      </c>
      <c r="F746" s="17" t="s">
        <v>1238</v>
      </c>
      <c r="G746" s="6" t="s">
        <v>30</v>
      </c>
      <c r="H746" s="7"/>
    </row>
    <row r="747" spans="2:8" ht="9.6" customHeight="1">
      <c r="B747" s="11">
        <f t="shared" si="44"/>
        <v>46173</v>
      </c>
      <c r="C747" s="6" t="s">
        <v>1239</v>
      </c>
      <c r="D747" s="6" t="s">
        <v>207</v>
      </c>
      <c r="E747" s="66" t="s">
        <v>28</v>
      </c>
      <c r="F747" s="17" t="s">
        <v>1240</v>
      </c>
      <c r="G747" s="6" t="s">
        <v>70</v>
      </c>
      <c r="H747" s="7"/>
    </row>
    <row r="748" spans="2:8" ht="9.6" customHeight="1">
      <c r="B748" s="11">
        <f t="shared" si="44"/>
        <v>46173</v>
      </c>
      <c r="C748" s="6" t="s">
        <v>176</v>
      </c>
      <c r="D748" s="6" t="s">
        <v>62</v>
      </c>
      <c r="E748" s="66" t="s">
        <v>28</v>
      </c>
      <c r="F748" s="17" t="s">
        <v>1241</v>
      </c>
      <c r="G748" s="6" t="s">
        <v>30</v>
      </c>
      <c r="H748" s="7"/>
    </row>
    <row r="749" spans="2:8" ht="9.6" customHeight="1">
      <c r="B749" s="11">
        <f t="shared" si="44"/>
        <v>46173</v>
      </c>
      <c r="C749" s="6" t="s">
        <v>83</v>
      </c>
      <c r="D749" s="6" t="s">
        <v>242</v>
      </c>
      <c r="E749" s="66" t="s">
        <v>28</v>
      </c>
      <c r="F749" s="17" t="s">
        <v>1242</v>
      </c>
      <c r="G749" s="6" t="s">
        <v>70</v>
      </c>
      <c r="H749" s="7"/>
    </row>
    <row r="750" spans="2:8" ht="9.6" customHeight="1">
      <c r="B750" s="11">
        <f t="shared" si="44"/>
        <v>46173</v>
      </c>
      <c r="C750" s="6" t="s">
        <v>176</v>
      </c>
      <c r="D750" s="6" t="s">
        <v>1243</v>
      </c>
      <c r="E750" s="66" t="s">
        <v>28</v>
      </c>
      <c r="F750" s="17" t="s">
        <v>1244</v>
      </c>
      <c r="G750" s="6" t="s">
        <v>1245</v>
      </c>
      <c r="H750" s="7"/>
    </row>
    <row r="751" spans="2:8" ht="9.6" customHeight="1">
      <c r="B751" s="11">
        <f t="shared" si="44"/>
        <v>46173</v>
      </c>
      <c r="C751" s="12" t="s">
        <v>1217</v>
      </c>
      <c r="D751" s="6" t="s">
        <v>735</v>
      </c>
      <c r="E751" s="66" t="s">
        <v>11</v>
      </c>
      <c r="F751" s="6" t="s">
        <v>1246</v>
      </c>
      <c r="G751" s="6" t="s">
        <v>83</v>
      </c>
      <c r="H751" s="7"/>
    </row>
    <row r="752" spans="2:8" ht="9.6" customHeight="1">
      <c r="B752" s="11">
        <f t="shared" si="44"/>
        <v>46173</v>
      </c>
      <c r="C752" s="12" t="s">
        <v>1217</v>
      </c>
      <c r="D752" s="6" t="s">
        <v>42</v>
      </c>
      <c r="E752" s="66" t="s">
        <v>11</v>
      </c>
      <c r="F752" s="6" t="s">
        <v>1247</v>
      </c>
      <c r="G752" s="6" t="s">
        <v>83</v>
      </c>
      <c r="H752" s="7"/>
    </row>
    <row r="753" spans="2:8" ht="9.6" customHeight="1">
      <c r="B753" s="11">
        <f t="shared" si="44"/>
        <v>46173</v>
      </c>
      <c r="C753" s="12" t="s">
        <v>1248</v>
      </c>
      <c r="D753" s="6" t="s">
        <v>544</v>
      </c>
      <c r="E753" s="66" t="s">
        <v>11</v>
      </c>
      <c r="F753" s="6" t="s">
        <v>1249</v>
      </c>
      <c r="G753" s="6" t="s">
        <v>83</v>
      </c>
      <c r="H753" s="7"/>
    </row>
    <row r="754" spans="2:8" ht="9.6" customHeight="1">
      <c r="B754" s="5">
        <v>46174</v>
      </c>
      <c r="C754" s="7" t="s">
        <v>176</v>
      </c>
      <c r="D754" s="6" t="s">
        <v>42</v>
      </c>
      <c r="E754" s="66" t="s">
        <v>28</v>
      </c>
      <c r="F754" s="6" t="s">
        <v>1250</v>
      </c>
      <c r="G754" s="6" t="s">
        <v>30</v>
      </c>
      <c r="H754" s="7"/>
    </row>
    <row r="755" spans="2:8" ht="9.6" customHeight="1">
      <c r="B755" s="11">
        <f t="shared" ref="B755:B767" si="45">B754</f>
        <v>46174</v>
      </c>
      <c r="C755" s="6" t="s">
        <v>27</v>
      </c>
      <c r="D755" s="6" t="s">
        <v>62</v>
      </c>
      <c r="E755" s="66" t="s">
        <v>28</v>
      </c>
      <c r="F755" s="6" t="s">
        <v>1251</v>
      </c>
      <c r="G755" s="6" t="s">
        <v>30</v>
      </c>
      <c r="H755" s="7"/>
    </row>
    <row r="756" spans="2:8" ht="9.6" customHeight="1">
      <c r="B756" s="11">
        <f t="shared" si="45"/>
        <v>46174</v>
      </c>
      <c r="C756" s="6" t="s">
        <v>176</v>
      </c>
      <c r="D756" s="6" t="s">
        <v>44</v>
      </c>
      <c r="E756" s="66" t="s">
        <v>28</v>
      </c>
      <c r="F756" s="6" t="s">
        <v>1252</v>
      </c>
      <c r="G756" s="6" t="s">
        <v>371</v>
      </c>
      <c r="H756" s="7"/>
    </row>
    <row r="757" spans="2:8" ht="9.6" customHeight="1">
      <c r="B757" s="11">
        <f t="shared" si="45"/>
        <v>46174</v>
      </c>
      <c r="C757" s="6" t="s">
        <v>840</v>
      </c>
      <c r="D757" s="6" t="s">
        <v>44</v>
      </c>
      <c r="E757" s="66" t="s">
        <v>28</v>
      </c>
      <c r="F757" s="6" t="s">
        <v>1253</v>
      </c>
      <c r="G757" s="6" t="s">
        <v>30</v>
      </c>
      <c r="H757" s="7"/>
    </row>
    <row r="758" spans="2:8" ht="9.6" customHeight="1">
      <c r="B758" s="11">
        <f t="shared" si="45"/>
        <v>46174</v>
      </c>
      <c r="C758" s="6" t="s">
        <v>27</v>
      </c>
      <c r="D758" s="6" t="s">
        <v>1254</v>
      </c>
      <c r="E758" s="66" t="s">
        <v>28</v>
      </c>
      <c r="F758" s="6" t="s">
        <v>1255</v>
      </c>
      <c r="G758" s="6" t="s">
        <v>1256</v>
      </c>
      <c r="H758" s="7"/>
    </row>
    <row r="759" spans="2:8" ht="9.6" customHeight="1">
      <c r="B759" s="11">
        <f t="shared" si="45"/>
        <v>46174</v>
      </c>
      <c r="C759" s="6" t="s">
        <v>27</v>
      </c>
      <c r="D759" s="6" t="s">
        <v>44</v>
      </c>
      <c r="E759" s="66" t="s">
        <v>28</v>
      </c>
      <c r="F759" s="6" t="s">
        <v>1257</v>
      </c>
      <c r="G759" s="6" t="s">
        <v>70</v>
      </c>
      <c r="H759" s="7"/>
    </row>
    <row r="760" spans="2:8" ht="9.6" customHeight="1">
      <c r="B760" s="11">
        <f t="shared" si="45"/>
        <v>46174</v>
      </c>
      <c r="C760" s="6" t="s">
        <v>417</v>
      </c>
      <c r="D760" s="6" t="s">
        <v>94</v>
      </c>
      <c r="E760" s="66" t="s">
        <v>28</v>
      </c>
      <c r="F760" s="22" t="s">
        <v>1258</v>
      </c>
      <c r="G760" s="6" t="s">
        <v>1136</v>
      </c>
      <c r="H760" s="7"/>
    </row>
    <row r="761" spans="2:8" ht="9.6" customHeight="1">
      <c r="B761" s="11">
        <f t="shared" si="45"/>
        <v>46174</v>
      </c>
      <c r="C761" s="6" t="s">
        <v>27</v>
      </c>
      <c r="D761" s="6" t="s">
        <v>62</v>
      </c>
      <c r="E761" s="66" t="s">
        <v>28</v>
      </c>
      <c r="F761" s="6" t="s">
        <v>1259</v>
      </c>
      <c r="G761" s="6" t="s">
        <v>34</v>
      </c>
      <c r="H761" s="7"/>
    </row>
    <row r="762" spans="2:8" ht="9.6" customHeight="1">
      <c r="B762" s="11">
        <f t="shared" si="45"/>
        <v>46174</v>
      </c>
      <c r="C762" s="6" t="s">
        <v>27</v>
      </c>
      <c r="D762" s="6" t="s">
        <v>403</v>
      </c>
      <c r="E762" s="66" t="s">
        <v>28</v>
      </c>
      <c r="F762" s="6" t="s">
        <v>1260</v>
      </c>
      <c r="G762" s="6" t="s">
        <v>70</v>
      </c>
      <c r="H762" s="7"/>
    </row>
    <row r="763" spans="2:8" ht="9.6" customHeight="1">
      <c r="B763" s="11">
        <f t="shared" si="45"/>
        <v>46174</v>
      </c>
      <c r="C763" s="6" t="s">
        <v>1187</v>
      </c>
      <c r="D763" s="6" t="s">
        <v>19</v>
      </c>
      <c r="E763" s="66" t="s">
        <v>11</v>
      </c>
      <c r="F763" s="6" t="s">
        <v>991</v>
      </c>
      <c r="G763" s="6" t="s">
        <v>34</v>
      </c>
      <c r="H763" s="7"/>
    </row>
    <row r="764" spans="2:8" ht="9.6" customHeight="1">
      <c r="B764" s="11">
        <f t="shared" si="45"/>
        <v>46174</v>
      </c>
      <c r="C764" s="6" t="s">
        <v>1123</v>
      </c>
      <c r="D764" s="6" t="s">
        <v>52</v>
      </c>
      <c r="E764" s="66" t="s">
        <v>11</v>
      </c>
      <c r="F764" s="6" t="s">
        <v>1261</v>
      </c>
      <c r="G764" s="6" t="s">
        <v>34</v>
      </c>
      <c r="H764" s="7"/>
    </row>
    <row r="765" spans="2:8" ht="9.6" customHeight="1">
      <c r="B765" s="11">
        <f t="shared" si="45"/>
        <v>46174</v>
      </c>
      <c r="C765" s="6" t="s">
        <v>1262</v>
      </c>
      <c r="D765" s="6" t="s">
        <v>1263</v>
      </c>
      <c r="E765" s="66" t="s">
        <v>11</v>
      </c>
      <c r="F765" s="6" t="s">
        <v>1264</v>
      </c>
      <c r="G765" s="6" t="s">
        <v>34</v>
      </c>
      <c r="H765" s="7"/>
    </row>
    <row r="766" spans="2:8" ht="9.6" customHeight="1">
      <c r="B766" s="11">
        <f t="shared" si="45"/>
        <v>46174</v>
      </c>
      <c r="C766" s="6" t="s">
        <v>1014</v>
      </c>
      <c r="D766" s="6" t="s">
        <v>76</v>
      </c>
      <c r="E766" s="66" t="s">
        <v>11</v>
      </c>
      <c r="F766" s="6" t="s">
        <v>1265</v>
      </c>
      <c r="G766" s="6" t="s">
        <v>34</v>
      </c>
      <c r="H766" s="7"/>
    </row>
    <row r="767" spans="2:8" ht="9.6" customHeight="1">
      <c r="B767" s="11">
        <f t="shared" si="45"/>
        <v>46174</v>
      </c>
      <c r="C767" s="6" t="s">
        <v>1266</v>
      </c>
      <c r="D767" s="6" t="s">
        <v>570</v>
      </c>
      <c r="E767" s="66" t="s">
        <v>11</v>
      </c>
      <c r="F767" s="6" t="s">
        <v>1267</v>
      </c>
      <c r="G767" s="6" t="s">
        <v>51</v>
      </c>
      <c r="H767" s="7"/>
    </row>
    <row r="768" spans="2:8" ht="9.6" customHeight="1">
      <c r="B768" s="5">
        <v>46175</v>
      </c>
      <c r="C768" s="7" t="s">
        <v>1268</v>
      </c>
      <c r="D768" s="6" t="s">
        <v>213</v>
      </c>
      <c r="E768" s="66" t="s">
        <v>11</v>
      </c>
      <c r="F768" s="6" t="s">
        <v>1269</v>
      </c>
      <c r="G768" s="6" t="s">
        <v>34</v>
      </c>
      <c r="H768" s="7"/>
    </row>
    <row r="769" spans="2:8" ht="9.6" customHeight="1">
      <c r="B769" s="11">
        <f t="shared" ref="B769:B774" si="46">B768</f>
        <v>46175</v>
      </c>
      <c r="C769" s="6" t="s">
        <v>795</v>
      </c>
      <c r="D769" s="6" t="s">
        <v>253</v>
      </c>
      <c r="E769" s="66" t="s">
        <v>11</v>
      </c>
      <c r="F769" s="6" t="s">
        <v>1270</v>
      </c>
      <c r="G769" s="6" t="s">
        <v>30</v>
      </c>
      <c r="H769" s="7"/>
    </row>
    <row r="770" spans="2:8" ht="9.6" customHeight="1">
      <c r="B770" s="11">
        <f t="shared" si="46"/>
        <v>46175</v>
      </c>
      <c r="C770" s="6" t="s">
        <v>795</v>
      </c>
      <c r="D770" s="6" t="s">
        <v>23</v>
      </c>
      <c r="E770" s="66" t="s">
        <v>11</v>
      </c>
      <c r="F770" s="6" t="s">
        <v>1271</v>
      </c>
      <c r="G770" s="6" t="s">
        <v>30</v>
      </c>
      <c r="H770" s="7"/>
    </row>
    <row r="771" spans="2:8" ht="9.6" customHeight="1">
      <c r="B771" s="11">
        <f t="shared" si="46"/>
        <v>46175</v>
      </c>
      <c r="C771" s="6" t="s">
        <v>1272</v>
      </c>
      <c r="D771" s="6" t="s">
        <v>403</v>
      </c>
      <c r="E771" s="66" t="s">
        <v>11</v>
      </c>
      <c r="F771" s="17" t="s">
        <v>1273</v>
      </c>
      <c r="G771" s="6" t="s">
        <v>30</v>
      </c>
      <c r="H771" s="7"/>
    </row>
    <row r="772" spans="2:8" ht="9.6" customHeight="1">
      <c r="B772" s="11">
        <f t="shared" si="46"/>
        <v>46175</v>
      </c>
      <c r="C772" s="6" t="s">
        <v>1274</v>
      </c>
      <c r="D772" s="6" t="s">
        <v>544</v>
      </c>
      <c r="E772" s="66" t="s">
        <v>11</v>
      </c>
      <c r="F772" s="6" t="s">
        <v>1275</v>
      </c>
      <c r="G772" s="6" t="s">
        <v>34</v>
      </c>
      <c r="H772" s="7"/>
    </row>
    <row r="773" spans="2:8" ht="9.6" customHeight="1">
      <c r="B773" s="11">
        <f t="shared" si="46"/>
        <v>46175</v>
      </c>
      <c r="C773" s="6" t="s">
        <v>1276</v>
      </c>
      <c r="D773" s="6" t="s">
        <v>76</v>
      </c>
      <c r="E773" s="66" t="s">
        <v>11</v>
      </c>
      <c r="F773" s="17" t="s">
        <v>1277</v>
      </c>
      <c r="G773" s="6" t="s">
        <v>34</v>
      </c>
      <c r="H773" s="7"/>
    </row>
    <row r="774" spans="2:8" ht="9.6" customHeight="1">
      <c r="B774" s="11">
        <f t="shared" si="46"/>
        <v>46175</v>
      </c>
      <c r="C774" s="6" t="s">
        <v>1278</v>
      </c>
      <c r="D774" s="6" t="s">
        <v>922</v>
      </c>
      <c r="E774" s="66" t="s">
        <v>11</v>
      </c>
      <c r="F774" s="6" t="s">
        <v>1279</v>
      </c>
      <c r="G774" s="6" t="s">
        <v>34</v>
      </c>
      <c r="H774" s="7"/>
    </row>
    <row r="775" spans="2:8" ht="9.6" customHeight="1">
      <c r="B775" s="5">
        <v>46176</v>
      </c>
      <c r="C775" s="6" t="s">
        <v>1280</v>
      </c>
      <c r="D775" s="6" t="s">
        <v>1132</v>
      </c>
      <c r="E775" s="66" t="s">
        <v>11</v>
      </c>
      <c r="F775" s="6" t="s">
        <v>1281</v>
      </c>
      <c r="G775" s="6" t="s">
        <v>34</v>
      </c>
      <c r="H775" s="7"/>
    </row>
    <row r="776" spans="2:8" ht="9.6" customHeight="1">
      <c r="B776" s="5">
        <v>46177</v>
      </c>
      <c r="C776" s="6" t="s">
        <v>260</v>
      </c>
      <c r="D776" s="17" t="s">
        <v>207</v>
      </c>
      <c r="E776" s="66" t="s">
        <v>11</v>
      </c>
      <c r="F776" s="17" t="s">
        <v>1282</v>
      </c>
      <c r="G776" s="6" t="s">
        <v>34</v>
      </c>
      <c r="H776" s="7"/>
    </row>
    <row r="777" spans="2:8" ht="9.6" customHeight="1">
      <c r="B777" s="11">
        <f t="shared" ref="B777:B790" si="47">B776</f>
        <v>46177</v>
      </c>
      <c r="C777" s="6" t="s">
        <v>260</v>
      </c>
      <c r="D777" s="6" t="s">
        <v>317</v>
      </c>
      <c r="E777" s="66" t="s">
        <v>11</v>
      </c>
      <c r="F777" s="17" t="s">
        <v>1283</v>
      </c>
      <c r="G777" s="6" t="s">
        <v>34</v>
      </c>
      <c r="H777" s="7"/>
    </row>
    <row r="778" spans="2:8" ht="9.6" customHeight="1">
      <c r="B778" s="11">
        <f t="shared" si="47"/>
        <v>46177</v>
      </c>
      <c r="C778" s="6" t="s">
        <v>27</v>
      </c>
      <c r="D778" s="6" t="s">
        <v>207</v>
      </c>
      <c r="E778" s="66" t="s">
        <v>11</v>
      </c>
      <c r="F778" s="17" t="s">
        <v>1284</v>
      </c>
      <c r="G778" s="6" t="s">
        <v>34</v>
      </c>
      <c r="H778" s="7"/>
    </row>
    <row r="779" spans="2:8" ht="9.6" customHeight="1">
      <c r="B779" s="11">
        <f t="shared" si="47"/>
        <v>46177</v>
      </c>
      <c r="C779" s="6" t="s">
        <v>176</v>
      </c>
      <c r="D779" s="6" t="s">
        <v>1285</v>
      </c>
      <c r="E779" s="66" t="s">
        <v>11</v>
      </c>
      <c r="F779" s="17" t="s">
        <v>1286</v>
      </c>
      <c r="G779" s="6" t="s">
        <v>70</v>
      </c>
      <c r="H779" s="7"/>
    </row>
    <row r="780" spans="2:8" ht="9.6" customHeight="1">
      <c r="B780" s="11">
        <f t="shared" si="47"/>
        <v>46177</v>
      </c>
      <c r="C780" s="6" t="s">
        <v>27</v>
      </c>
      <c r="D780" s="6" t="s">
        <v>15</v>
      </c>
      <c r="E780" s="66" t="s">
        <v>11</v>
      </c>
      <c r="F780" s="17" t="s">
        <v>838</v>
      </c>
      <c r="G780" s="6" t="s">
        <v>34</v>
      </c>
      <c r="H780" s="7"/>
    </row>
    <row r="781" spans="2:8" ht="9.6" customHeight="1">
      <c r="B781" s="11">
        <f t="shared" si="47"/>
        <v>46177</v>
      </c>
      <c r="C781" s="6" t="s">
        <v>176</v>
      </c>
      <c r="D781" s="6" t="s">
        <v>15</v>
      </c>
      <c r="E781" s="66" t="s">
        <v>11</v>
      </c>
      <c r="F781" s="17" t="s">
        <v>359</v>
      </c>
      <c r="G781" s="6" t="s">
        <v>30</v>
      </c>
      <c r="H781" s="7"/>
    </row>
    <row r="782" spans="2:8" ht="9.6" customHeight="1">
      <c r="B782" s="11">
        <f t="shared" si="47"/>
        <v>46177</v>
      </c>
      <c r="C782" s="6" t="s">
        <v>176</v>
      </c>
      <c r="D782" s="6" t="s">
        <v>42</v>
      </c>
      <c r="E782" s="66" t="s">
        <v>11</v>
      </c>
      <c r="F782" s="17" t="s">
        <v>941</v>
      </c>
      <c r="G782" s="6" t="s">
        <v>30</v>
      </c>
      <c r="H782" s="7"/>
    </row>
    <row r="783" spans="2:8" ht="9.6" customHeight="1">
      <c r="B783" s="11">
        <f t="shared" si="47"/>
        <v>46177</v>
      </c>
      <c r="C783" s="6" t="s">
        <v>176</v>
      </c>
      <c r="D783" s="6" t="s">
        <v>15</v>
      </c>
      <c r="E783" s="66" t="s">
        <v>11</v>
      </c>
      <c r="F783" s="17" t="s">
        <v>1061</v>
      </c>
      <c r="G783" s="6" t="s">
        <v>30</v>
      </c>
      <c r="H783" s="7"/>
    </row>
    <row r="784" spans="2:8" ht="9.6" customHeight="1">
      <c r="B784" s="11">
        <f t="shared" si="47"/>
        <v>46177</v>
      </c>
      <c r="C784" s="6" t="s">
        <v>27</v>
      </c>
      <c r="D784" s="6" t="s">
        <v>42</v>
      </c>
      <c r="E784" s="66" t="s">
        <v>11</v>
      </c>
      <c r="F784" s="17" t="s">
        <v>838</v>
      </c>
      <c r="G784" s="6" t="s">
        <v>34</v>
      </c>
      <c r="H784" s="7"/>
    </row>
    <row r="785" spans="2:8" ht="9.6" customHeight="1">
      <c r="B785" s="11">
        <f t="shared" si="47"/>
        <v>46177</v>
      </c>
      <c r="C785" s="6" t="s">
        <v>27</v>
      </c>
      <c r="D785" s="6" t="s">
        <v>44</v>
      </c>
      <c r="E785" s="66" t="s">
        <v>11</v>
      </c>
      <c r="F785" s="17" t="s">
        <v>1287</v>
      </c>
      <c r="G785" s="6" t="s">
        <v>34</v>
      </c>
      <c r="H785" s="7"/>
    </row>
    <row r="786" spans="2:8" ht="9.6" customHeight="1">
      <c r="B786" s="11">
        <f t="shared" si="47"/>
        <v>46177</v>
      </c>
      <c r="C786" s="6" t="s">
        <v>27</v>
      </c>
      <c r="D786" s="17" t="s">
        <v>1288</v>
      </c>
      <c r="E786" s="66" t="s">
        <v>11</v>
      </c>
      <c r="F786" s="17" t="s">
        <v>1289</v>
      </c>
      <c r="G786" s="6" t="s">
        <v>70</v>
      </c>
      <c r="H786" s="7"/>
    </row>
    <row r="787" spans="2:8" ht="9.6" customHeight="1">
      <c r="B787" s="11">
        <f t="shared" si="47"/>
        <v>46177</v>
      </c>
      <c r="C787" s="6" t="s">
        <v>27</v>
      </c>
      <c r="D787" s="6" t="s">
        <v>1290</v>
      </c>
      <c r="E787" s="66" t="s">
        <v>11</v>
      </c>
      <c r="F787" s="17" t="s">
        <v>1291</v>
      </c>
      <c r="G787" s="6" t="s">
        <v>34</v>
      </c>
      <c r="H787" s="7"/>
    </row>
    <row r="788" spans="2:8" ht="9.6" customHeight="1">
      <c r="B788" s="11">
        <f t="shared" si="47"/>
        <v>46177</v>
      </c>
      <c r="C788" s="6" t="s">
        <v>27</v>
      </c>
      <c r="D788" s="6" t="s">
        <v>207</v>
      </c>
      <c r="E788" s="66" t="s">
        <v>11</v>
      </c>
      <c r="F788" s="17" t="s">
        <v>1292</v>
      </c>
      <c r="G788" s="6" t="s">
        <v>34</v>
      </c>
      <c r="H788" s="7"/>
    </row>
    <row r="789" spans="2:8" ht="9.6" customHeight="1">
      <c r="B789" s="11">
        <f t="shared" si="47"/>
        <v>46177</v>
      </c>
      <c r="C789" s="6" t="s">
        <v>176</v>
      </c>
      <c r="D789" s="6" t="s">
        <v>81</v>
      </c>
      <c r="E789" s="66" t="s">
        <v>11</v>
      </c>
      <c r="F789" s="17" t="s">
        <v>1050</v>
      </c>
      <c r="G789" s="6" t="s">
        <v>371</v>
      </c>
      <c r="H789" s="7"/>
    </row>
    <row r="790" spans="2:8" ht="9.6" customHeight="1">
      <c r="B790" s="11">
        <f t="shared" si="47"/>
        <v>46177</v>
      </c>
      <c r="C790" s="6" t="s">
        <v>1293</v>
      </c>
      <c r="D790" s="6" t="s">
        <v>385</v>
      </c>
      <c r="E790" s="66" t="s">
        <v>11</v>
      </c>
      <c r="F790" s="6" t="s">
        <v>1294</v>
      </c>
      <c r="G790" s="6" t="s">
        <v>51</v>
      </c>
      <c r="H790" s="7"/>
    </row>
    <row r="791" spans="2:8" ht="9.6" customHeight="1">
      <c r="B791" s="5">
        <v>46178</v>
      </c>
      <c r="C791" s="7" t="s">
        <v>1295</v>
      </c>
      <c r="D791" s="6" t="s">
        <v>62</v>
      </c>
      <c r="E791" s="66" t="s">
        <v>11</v>
      </c>
      <c r="F791" s="6" t="s">
        <v>1296</v>
      </c>
      <c r="G791" s="6" t="s">
        <v>51</v>
      </c>
      <c r="H791" s="7"/>
    </row>
    <row r="792" spans="2:8" ht="9.6" customHeight="1">
      <c r="B792" s="11">
        <f>B791</f>
        <v>46178</v>
      </c>
      <c r="C792" s="6" t="s">
        <v>35</v>
      </c>
      <c r="D792" s="6" t="s">
        <v>62</v>
      </c>
      <c r="E792" s="66" t="s">
        <v>11</v>
      </c>
      <c r="F792" s="6" t="s">
        <v>1297</v>
      </c>
      <c r="G792" s="6" t="s">
        <v>54</v>
      </c>
      <c r="H792" s="7"/>
    </row>
    <row r="793" spans="2:8" ht="9.6" customHeight="1">
      <c r="B793" s="11">
        <f>B792</f>
        <v>46178</v>
      </c>
      <c r="C793" s="6" t="s">
        <v>1298</v>
      </c>
      <c r="D793" s="6" t="s">
        <v>612</v>
      </c>
      <c r="E793" s="66" t="s">
        <v>11</v>
      </c>
      <c r="F793" s="6" t="s">
        <v>1299</v>
      </c>
      <c r="G793" s="6" t="s">
        <v>51</v>
      </c>
      <c r="H793" s="7"/>
    </row>
    <row r="794" spans="2:8" ht="9.6" customHeight="1">
      <c r="B794" s="11">
        <f>B793</f>
        <v>46178</v>
      </c>
      <c r="C794" s="6" t="s">
        <v>35</v>
      </c>
      <c r="D794" s="6" t="s">
        <v>1300</v>
      </c>
      <c r="E794" s="66" t="s">
        <v>11</v>
      </c>
      <c r="F794" s="6" t="s">
        <v>1301</v>
      </c>
      <c r="G794" s="6" t="s">
        <v>1302</v>
      </c>
      <c r="H794" s="7"/>
    </row>
    <row r="795" spans="2:8" ht="9.6" customHeight="1">
      <c r="B795" s="5">
        <v>46179</v>
      </c>
      <c r="C795" s="7" t="s">
        <v>1303</v>
      </c>
      <c r="D795" s="6" t="s">
        <v>10</v>
      </c>
      <c r="E795" s="66" t="s">
        <v>11</v>
      </c>
      <c r="F795" s="17" t="s">
        <v>1304</v>
      </c>
      <c r="G795" s="6" t="s">
        <v>70</v>
      </c>
      <c r="H795" s="7"/>
    </row>
    <row r="796" spans="2:8" ht="9.6" customHeight="1">
      <c r="B796" s="11">
        <f t="shared" ref="B796:B814" si="48">B795</f>
        <v>46179</v>
      </c>
      <c r="C796" s="6" t="s">
        <v>1305</v>
      </c>
      <c r="D796" s="6" t="s">
        <v>19</v>
      </c>
      <c r="E796" s="66" t="s">
        <v>11</v>
      </c>
      <c r="F796" s="6" t="s">
        <v>1306</v>
      </c>
      <c r="G796" s="6" t="s">
        <v>51</v>
      </c>
      <c r="H796" s="7"/>
    </row>
    <row r="797" spans="2:8" ht="9.6" customHeight="1">
      <c r="B797" s="11">
        <f t="shared" si="48"/>
        <v>46179</v>
      </c>
      <c r="C797" s="6" t="s">
        <v>1307</v>
      </c>
      <c r="D797" s="6" t="s">
        <v>633</v>
      </c>
      <c r="E797" s="66" t="s">
        <v>11</v>
      </c>
      <c r="F797" s="6" t="s">
        <v>1308</v>
      </c>
      <c r="G797" s="6" t="s">
        <v>51</v>
      </c>
      <c r="H797" s="7"/>
    </row>
    <row r="798" spans="2:8" ht="9.6" customHeight="1">
      <c r="B798" s="11">
        <f t="shared" si="48"/>
        <v>46179</v>
      </c>
      <c r="C798" s="6" t="s">
        <v>27</v>
      </c>
      <c r="D798" s="6" t="s">
        <v>62</v>
      </c>
      <c r="E798" s="66" t="s">
        <v>28</v>
      </c>
      <c r="F798" s="17" t="s">
        <v>1309</v>
      </c>
      <c r="G798" s="6" t="s">
        <v>70</v>
      </c>
      <c r="H798" s="7"/>
    </row>
    <row r="799" spans="2:8" ht="9.6" customHeight="1">
      <c r="B799" s="11">
        <f t="shared" si="48"/>
        <v>46179</v>
      </c>
      <c r="C799" s="6" t="s">
        <v>27</v>
      </c>
      <c r="D799" s="6" t="s">
        <v>62</v>
      </c>
      <c r="E799" s="66" t="s">
        <v>28</v>
      </c>
      <c r="F799" s="17" t="s">
        <v>1310</v>
      </c>
      <c r="G799" s="6" t="s">
        <v>51</v>
      </c>
      <c r="H799" s="7"/>
    </row>
    <row r="800" spans="2:8" ht="9.6" customHeight="1">
      <c r="B800" s="11">
        <f t="shared" si="48"/>
        <v>46179</v>
      </c>
      <c r="C800" s="6" t="s">
        <v>83</v>
      </c>
      <c r="D800" s="6" t="s">
        <v>1311</v>
      </c>
      <c r="E800" s="66" t="s">
        <v>28</v>
      </c>
      <c r="F800" s="17" t="s">
        <v>1172</v>
      </c>
      <c r="G800" s="6" t="s">
        <v>70</v>
      </c>
      <c r="H800" s="7"/>
    </row>
    <row r="801" spans="2:8" ht="9.6" customHeight="1">
      <c r="B801" s="11">
        <f t="shared" si="48"/>
        <v>46179</v>
      </c>
      <c r="C801" s="6" t="s">
        <v>176</v>
      </c>
      <c r="D801" s="6" t="s">
        <v>762</v>
      </c>
      <c r="E801" s="66" t="s">
        <v>28</v>
      </c>
      <c r="F801" s="17" t="s">
        <v>609</v>
      </c>
      <c r="G801" s="6" t="s">
        <v>1245</v>
      </c>
      <c r="H801" s="7"/>
    </row>
    <row r="802" spans="2:8" ht="9.6" customHeight="1">
      <c r="B802" s="11">
        <f t="shared" si="48"/>
        <v>46179</v>
      </c>
      <c r="C802" s="6" t="s">
        <v>27</v>
      </c>
      <c r="D802" s="6" t="s">
        <v>19</v>
      </c>
      <c r="E802" s="66" t="s">
        <v>28</v>
      </c>
      <c r="F802" s="6" t="s">
        <v>1312</v>
      </c>
      <c r="G802" s="6" t="s">
        <v>51</v>
      </c>
      <c r="H802" s="7"/>
    </row>
    <row r="803" spans="2:8" ht="9.6" customHeight="1">
      <c r="B803" s="11">
        <f t="shared" si="48"/>
        <v>46179</v>
      </c>
      <c r="C803" s="6" t="s">
        <v>27</v>
      </c>
      <c r="D803" s="6" t="s">
        <v>76</v>
      </c>
      <c r="E803" s="66" t="s">
        <v>28</v>
      </c>
      <c r="F803" s="6" t="s">
        <v>1313</v>
      </c>
      <c r="G803" s="6" t="s">
        <v>51</v>
      </c>
      <c r="H803" s="7"/>
    </row>
    <row r="804" spans="2:8" ht="9.6" customHeight="1">
      <c r="B804" s="11">
        <f t="shared" si="48"/>
        <v>46179</v>
      </c>
      <c r="C804" s="6" t="s">
        <v>27</v>
      </c>
      <c r="D804" s="6" t="s">
        <v>42</v>
      </c>
      <c r="E804" s="66" t="s">
        <v>28</v>
      </c>
      <c r="F804" s="6" t="s">
        <v>1314</v>
      </c>
      <c r="G804" s="6" t="s">
        <v>51</v>
      </c>
      <c r="H804" s="7"/>
    </row>
    <row r="805" spans="2:8" ht="9.6" customHeight="1">
      <c r="B805" s="11">
        <f t="shared" si="48"/>
        <v>46179</v>
      </c>
      <c r="C805" s="6" t="s">
        <v>27</v>
      </c>
      <c r="D805" s="6" t="s">
        <v>62</v>
      </c>
      <c r="E805" s="66" t="s">
        <v>28</v>
      </c>
      <c r="F805" s="6" t="s">
        <v>1315</v>
      </c>
      <c r="G805" s="6" t="s">
        <v>51</v>
      </c>
      <c r="H805" s="7"/>
    </row>
    <row r="806" spans="2:8" ht="9.6" customHeight="1">
      <c r="B806" s="11">
        <f t="shared" si="48"/>
        <v>46179</v>
      </c>
      <c r="C806" s="6" t="s">
        <v>176</v>
      </c>
      <c r="D806" s="6" t="s">
        <v>42</v>
      </c>
      <c r="E806" s="66" t="s">
        <v>28</v>
      </c>
      <c r="F806" s="6" t="s">
        <v>194</v>
      </c>
      <c r="G806" s="6" t="s">
        <v>30</v>
      </c>
      <c r="H806" s="7"/>
    </row>
    <row r="807" spans="2:8" ht="9.6" customHeight="1">
      <c r="B807" s="11">
        <f t="shared" si="48"/>
        <v>46179</v>
      </c>
      <c r="C807" s="6" t="s">
        <v>27</v>
      </c>
      <c r="D807" s="6" t="s">
        <v>42</v>
      </c>
      <c r="E807" s="66" t="s">
        <v>28</v>
      </c>
      <c r="F807" s="6" t="s">
        <v>1316</v>
      </c>
      <c r="G807" s="6" t="s">
        <v>51</v>
      </c>
      <c r="H807" s="7"/>
    </row>
    <row r="808" spans="2:8" ht="9.6" customHeight="1">
      <c r="B808" s="11">
        <f t="shared" si="48"/>
        <v>46179</v>
      </c>
      <c r="C808" s="6" t="s">
        <v>27</v>
      </c>
      <c r="D808" s="6" t="s">
        <v>44</v>
      </c>
      <c r="E808" s="66" t="s">
        <v>28</v>
      </c>
      <c r="F808" s="6" t="s">
        <v>1317</v>
      </c>
      <c r="G808" s="6" t="s">
        <v>70</v>
      </c>
      <c r="H808" s="7"/>
    </row>
    <row r="809" spans="2:8" ht="9.6" customHeight="1">
      <c r="B809" s="11">
        <f t="shared" si="48"/>
        <v>46179</v>
      </c>
      <c r="C809" s="6" t="s">
        <v>27</v>
      </c>
      <c r="D809" s="6" t="s">
        <v>62</v>
      </c>
      <c r="E809" s="66" t="s">
        <v>28</v>
      </c>
      <c r="F809" s="6" t="s">
        <v>1318</v>
      </c>
      <c r="G809" s="6" t="s">
        <v>51</v>
      </c>
      <c r="H809" s="7"/>
    </row>
    <row r="810" spans="2:8" ht="9.6" customHeight="1">
      <c r="B810" s="11">
        <f t="shared" si="48"/>
        <v>46179</v>
      </c>
      <c r="C810" s="6" t="s">
        <v>27</v>
      </c>
      <c r="D810" s="6" t="s">
        <v>62</v>
      </c>
      <c r="E810" s="66" t="s">
        <v>28</v>
      </c>
      <c r="F810" s="6" t="s">
        <v>1319</v>
      </c>
      <c r="G810" s="6" t="s">
        <v>51</v>
      </c>
      <c r="H810" s="7"/>
    </row>
    <row r="811" spans="2:8" ht="9.6" customHeight="1">
      <c r="B811" s="11">
        <f t="shared" si="48"/>
        <v>46179</v>
      </c>
      <c r="C811" s="6" t="s">
        <v>27</v>
      </c>
      <c r="D811" s="6" t="s">
        <v>44</v>
      </c>
      <c r="E811" s="66" t="s">
        <v>28</v>
      </c>
      <c r="F811" s="6" t="s">
        <v>1320</v>
      </c>
      <c r="G811" s="6" t="s">
        <v>30</v>
      </c>
      <c r="H811" s="7"/>
    </row>
    <row r="812" spans="2:8" ht="9.6" customHeight="1">
      <c r="B812" s="11">
        <f t="shared" si="48"/>
        <v>46179</v>
      </c>
      <c r="C812" s="6" t="s">
        <v>176</v>
      </c>
      <c r="D812" s="6" t="s">
        <v>42</v>
      </c>
      <c r="E812" s="66" t="s">
        <v>28</v>
      </c>
      <c r="F812" s="6" t="s">
        <v>1321</v>
      </c>
      <c r="G812" s="6" t="s">
        <v>371</v>
      </c>
      <c r="H812" s="7"/>
    </row>
    <row r="813" spans="2:8" ht="9.6" customHeight="1">
      <c r="B813" s="11">
        <f t="shared" si="48"/>
        <v>46179</v>
      </c>
      <c r="C813" s="6" t="s">
        <v>27</v>
      </c>
      <c r="D813" s="6" t="s">
        <v>42</v>
      </c>
      <c r="E813" s="66" t="s">
        <v>28</v>
      </c>
      <c r="F813" s="6" t="s">
        <v>1172</v>
      </c>
      <c r="G813" s="6" t="s">
        <v>51</v>
      </c>
      <c r="H813" s="7"/>
    </row>
    <row r="814" spans="2:8" ht="9.6" customHeight="1">
      <c r="B814" s="11">
        <f t="shared" si="48"/>
        <v>46179</v>
      </c>
      <c r="C814" s="6" t="s">
        <v>176</v>
      </c>
      <c r="D814" s="6" t="s">
        <v>15</v>
      </c>
      <c r="E814" s="66" t="s">
        <v>28</v>
      </c>
      <c r="F814" s="6" t="s">
        <v>1322</v>
      </c>
      <c r="G814" s="6" t="s">
        <v>30</v>
      </c>
      <c r="H814" s="7"/>
    </row>
    <row r="815" spans="2:8" ht="9.6" customHeight="1">
      <c r="B815" s="5">
        <v>46180</v>
      </c>
      <c r="C815" s="6" t="s">
        <v>1323</v>
      </c>
      <c r="D815" s="6" t="s">
        <v>44</v>
      </c>
      <c r="E815" s="66" t="s">
        <v>11</v>
      </c>
      <c r="F815" s="17" t="s">
        <v>1324</v>
      </c>
      <c r="G815" s="6" t="s">
        <v>70</v>
      </c>
      <c r="H815" s="7"/>
    </row>
    <row r="816" spans="2:8" ht="9.6" customHeight="1">
      <c r="B816" s="11">
        <f t="shared" ref="B816:B836" si="49">B815</f>
        <v>46180</v>
      </c>
      <c r="C816" s="6" t="s">
        <v>1325</v>
      </c>
      <c r="D816" s="6" t="s">
        <v>1326</v>
      </c>
      <c r="E816" s="66" t="s">
        <v>11</v>
      </c>
      <c r="F816" s="6" t="s">
        <v>1327</v>
      </c>
      <c r="G816" s="6" t="s">
        <v>30</v>
      </c>
      <c r="H816" s="7"/>
    </row>
    <row r="817" spans="2:8" ht="9.6" customHeight="1">
      <c r="B817" s="11">
        <f t="shared" si="49"/>
        <v>46180</v>
      </c>
      <c r="C817" s="6" t="s">
        <v>35</v>
      </c>
      <c r="D817" s="6" t="s">
        <v>910</v>
      </c>
      <c r="E817" s="66" t="s">
        <v>11</v>
      </c>
      <c r="F817" s="17" t="s">
        <v>1328</v>
      </c>
      <c r="G817" s="6" t="s">
        <v>70</v>
      </c>
      <c r="H817" s="7"/>
    </row>
    <row r="818" spans="2:8" ht="9.6" customHeight="1">
      <c r="B818" s="11">
        <f t="shared" si="49"/>
        <v>46180</v>
      </c>
      <c r="C818" s="6" t="s">
        <v>35</v>
      </c>
      <c r="D818" s="6" t="s">
        <v>19</v>
      </c>
      <c r="E818" s="66" t="s">
        <v>11</v>
      </c>
      <c r="F818" s="17" t="s">
        <v>1329</v>
      </c>
      <c r="G818" s="6" t="s">
        <v>30</v>
      </c>
      <c r="H818" s="7"/>
    </row>
    <row r="819" spans="2:8" ht="9.6" customHeight="1">
      <c r="B819" s="11">
        <f t="shared" si="49"/>
        <v>46180</v>
      </c>
      <c r="C819" s="6" t="s">
        <v>83</v>
      </c>
      <c r="D819" s="6" t="s">
        <v>42</v>
      </c>
      <c r="E819" s="66" t="s">
        <v>11</v>
      </c>
      <c r="F819" s="17" t="s">
        <v>1330</v>
      </c>
      <c r="G819" s="6" t="s">
        <v>30</v>
      </c>
      <c r="H819" s="7"/>
    </row>
    <row r="820" spans="2:8" ht="9.6" customHeight="1">
      <c r="B820" s="11">
        <f t="shared" si="49"/>
        <v>46180</v>
      </c>
      <c r="C820" s="6" t="s">
        <v>1331</v>
      </c>
      <c r="D820" s="6" t="s">
        <v>1132</v>
      </c>
      <c r="E820" s="66" t="s">
        <v>11</v>
      </c>
      <c r="F820" s="17" t="s">
        <v>1332</v>
      </c>
      <c r="G820" s="6" t="s">
        <v>70</v>
      </c>
      <c r="H820" s="7"/>
    </row>
    <row r="821" spans="2:8" ht="9.6" customHeight="1">
      <c r="B821" s="11">
        <f t="shared" si="49"/>
        <v>46180</v>
      </c>
      <c r="C821" s="6" t="s">
        <v>1333</v>
      </c>
      <c r="D821" s="6" t="s">
        <v>62</v>
      </c>
      <c r="E821" s="66" t="s">
        <v>11</v>
      </c>
      <c r="F821" s="6" t="s">
        <v>1334</v>
      </c>
      <c r="G821" s="6" t="s">
        <v>51</v>
      </c>
      <c r="H821" s="7"/>
    </row>
    <row r="822" spans="2:8" ht="9.6" customHeight="1">
      <c r="B822" s="11">
        <f t="shared" si="49"/>
        <v>46180</v>
      </c>
      <c r="C822" s="6" t="s">
        <v>35</v>
      </c>
      <c r="D822" s="6" t="s">
        <v>213</v>
      </c>
      <c r="E822" s="66" t="s">
        <v>11</v>
      </c>
      <c r="F822" s="6" t="s">
        <v>1335</v>
      </c>
      <c r="G822" s="6" t="s">
        <v>113</v>
      </c>
      <c r="H822" s="7"/>
    </row>
    <row r="823" spans="2:8" ht="9.6" customHeight="1">
      <c r="B823" s="11">
        <f t="shared" si="49"/>
        <v>46180</v>
      </c>
      <c r="C823" s="6" t="s">
        <v>1336</v>
      </c>
      <c r="D823" s="6" t="s">
        <v>52</v>
      </c>
      <c r="E823" s="66" t="s">
        <v>11</v>
      </c>
      <c r="F823" s="6" t="s">
        <v>1042</v>
      </c>
      <c r="G823" s="6" t="s">
        <v>30</v>
      </c>
      <c r="H823" s="7"/>
    </row>
    <row r="824" spans="2:8" ht="9.6" customHeight="1">
      <c r="B824" s="11">
        <f t="shared" si="49"/>
        <v>46180</v>
      </c>
      <c r="C824" s="6" t="s">
        <v>1337</v>
      </c>
      <c r="D824" s="6" t="s">
        <v>19</v>
      </c>
      <c r="E824" s="66" t="s">
        <v>11</v>
      </c>
      <c r="F824" s="6" t="s">
        <v>359</v>
      </c>
      <c r="G824" s="6" t="s">
        <v>30</v>
      </c>
      <c r="H824" s="7"/>
    </row>
    <row r="825" spans="2:8" ht="9.6" customHeight="1">
      <c r="B825" s="11">
        <f t="shared" si="49"/>
        <v>46180</v>
      </c>
      <c r="C825" s="6" t="s">
        <v>1331</v>
      </c>
      <c r="D825" s="6" t="s">
        <v>164</v>
      </c>
      <c r="E825" s="66" t="s">
        <v>11</v>
      </c>
      <c r="F825" s="6" t="s">
        <v>1338</v>
      </c>
      <c r="G825" s="6" t="s">
        <v>51</v>
      </c>
      <c r="H825" s="7"/>
    </row>
    <row r="826" spans="2:8" ht="9.6" customHeight="1">
      <c r="B826" s="11">
        <f t="shared" si="49"/>
        <v>46180</v>
      </c>
      <c r="C826" s="6" t="s">
        <v>176</v>
      </c>
      <c r="D826" s="6" t="s">
        <v>213</v>
      </c>
      <c r="E826" s="66" t="s">
        <v>11</v>
      </c>
      <c r="F826" s="6" t="s">
        <v>1339</v>
      </c>
      <c r="G826" s="6" t="s">
        <v>1245</v>
      </c>
      <c r="H826" s="7"/>
    </row>
    <row r="827" spans="2:8" ht="9.6" customHeight="1">
      <c r="B827" s="11">
        <f t="shared" si="49"/>
        <v>46180</v>
      </c>
      <c r="C827" s="6" t="s">
        <v>1331</v>
      </c>
      <c r="D827" s="6" t="s">
        <v>15</v>
      </c>
      <c r="E827" s="66" t="s">
        <v>11</v>
      </c>
      <c r="F827" s="6" t="s">
        <v>1172</v>
      </c>
      <c r="G827" s="6" t="s">
        <v>51</v>
      </c>
      <c r="H827" s="7"/>
    </row>
    <row r="828" spans="2:8" ht="9.6" customHeight="1">
      <c r="B828" s="11">
        <f t="shared" si="49"/>
        <v>46180</v>
      </c>
      <c r="C828" s="6" t="s">
        <v>176</v>
      </c>
      <c r="D828" s="6" t="s">
        <v>42</v>
      </c>
      <c r="E828" s="66" t="s">
        <v>11</v>
      </c>
      <c r="F828" s="6" t="s">
        <v>578</v>
      </c>
      <c r="G828" s="6" t="s">
        <v>30</v>
      </c>
      <c r="H828" s="7"/>
    </row>
    <row r="829" spans="2:8" ht="9.6" customHeight="1">
      <c r="B829" s="11">
        <f t="shared" si="49"/>
        <v>46180</v>
      </c>
      <c r="C829" s="6" t="s">
        <v>1331</v>
      </c>
      <c r="D829" s="6" t="s">
        <v>1340</v>
      </c>
      <c r="E829" s="66" t="s">
        <v>11</v>
      </c>
      <c r="F829" s="6" t="s">
        <v>1341</v>
      </c>
      <c r="G829" s="6" t="s">
        <v>51</v>
      </c>
      <c r="H829" s="7"/>
    </row>
    <row r="830" spans="2:8" ht="9.6" customHeight="1">
      <c r="B830" s="11">
        <f t="shared" si="49"/>
        <v>46180</v>
      </c>
      <c r="C830" s="6" t="s">
        <v>1331</v>
      </c>
      <c r="D830" s="6" t="s">
        <v>94</v>
      </c>
      <c r="E830" s="66" t="s">
        <v>11</v>
      </c>
      <c r="F830" s="6" t="s">
        <v>1342</v>
      </c>
      <c r="G830" s="6" t="s">
        <v>51</v>
      </c>
      <c r="H830" s="7"/>
    </row>
    <row r="831" spans="2:8" ht="9.6" customHeight="1">
      <c r="B831" s="11">
        <f t="shared" si="49"/>
        <v>46180</v>
      </c>
      <c r="C831" s="6" t="s">
        <v>176</v>
      </c>
      <c r="D831" s="6" t="s">
        <v>1343</v>
      </c>
      <c r="E831" s="66" t="s">
        <v>11</v>
      </c>
      <c r="F831" s="6" t="s">
        <v>1344</v>
      </c>
      <c r="G831" s="6" t="s">
        <v>51</v>
      </c>
      <c r="H831" s="7"/>
    </row>
    <row r="832" spans="2:8" ht="9.6" customHeight="1">
      <c r="B832" s="11">
        <f t="shared" si="49"/>
        <v>46180</v>
      </c>
      <c r="C832" s="6" t="s">
        <v>1331</v>
      </c>
      <c r="D832" s="6" t="s">
        <v>207</v>
      </c>
      <c r="E832" s="66" t="s">
        <v>11</v>
      </c>
      <c r="F832" s="6" t="s">
        <v>1345</v>
      </c>
      <c r="G832" s="6" t="s">
        <v>70</v>
      </c>
      <c r="H832" s="7"/>
    </row>
    <row r="833" spans="2:8" ht="9.6" customHeight="1">
      <c r="B833" s="11">
        <f t="shared" si="49"/>
        <v>46180</v>
      </c>
      <c r="C833" s="6" t="s">
        <v>1331</v>
      </c>
      <c r="D833" s="6" t="s">
        <v>1226</v>
      </c>
      <c r="E833" s="66" t="s">
        <v>11</v>
      </c>
      <c r="F833" s="6" t="s">
        <v>1346</v>
      </c>
      <c r="G833" s="6" t="s">
        <v>51</v>
      </c>
      <c r="H833" s="7"/>
    </row>
    <row r="834" spans="2:8" ht="9.6" customHeight="1">
      <c r="B834" s="11">
        <f t="shared" si="49"/>
        <v>46180</v>
      </c>
      <c r="C834" s="6" t="s">
        <v>176</v>
      </c>
      <c r="D834" s="6" t="s">
        <v>42</v>
      </c>
      <c r="E834" s="66" t="s">
        <v>11</v>
      </c>
      <c r="F834" s="6" t="s">
        <v>1347</v>
      </c>
      <c r="G834" s="6" t="s">
        <v>237</v>
      </c>
      <c r="H834" s="7"/>
    </row>
    <row r="835" spans="2:8" ht="9.6" customHeight="1">
      <c r="B835" s="11">
        <f t="shared" si="49"/>
        <v>46180</v>
      </c>
      <c r="C835" s="6" t="s">
        <v>176</v>
      </c>
      <c r="D835" s="6" t="s">
        <v>62</v>
      </c>
      <c r="E835" s="66" t="s">
        <v>11</v>
      </c>
      <c r="F835" s="6" t="s">
        <v>1348</v>
      </c>
      <c r="G835" s="6" t="s">
        <v>371</v>
      </c>
      <c r="H835" s="7"/>
    </row>
    <row r="836" spans="2:8" ht="9.6" customHeight="1">
      <c r="B836" s="11">
        <f t="shared" si="49"/>
        <v>46180</v>
      </c>
      <c r="C836" s="6" t="s">
        <v>1331</v>
      </c>
      <c r="D836" s="6" t="s">
        <v>1349</v>
      </c>
      <c r="E836" s="66" t="s">
        <v>11</v>
      </c>
      <c r="F836" s="6" t="s">
        <v>1350</v>
      </c>
      <c r="G836" s="6" t="s">
        <v>30</v>
      </c>
      <c r="H836" s="7"/>
    </row>
    <row r="837" spans="2:8" ht="9.6" customHeight="1">
      <c r="B837" s="5">
        <v>46181</v>
      </c>
      <c r="C837" s="28" t="s">
        <v>1351</v>
      </c>
      <c r="D837" s="29" t="s">
        <v>922</v>
      </c>
      <c r="E837" s="66" t="s">
        <v>11</v>
      </c>
      <c r="F837" s="29" t="s">
        <v>1352</v>
      </c>
      <c r="G837" s="29" t="s">
        <v>483</v>
      </c>
      <c r="H837" s="28"/>
    </row>
    <row r="838" spans="2:8" ht="9.6" customHeight="1">
      <c r="B838" s="11">
        <f t="shared" ref="B838:B844" si="50">B837</f>
        <v>46181</v>
      </c>
      <c r="C838" s="29" t="s">
        <v>1353</v>
      </c>
      <c r="D838" s="29" t="s">
        <v>213</v>
      </c>
      <c r="E838" s="66" t="s">
        <v>11</v>
      </c>
      <c r="F838" s="29" t="s">
        <v>1354</v>
      </c>
      <c r="G838" s="29" t="s">
        <v>1355</v>
      </c>
      <c r="H838" s="28"/>
    </row>
    <row r="839" spans="2:8" ht="9.6" customHeight="1">
      <c r="B839" s="11">
        <f t="shared" si="50"/>
        <v>46181</v>
      </c>
      <c r="C839" s="29" t="s">
        <v>1356</v>
      </c>
      <c r="D839" s="29" t="s">
        <v>1357</v>
      </c>
      <c r="E839" s="66" t="s">
        <v>11</v>
      </c>
      <c r="F839" s="29" t="s">
        <v>1358</v>
      </c>
      <c r="G839" s="29" t="s">
        <v>51</v>
      </c>
      <c r="H839" s="28"/>
    </row>
    <row r="840" spans="2:8" ht="9.6" customHeight="1">
      <c r="B840" s="11">
        <f t="shared" si="50"/>
        <v>46181</v>
      </c>
      <c r="C840" s="29" t="s">
        <v>383</v>
      </c>
      <c r="D840" s="29" t="s">
        <v>19</v>
      </c>
      <c r="E840" s="66" t="s">
        <v>11</v>
      </c>
      <c r="F840" s="29" t="s">
        <v>629</v>
      </c>
      <c r="G840" s="29" t="s">
        <v>51</v>
      </c>
      <c r="H840" s="28"/>
    </row>
    <row r="841" spans="2:8" ht="9.6" customHeight="1">
      <c r="B841" s="11">
        <f t="shared" si="50"/>
        <v>46181</v>
      </c>
      <c r="C841" s="29" t="s">
        <v>1359</v>
      </c>
      <c r="D841" s="29" t="s">
        <v>19</v>
      </c>
      <c r="E841" s="66" t="s">
        <v>11</v>
      </c>
      <c r="F841" s="29" t="s">
        <v>1360</v>
      </c>
      <c r="G841" s="29" t="s">
        <v>51</v>
      </c>
      <c r="H841" s="28"/>
    </row>
    <row r="842" spans="2:8" ht="9.6" customHeight="1">
      <c r="B842" s="11">
        <f t="shared" si="50"/>
        <v>46181</v>
      </c>
      <c r="C842" s="29" t="s">
        <v>1361</v>
      </c>
      <c r="D842" s="29" t="s">
        <v>19</v>
      </c>
      <c r="E842" s="66" t="s">
        <v>11</v>
      </c>
      <c r="F842" s="29" t="s">
        <v>1362</v>
      </c>
      <c r="G842" s="29" t="s">
        <v>51</v>
      </c>
      <c r="H842" s="28"/>
    </row>
    <row r="843" spans="2:8" ht="9.6" customHeight="1">
      <c r="B843" s="11">
        <f t="shared" si="50"/>
        <v>46181</v>
      </c>
      <c r="C843" s="29" t="s">
        <v>1363</v>
      </c>
      <c r="D843" s="29" t="s">
        <v>19</v>
      </c>
      <c r="E843" s="66" t="s">
        <v>11</v>
      </c>
      <c r="F843" s="29" t="s">
        <v>1364</v>
      </c>
      <c r="G843" s="29" t="s">
        <v>51</v>
      </c>
      <c r="H843" s="28"/>
    </row>
    <row r="844" spans="2:8" ht="9.6" customHeight="1">
      <c r="B844" s="11">
        <f t="shared" si="50"/>
        <v>46181</v>
      </c>
      <c r="C844" s="29" t="s">
        <v>1154</v>
      </c>
      <c r="D844" s="29" t="s">
        <v>19</v>
      </c>
      <c r="E844" s="66" t="s">
        <v>11</v>
      </c>
      <c r="F844" s="29" t="s">
        <v>1365</v>
      </c>
      <c r="G844" s="29" t="s">
        <v>51</v>
      </c>
      <c r="H844" s="28"/>
    </row>
    <row r="845" spans="2:8" ht="9.6" customHeight="1">
      <c r="B845" s="5">
        <v>46151</v>
      </c>
      <c r="C845" s="7" t="s">
        <v>1366</v>
      </c>
      <c r="D845" s="6" t="s">
        <v>462</v>
      </c>
      <c r="E845" s="66" t="s">
        <v>11</v>
      </c>
      <c r="F845" s="6" t="s">
        <v>1367</v>
      </c>
      <c r="G845" s="6" t="s">
        <v>51</v>
      </c>
      <c r="H845" s="7"/>
    </row>
    <row r="846" spans="2:8" ht="9.6" customHeight="1">
      <c r="B846" s="11">
        <f>B845</f>
        <v>46151</v>
      </c>
      <c r="C846" s="6" t="s">
        <v>1368</v>
      </c>
      <c r="D846" s="6" t="s">
        <v>1369</v>
      </c>
      <c r="E846" s="66" t="s">
        <v>11</v>
      </c>
      <c r="F846" s="6" t="s">
        <v>1370</v>
      </c>
      <c r="G846" s="6" t="s">
        <v>51</v>
      </c>
      <c r="H846" s="7"/>
    </row>
    <row r="847" spans="2:8" ht="9.6" customHeight="1">
      <c r="B847" s="11">
        <f>B846</f>
        <v>46151</v>
      </c>
      <c r="C847" s="6" t="s">
        <v>1371</v>
      </c>
      <c r="D847" s="6" t="s">
        <v>19</v>
      </c>
      <c r="E847" s="66" t="s">
        <v>11</v>
      </c>
      <c r="F847" s="6" t="s">
        <v>1372</v>
      </c>
      <c r="G847" s="6" t="s">
        <v>51</v>
      </c>
      <c r="H847" s="7"/>
    </row>
    <row r="848" spans="2:8" ht="9.6" customHeight="1">
      <c r="B848" s="5">
        <v>46183</v>
      </c>
      <c r="C848" s="6" t="s">
        <v>27</v>
      </c>
      <c r="D848" s="6" t="s">
        <v>76</v>
      </c>
      <c r="E848" s="66" t="s">
        <v>28</v>
      </c>
      <c r="F848" s="17" t="s">
        <v>1345</v>
      </c>
      <c r="G848" s="6" t="s">
        <v>34</v>
      </c>
      <c r="H848" s="7"/>
    </row>
    <row r="849" spans="2:8" ht="9.6" customHeight="1">
      <c r="B849" s="11">
        <f t="shared" ref="B849:B884" si="51">B848</f>
        <v>46183</v>
      </c>
      <c r="C849" s="6" t="s">
        <v>27</v>
      </c>
      <c r="D849" s="6" t="s">
        <v>38</v>
      </c>
      <c r="E849" s="66" t="s">
        <v>28</v>
      </c>
      <c r="F849" s="17" t="s">
        <v>1373</v>
      </c>
      <c r="G849" s="6" t="s">
        <v>34</v>
      </c>
      <c r="H849" s="7"/>
    </row>
    <row r="850" spans="2:8" ht="9.6" customHeight="1">
      <c r="B850" s="11">
        <f t="shared" si="51"/>
        <v>46183</v>
      </c>
      <c r="C850" s="6" t="s">
        <v>27</v>
      </c>
      <c r="D850" s="6" t="s">
        <v>76</v>
      </c>
      <c r="E850" s="66" t="s">
        <v>28</v>
      </c>
      <c r="F850" s="17" t="s">
        <v>1374</v>
      </c>
      <c r="G850" s="6" t="s">
        <v>34</v>
      </c>
      <c r="H850" s="7"/>
    </row>
    <row r="851" spans="2:8" ht="9.6" customHeight="1">
      <c r="B851" s="11">
        <f t="shared" si="51"/>
        <v>46183</v>
      </c>
      <c r="C851" s="6" t="s">
        <v>27</v>
      </c>
      <c r="D851" s="6" t="s">
        <v>94</v>
      </c>
      <c r="E851" s="66" t="s">
        <v>28</v>
      </c>
      <c r="F851" s="17" t="s">
        <v>1375</v>
      </c>
      <c r="G851" s="6" t="s">
        <v>34</v>
      </c>
      <c r="H851" s="7"/>
    </row>
    <row r="852" spans="2:8" ht="9.6" customHeight="1">
      <c r="B852" s="11">
        <f t="shared" si="51"/>
        <v>46183</v>
      </c>
      <c r="C852" s="6" t="s">
        <v>27</v>
      </c>
      <c r="D852" s="6" t="s">
        <v>207</v>
      </c>
      <c r="E852" s="66" t="s">
        <v>28</v>
      </c>
      <c r="F852" s="17" t="s">
        <v>1376</v>
      </c>
      <c r="G852" s="6" t="s">
        <v>70</v>
      </c>
      <c r="H852" s="7"/>
    </row>
    <row r="853" spans="2:8" ht="9.6" customHeight="1">
      <c r="B853" s="11">
        <f t="shared" si="51"/>
        <v>46183</v>
      </c>
      <c r="C853" s="6" t="s">
        <v>27</v>
      </c>
      <c r="D853" s="6" t="s">
        <v>10</v>
      </c>
      <c r="E853" s="66" t="s">
        <v>28</v>
      </c>
      <c r="F853" s="17" t="s">
        <v>1377</v>
      </c>
      <c r="G853" s="6" t="s">
        <v>30</v>
      </c>
      <c r="H853" s="7"/>
    </row>
    <row r="854" spans="2:8" ht="9.6" customHeight="1">
      <c r="B854" s="11">
        <f t="shared" si="51"/>
        <v>46183</v>
      </c>
      <c r="C854" s="6" t="s">
        <v>176</v>
      </c>
      <c r="D854" s="6" t="s">
        <v>207</v>
      </c>
      <c r="E854" s="66" t="s">
        <v>28</v>
      </c>
      <c r="F854" s="17" t="s">
        <v>1378</v>
      </c>
      <c r="G854" s="6" t="s">
        <v>30</v>
      </c>
      <c r="H854" s="7"/>
    </row>
    <row r="855" spans="2:8" ht="9.6" customHeight="1">
      <c r="B855" s="11">
        <f t="shared" si="51"/>
        <v>46183</v>
      </c>
      <c r="C855" s="6" t="s">
        <v>27</v>
      </c>
      <c r="D855" s="6" t="s">
        <v>19</v>
      </c>
      <c r="E855" s="66" t="s">
        <v>28</v>
      </c>
      <c r="F855" s="17" t="s">
        <v>1379</v>
      </c>
      <c r="G855" s="6" t="s">
        <v>34</v>
      </c>
      <c r="H855" s="7"/>
    </row>
    <row r="856" spans="2:8" ht="9.6" customHeight="1">
      <c r="B856" s="11">
        <f t="shared" si="51"/>
        <v>46183</v>
      </c>
      <c r="C856" s="6" t="s">
        <v>1081</v>
      </c>
      <c r="D856" s="6" t="s">
        <v>10</v>
      </c>
      <c r="E856" s="66" t="s">
        <v>28</v>
      </c>
      <c r="F856" s="17" t="s">
        <v>1380</v>
      </c>
      <c r="G856" s="6" t="s">
        <v>70</v>
      </c>
      <c r="H856" s="7"/>
    </row>
    <row r="857" spans="2:8" ht="9.6" customHeight="1">
      <c r="B857" s="11">
        <f t="shared" si="51"/>
        <v>46183</v>
      </c>
      <c r="C857" s="6" t="s">
        <v>1081</v>
      </c>
      <c r="D857" s="6" t="s">
        <v>213</v>
      </c>
      <c r="E857" s="66" t="s">
        <v>28</v>
      </c>
      <c r="F857" s="17" t="s">
        <v>1381</v>
      </c>
      <c r="G857" s="6" t="s">
        <v>70</v>
      </c>
      <c r="H857" s="7"/>
    </row>
    <row r="858" spans="2:8" ht="9.6" customHeight="1">
      <c r="B858" s="11">
        <f t="shared" si="51"/>
        <v>46183</v>
      </c>
      <c r="C858" s="6" t="s">
        <v>840</v>
      </c>
      <c r="D858" s="6" t="s">
        <v>213</v>
      </c>
      <c r="E858" s="66" t="s">
        <v>28</v>
      </c>
      <c r="F858" s="17" t="s">
        <v>1382</v>
      </c>
      <c r="G858" s="6" t="s">
        <v>70</v>
      </c>
      <c r="H858" s="7"/>
    </row>
    <row r="859" spans="2:8" ht="9.6" customHeight="1">
      <c r="B859" s="11">
        <f t="shared" si="51"/>
        <v>46183</v>
      </c>
      <c r="C859" s="6" t="s">
        <v>27</v>
      </c>
      <c r="D859" s="6" t="s">
        <v>116</v>
      </c>
      <c r="E859" s="66" t="s">
        <v>28</v>
      </c>
      <c r="F859" s="17" t="s">
        <v>1383</v>
      </c>
      <c r="G859" s="6" t="s">
        <v>70</v>
      </c>
      <c r="H859" s="7"/>
    </row>
    <row r="860" spans="2:8" ht="9.6" customHeight="1">
      <c r="B860" s="11">
        <f t="shared" si="51"/>
        <v>46183</v>
      </c>
      <c r="C860" s="6" t="s">
        <v>176</v>
      </c>
      <c r="D860" s="6" t="s">
        <v>42</v>
      </c>
      <c r="E860" s="66" t="s">
        <v>28</v>
      </c>
      <c r="F860" s="17" t="s">
        <v>1384</v>
      </c>
      <c r="G860" s="6" t="s">
        <v>371</v>
      </c>
      <c r="H860" s="7"/>
    </row>
    <row r="861" spans="2:8" ht="9.6" customHeight="1">
      <c r="B861" s="11">
        <f t="shared" si="51"/>
        <v>46183</v>
      </c>
      <c r="C861" s="6" t="s">
        <v>27</v>
      </c>
      <c r="D861" s="6" t="s">
        <v>202</v>
      </c>
      <c r="E861" s="66" t="s">
        <v>28</v>
      </c>
      <c r="F861" s="17" t="s">
        <v>1385</v>
      </c>
      <c r="G861" s="6" t="s">
        <v>30</v>
      </c>
      <c r="H861" s="7"/>
    </row>
    <row r="862" spans="2:8" ht="9.6" customHeight="1">
      <c r="B862" s="11">
        <f t="shared" si="51"/>
        <v>46183</v>
      </c>
      <c r="C862" s="6" t="s">
        <v>176</v>
      </c>
      <c r="D862" s="6" t="s">
        <v>44</v>
      </c>
      <c r="E862" s="66" t="s">
        <v>28</v>
      </c>
      <c r="F862" s="17" t="s">
        <v>1386</v>
      </c>
      <c r="G862" s="6" t="s">
        <v>30</v>
      </c>
      <c r="H862" s="7"/>
    </row>
    <row r="863" spans="2:8" ht="9.6" customHeight="1">
      <c r="B863" s="11">
        <f t="shared" si="51"/>
        <v>46183</v>
      </c>
      <c r="C863" s="6" t="s">
        <v>27</v>
      </c>
      <c r="D863" s="6" t="s">
        <v>38</v>
      </c>
      <c r="E863" s="66" t="s">
        <v>28</v>
      </c>
      <c r="F863" s="17" t="s">
        <v>1387</v>
      </c>
      <c r="G863" s="6" t="s">
        <v>30</v>
      </c>
      <c r="H863" s="7"/>
    </row>
    <row r="864" spans="2:8" ht="9.6" customHeight="1">
      <c r="B864" s="11">
        <f t="shared" si="51"/>
        <v>46183</v>
      </c>
      <c r="C864" s="6" t="s">
        <v>27</v>
      </c>
      <c r="D864" s="6" t="s">
        <v>1388</v>
      </c>
      <c r="E864" s="66" t="s">
        <v>28</v>
      </c>
      <c r="F864" s="17" t="s">
        <v>1389</v>
      </c>
      <c r="G864" s="6" t="s">
        <v>34</v>
      </c>
      <c r="H864" s="7"/>
    </row>
    <row r="865" spans="2:8" ht="9.6" customHeight="1">
      <c r="B865" s="11">
        <f t="shared" si="51"/>
        <v>46183</v>
      </c>
      <c r="C865" s="6" t="s">
        <v>1081</v>
      </c>
      <c r="D865" s="17" t="s">
        <v>1390</v>
      </c>
      <c r="E865" s="66" t="s">
        <v>28</v>
      </c>
      <c r="F865" s="22" t="s">
        <v>1391</v>
      </c>
      <c r="G865" s="6" t="s">
        <v>70</v>
      </c>
      <c r="H865" s="7"/>
    </row>
    <row r="866" spans="2:8" ht="9.6" customHeight="1">
      <c r="B866" s="11">
        <f t="shared" si="51"/>
        <v>46183</v>
      </c>
      <c r="C866" s="6" t="s">
        <v>83</v>
      </c>
      <c r="D866" s="6" t="s">
        <v>885</v>
      </c>
      <c r="E866" s="66" t="s">
        <v>28</v>
      </c>
      <c r="F866" s="17" t="s">
        <v>1389</v>
      </c>
      <c r="G866" s="6" t="s">
        <v>34</v>
      </c>
      <c r="H866" s="7"/>
    </row>
    <row r="867" spans="2:8" ht="9.6" customHeight="1">
      <c r="B867" s="11">
        <f t="shared" si="51"/>
        <v>46183</v>
      </c>
      <c r="C867" s="6" t="s">
        <v>176</v>
      </c>
      <c r="D867" s="6" t="s">
        <v>42</v>
      </c>
      <c r="E867" s="66" t="s">
        <v>28</v>
      </c>
      <c r="F867" s="17" t="s">
        <v>1392</v>
      </c>
      <c r="G867" s="6" t="s">
        <v>30</v>
      </c>
      <c r="H867" s="7"/>
    </row>
    <row r="868" spans="2:8" ht="9.6" customHeight="1">
      <c r="B868" s="11">
        <f t="shared" si="51"/>
        <v>46183</v>
      </c>
      <c r="C868" s="6" t="s">
        <v>27</v>
      </c>
      <c r="D868" s="6" t="s">
        <v>389</v>
      </c>
      <c r="E868" s="66" t="s">
        <v>28</v>
      </c>
      <c r="F868" s="17" t="s">
        <v>1393</v>
      </c>
      <c r="G868" s="6" t="s">
        <v>34</v>
      </c>
      <c r="H868" s="7"/>
    </row>
    <row r="869" spans="2:8" ht="9.6" customHeight="1">
      <c r="B869" s="11">
        <f t="shared" si="51"/>
        <v>46183</v>
      </c>
      <c r="C869" s="6" t="s">
        <v>176</v>
      </c>
      <c r="D869" s="6" t="s">
        <v>403</v>
      </c>
      <c r="E869" s="66" t="s">
        <v>28</v>
      </c>
      <c r="F869" s="17" t="s">
        <v>1394</v>
      </c>
      <c r="G869" s="6" t="s">
        <v>70</v>
      </c>
      <c r="H869" s="7"/>
    </row>
    <row r="870" spans="2:8" ht="9.6" customHeight="1">
      <c r="B870" s="11">
        <f t="shared" si="51"/>
        <v>46183</v>
      </c>
      <c r="C870" s="6" t="s">
        <v>176</v>
      </c>
      <c r="D870" s="6" t="s">
        <v>44</v>
      </c>
      <c r="E870" s="66" t="s">
        <v>28</v>
      </c>
      <c r="F870" s="17" t="s">
        <v>1395</v>
      </c>
      <c r="G870" s="6" t="s">
        <v>30</v>
      </c>
      <c r="H870" s="7"/>
    </row>
    <row r="871" spans="2:8" ht="9.6" customHeight="1">
      <c r="B871" s="11">
        <f t="shared" si="51"/>
        <v>46183</v>
      </c>
      <c r="C871" s="6" t="s">
        <v>27</v>
      </c>
      <c r="D871" s="6" t="s">
        <v>116</v>
      </c>
      <c r="E871" s="66" t="s">
        <v>28</v>
      </c>
      <c r="F871" s="17" t="s">
        <v>1396</v>
      </c>
      <c r="G871" s="6" t="s">
        <v>70</v>
      </c>
      <c r="H871" s="7"/>
    </row>
    <row r="872" spans="2:8" ht="9.6" customHeight="1">
      <c r="B872" s="11">
        <f t="shared" si="51"/>
        <v>46183</v>
      </c>
      <c r="C872" s="6" t="s">
        <v>1081</v>
      </c>
      <c r="D872" s="6" t="s">
        <v>44</v>
      </c>
      <c r="E872" s="66" t="s">
        <v>28</v>
      </c>
      <c r="F872" s="17" t="s">
        <v>1397</v>
      </c>
      <c r="G872" s="6" t="s">
        <v>70</v>
      </c>
      <c r="H872" s="7"/>
    </row>
    <row r="873" spans="2:8" ht="9.6" customHeight="1">
      <c r="B873" s="11">
        <f t="shared" si="51"/>
        <v>46183</v>
      </c>
      <c r="C873" s="6" t="s">
        <v>83</v>
      </c>
      <c r="D873" s="6" t="s">
        <v>19</v>
      </c>
      <c r="E873" s="66" t="s">
        <v>28</v>
      </c>
      <c r="F873" s="17" t="s">
        <v>1398</v>
      </c>
      <c r="G873" s="6" t="s">
        <v>34</v>
      </c>
      <c r="H873" s="7"/>
    </row>
    <row r="874" spans="2:8" ht="9.6" customHeight="1">
      <c r="B874" s="11">
        <f t="shared" si="51"/>
        <v>46183</v>
      </c>
      <c r="C874" s="6" t="s">
        <v>27</v>
      </c>
      <c r="D874" s="6" t="s">
        <v>44</v>
      </c>
      <c r="E874" s="66" t="s">
        <v>28</v>
      </c>
      <c r="F874" s="17" t="s">
        <v>1399</v>
      </c>
      <c r="G874" s="6" t="s">
        <v>70</v>
      </c>
      <c r="H874" s="7"/>
    </row>
    <row r="875" spans="2:8" ht="9.6" customHeight="1">
      <c r="B875" s="11">
        <f t="shared" si="51"/>
        <v>46183</v>
      </c>
      <c r="C875" s="6" t="s">
        <v>1081</v>
      </c>
      <c r="D875" s="6" t="s">
        <v>403</v>
      </c>
      <c r="E875" s="66" t="s">
        <v>28</v>
      </c>
      <c r="F875" s="17" t="s">
        <v>1400</v>
      </c>
      <c r="G875" s="6" t="s">
        <v>70</v>
      </c>
      <c r="H875" s="7"/>
    </row>
    <row r="876" spans="2:8" ht="9.6" customHeight="1">
      <c r="B876" s="11">
        <f t="shared" si="51"/>
        <v>46183</v>
      </c>
      <c r="C876" s="6" t="s">
        <v>176</v>
      </c>
      <c r="D876" s="6" t="s">
        <v>44</v>
      </c>
      <c r="E876" s="66" t="s">
        <v>28</v>
      </c>
      <c r="F876" s="17" t="s">
        <v>1401</v>
      </c>
      <c r="G876" s="6" t="s">
        <v>70</v>
      </c>
      <c r="H876" s="7"/>
    </row>
    <row r="877" spans="2:8" ht="9.6" customHeight="1">
      <c r="B877" s="11">
        <f t="shared" si="51"/>
        <v>46183</v>
      </c>
      <c r="C877" s="6" t="s">
        <v>27</v>
      </c>
      <c r="D877" s="6" t="s">
        <v>44</v>
      </c>
      <c r="E877" s="66" t="s">
        <v>28</v>
      </c>
      <c r="F877" s="17" t="s">
        <v>1402</v>
      </c>
      <c r="G877" s="6" t="s">
        <v>70</v>
      </c>
      <c r="H877" s="7"/>
    </row>
    <row r="878" spans="2:8" ht="9.6" customHeight="1">
      <c r="B878" s="11">
        <f t="shared" si="51"/>
        <v>46183</v>
      </c>
      <c r="C878" s="6" t="s">
        <v>1403</v>
      </c>
      <c r="D878" s="6" t="s">
        <v>94</v>
      </c>
      <c r="E878" s="66" t="s">
        <v>28</v>
      </c>
      <c r="F878" s="17" t="s">
        <v>1404</v>
      </c>
      <c r="G878" s="6" t="s">
        <v>34</v>
      </c>
      <c r="H878" s="7"/>
    </row>
    <row r="879" spans="2:8" ht="9.6" customHeight="1">
      <c r="B879" s="11">
        <f t="shared" si="51"/>
        <v>46183</v>
      </c>
      <c r="C879" s="6" t="s">
        <v>176</v>
      </c>
      <c r="D879" s="6" t="s">
        <v>116</v>
      </c>
      <c r="E879" s="66" t="s">
        <v>28</v>
      </c>
      <c r="F879" s="17" t="s">
        <v>1405</v>
      </c>
      <c r="G879" s="6" t="s">
        <v>70</v>
      </c>
      <c r="H879" s="7"/>
    </row>
    <row r="880" spans="2:8" ht="9.6" customHeight="1">
      <c r="B880" s="11">
        <f t="shared" si="51"/>
        <v>46183</v>
      </c>
      <c r="C880" s="6" t="s">
        <v>27</v>
      </c>
      <c r="D880" s="6" t="s">
        <v>1406</v>
      </c>
      <c r="E880" s="66" t="s">
        <v>28</v>
      </c>
      <c r="F880" s="6" t="s">
        <v>1407</v>
      </c>
      <c r="G880" s="6" t="s">
        <v>30</v>
      </c>
      <c r="H880" s="7"/>
    </row>
    <row r="881" spans="2:8" ht="9.6" customHeight="1">
      <c r="B881" s="11">
        <f t="shared" si="51"/>
        <v>46183</v>
      </c>
      <c r="C881" s="6" t="s">
        <v>83</v>
      </c>
      <c r="D881" s="6" t="s">
        <v>15</v>
      </c>
      <c r="E881" s="66" t="s">
        <v>28</v>
      </c>
      <c r="F881" s="17" t="s">
        <v>1408</v>
      </c>
      <c r="G881" s="6" t="s">
        <v>34</v>
      </c>
      <c r="H881" s="7"/>
    </row>
    <row r="882" spans="2:8" ht="9.6" customHeight="1">
      <c r="B882" s="11">
        <f t="shared" si="51"/>
        <v>46183</v>
      </c>
      <c r="C882" s="6" t="s">
        <v>176</v>
      </c>
      <c r="D882" s="6" t="s">
        <v>44</v>
      </c>
      <c r="E882" s="66" t="s">
        <v>28</v>
      </c>
      <c r="F882" s="17" t="s">
        <v>1409</v>
      </c>
      <c r="G882" s="6" t="s">
        <v>70</v>
      </c>
      <c r="H882" s="7"/>
    </row>
    <row r="883" spans="2:8" ht="9.6" customHeight="1">
      <c r="B883" s="11">
        <f t="shared" si="51"/>
        <v>46183</v>
      </c>
      <c r="C883" s="6" t="s">
        <v>176</v>
      </c>
      <c r="D883" s="6" t="s">
        <v>116</v>
      </c>
      <c r="E883" s="66" t="s">
        <v>28</v>
      </c>
      <c r="F883" s="17" t="s">
        <v>1410</v>
      </c>
      <c r="G883" s="6" t="s">
        <v>70</v>
      </c>
      <c r="H883" s="7"/>
    </row>
    <row r="884" spans="2:8" ht="9.6" customHeight="1">
      <c r="B884" s="11">
        <f t="shared" si="51"/>
        <v>46183</v>
      </c>
      <c r="C884" s="6" t="s">
        <v>176</v>
      </c>
      <c r="D884" s="6" t="s">
        <v>94</v>
      </c>
      <c r="E884" s="66" t="s">
        <v>28</v>
      </c>
      <c r="F884" s="17" t="s">
        <v>1411</v>
      </c>
      <c r="G884" s="6" t="s">
        <v>1245</v>
      </c>
      <c r="H884" s="7"/>
    </row>
    <row r="885" spans="2:8" ht="9.6" customHeight="1">
      <c r="B885" s="5">
        <v>46184</v>
      </c>
      <c r="C885" s="6" t="s">
        <v>27</v>
      </c>
      <c r="D885" s="6" t="s">
        <v>42</v>
      </c>
      <c r="E885" s="66" t="s">
        <v>11</v>
      </c>
      <c r="F885" s="17" t="s">
        <v>1412</v>
      </c>
      <c r="G885" s="6" t="s">
        <v>34</v>
      </c>
      <c r="H885" s="7"/>
    </row>
    <row r="886" spans="2:8" ht="9.6" customHeight="1">
      <c r="B886" s="11">
        <f t="shared" ref="B886:B914" si="52">B885</f>
        <v>46184</v>
      </c>
      <c r="C886" s="6" t="s">
        <v>176</v>
      </c>
      <c r="D886" s="6" t="s">
        <v>42</v>
      </c>
      <c r="E886" s="66" t="s">
        <v>11</v>
      </c>
      <c r="F886" s="17" t="s">
        <v>1413</v>
      </c>
      <c r="G886" s="6" t="s">
        <v>30</v>
      </c>
      <c r="H886" s="7"/>
    </row>
    <row r="887" spans="2:8" ht="9.6" customHeight="1">
      <c r="B887" s="11">
        <f t="shared" si="52"/>
        <v>46184</v>
      </c>
      <c r="C887" s="6" t="s">
        <v>1081</v>
      </c>
      <c r="D887" s="6" t="s">
        <v>10</v>
      </c>
      <c r="E887" s="66" t="s">
        <v>11</v>
      </c>
      <c r="F887" s="17" t="s">
        <v>1414</v>
      </c>
      <c r="G887" s="6" t="s">
        <v>70</v>
      </c>
      <c r="H887" s="7"/>
    </row>
    <row r="888" spans="2:8" ht="9.6" customHeight="1">
      <c r="B888" s="11">
        <f t="shared" si="52"/>
        <v>46184</v>
      </c>
      <c r="C888" s="6" t="s">
        <v>1415</v>
      </c>
      <c r="D888" s="6" t="s">
        <v>38</v>
      </c>
      <c r="E888" s="66" t="s">
        <v>11</v>
      </c>
      <c r="F888" s="17" t="s">
        <v>1416</v>
      </c>
      <c r="G888" s="6" t="s">
        <v>70</v>
      </c>
      <c r="H888" s="7"/>
    </row>
    <row r="889" spans="2:8" ht="9.6" customHeight="1">
      <c r="B889" s="11">
        <f t="shared" si="52"/>
        <v>46184</v>
      </c>
      <c r="C889" s="6" t="s">
        <v>176</v>
      </c>
      <c r="D889" s="17" t="s">
        <v>1349</v>
      </c>
      <c r="E889" s="66" t="s">
        <v>11</v>
      </c>
      <c r="F889" s="17" t="s">
        <v>1417</v>
      </c>
      <c r="G889" s="6" t="s">
        <v>1245</v>
      </c>
      <c r="H889" s="7"/>
    </row>
    <row r="890" spans="2:8" ht="9.6" customHeight="1">
      <c r="B890" s="11">
        <f t="shared" si="52"/>
        <v>46184</v>
      </c>
      <c r="C890" s="6" t="s">
        <v>27</v>
      </c>
      <c r="D890" s="6" t="s">
        <v>42</v>
      </c>
      <c r="E890" s="66" t="s">
        <v>11</v>
      </c>
      <c r="F890" s="17" t="s">
        <v>1418</v>
      </c>
      <c r="G890" s="6" t="s">
        <v>34</v>
      </c>
      <c r="H890" s="7"/>
    </row>
    <row r="891" spans="2:8" ht="9.6" customHeight="1">
      <c r="B891" s="11">
        <f t="shared" si="52"/>
        <v>46184</v>
      </c>
      <c r="C891" s="6" t="s">
        <v>27</v>
      </c>
      <c r="D891" s="6" t="s">
        <v>1419</v>
      </c>
      <c r="E891" s="66" t="s">
        <v>11</v>
      </c>
      <c r="F891" s="17" t="s">
        <v>1420</v>
      </c>
      <c r="G891" s="6" t="s">
        <v>34</v>
      </c>
      <c r="H891" s="7"/>
    </row>
    <row r="892" spans="2:8" ht="9.6" customHeight="1">
      <c r="B892" s="11">
        <f t="shared" si="52"/>
        <v>46184</v>
      </c>
      <c r="C892" s="6" t="s">
        <v>83</v>
      </c>
      <c r="D892" s="6" t="s">
        <v>10</v>
      </c>
      <c r="E892" s="66" t="s">
        <v>11</v>
      </c>
      <c r="F892" s="17" t="s">
        <v>1421</v>
      </c>
      <c r="G892" s="6" t="s">
        <v>70</v>
      </c>
      <c r="H892" s="7"/>
    </row>
    <row r="893" spans="2:8" ht="9.6" customHeight="1">
      <c r="B893" s="11">
        <f t="shared" si="52"/>
        <v>46184</v>
      </c>
      <c r="C893" s="6" t="s">
        <v>249</v>
      </c>
      <c r="D893" s="6" t="s">
        <v>456</v>
      </c>
      <c r="E893" s="66" t="s">
        <v>11</v>
      </c>
      <c r="F893" s="17" t="s">
        <v>1422</v>
      </c>
      <c r="G893" s="6" t="s">
        <v>34</v>
      </c>
      <c r="H893" s="7"/>
    </row>
    <row r="894" spans="2:8" ht="9.6" customHeight="1">
      <c r="B894" s="11">
        <f t="shared" si="52"/>
        <v>46184</v>
      </c>
      <c r="C894" s="6" t="s">
        <v>27</v>
      </c>
      <c r="D894" s="6" t="s">
        <v>1423</v>
      </c>
      <c r="E894" s="66" t="s">
        <v>11</v>
      </c>
      <c r="F894" s="17" t="s">
        <v>1424</v>
      </c>
      <c r="G894" s="6" t="s">
        <v>34</v>
      </c>
      <c r="H894" s="7"/>
    </row>
    <row r="895" spans="2:8" ht="9.6" customHeight="1">
      <c r="B895" s="11">
        <f t="shared" si="52"/>
        <v>46184</v>
      </c>
      <c r="C895" s="6" t="s">
        <v>176</v>
      </c>
      <c r="D895" s="6" t="s">
        <v>44</v>
      </c>
      <c r="E895" s="66" t="s">
        <v>11</v>
      </c>
      <c r="F895" s="17" t="s">
        <v>1425</v>
      </c>
      <c r="G895" s="6" t="s">
        <v>30</v>
      </c>
      <c r="H895" s="7"/>
    </row>
    <row r="896" spans="2:8" ht="9.6" customHeight="1">
      <c r="B896" s="11">
        <f t="shared" si="52"/>
        <v>46184</v>
      </c>
      <c r="C896" s="6" t="s">
        <v>176</v>
      </c>
      <c r="D896" s="6" t="s">
        <v>10</v>
      </c>
      <c r="E896" s="66" t="s">
        <v>11</v>
      </c>
      <c r="F896" s="17" t="s">
        <v>1379</v>
      </c>
      <c r="G896" s="6" t="s">
        <v>30</v>
      </c>
      <c r="H896" s="7"/>
    </row>
    <row r="897" spans="2:8" ht="9.6" customHeight="1">
      <c r="B897" s="11">
        <f t="shared" si="52"/>
        <v>46184</v>
      </c>
      <c r="C897" s="6" t="s">
        <v>27</v>
      </c>
      <c r="D897" s="6" t="s">
        <v>42</v>
      </c>
      <c r="E897" s="66" t="s">
        <v>11</v>
      </c>
      <c r="F897" s="17" t="s">
        <v>1426</v>
      </c>
      <c r="G897" s="6" t="s">
        <v>34</v>
      </c>
      <c r="H897" s="7"/>
    </row>
    <row r="898" spans="2:8" ht="9.6" customHeight="1">
      <c r="B898" s="11">
        <f t="shared" si="52"/>
        <v>46184</v>
      </c>
      <c r="C898" s="6" t="s">
        <v>27</v>
      </c>
      <c r="D898" s="6" t="s">
        <v>76</v>
      </c>
      <c r="E898" s="66" t="s">
        <v>11</v>
      </c>
      <c r="F898" s="17" t="s">
        <v>1427</v>
      </c>
      <c r="G898" s="6" t="s">
        <v>34</v>
      </c>
      <c r="H898" s="7"/>
    </row>
    <row r="899" spans="2:8" ht="9.6" customHeight="1">
      <c r="B899" s="11">
        <f t="shared" si="52"/>
        <v>46184</v>
      </c>
      <c r="C899" s="6" t="s">
        <v>27</v>
      </c>
      <c r="D899" s="6" t="s">
        <v>922</v>
      </c>
      <c r="E899" s="66" t="s">
        <v>11</v>
      </c>
      <c r="F899" s="17" t="s">
        <v>1428</v>
      </c>
      <c r="G899" s="6" t="s">
        <v>34</v>
      </c>
      <c r="H899" s="7"/>
    </row>
    <row r="900" spans="2:8" ht="9.6" customHeight="1">
      <c r="B900" s="11">
        <f t="shared" si="52"/>
        <v>46184</v>
      </c>
      <c r="C900" s="6" t="s">
        <v>176</v>
      </c>
      <c r="D900" s="6" t="s">
        <v>44</v>
      </c>
      <c r="E900" s="66" t="s">
        <v>11</v>
      </c>
      <c r="F900" s="17" t="s">
        <v>1429</v>
      </c>
      <c r="G900" s="6" t="s">
        <v>70</v>
      </c>
      <c r="H900" s="7"/>
    </row>
    <row r="901" spans="2:8" ht="9.6" customHeight="1">
      <c r="B901" s="11">
        <f t="shared" si="52"/>
        <v>46184</v>
      </c>
      <c r="C901" s="6" t="s">
        <v>176</v>
      </c>
      <c r="D901" s="6" t="s">
        <v>142</v>
      </c>
      <c r="E901" s="66" t="s">
        <v>11</v>
      </c>
      <c r="F901" s="17" t="s">
        <v>1430</v>
      </c>
      <c r="G901" s="6" t="s">
        <v>70</v>
      </c>
      <c r="H901" s="7"/>
    </row>
    <row r="902" spans="2:8" ht="9.6" customHeight="1">
      <c r="B902" s="11">
        <f t="shared" si="52"/>
        <v>46184</v>
      </c>
      <c r="C902" s="6" t="s">
        <v>83</v>
      </c>
      <c r="D902" s="6" t="s">
        <v>42</v>
      </c>
      <c r="E902" s="66" t="s">
        <v>11</v>
      </c>
      <c r="F902" s="17" t="s">
        <v>1431</v>
      </c>
      <c r="G902" s="6" t="s">
        <v>30</v>
      </c>
      <c r="H902" s="7"/>
    </row>
    <row r="903" spans="2:8" ht="9.6" customHeight="1">
      <c r="B903" s="11">
        <f t="shared" si="52"/>
        <v>46184</v>
      </c>
      <c r="C903" s="6" t="s">
        <v>27</v>
      </c>
      <c r="D903" s="6" t="s">
        <v>44</v>
      </c>
      <c r="E903" s="66" t="s">
        <v>11</v>
      </c>
      <c r="F903" s="17" t="s">
        <v>1432</v>
      </c>
      <c r="G903" s="6" t="s">
        <v>70</v>
      </c>
      <c r="H903" s="7"/>
    </row>
    <row r="904" spans="2:8" ht="9.6" customHeight="1">
      <c r="B904" s="11">
        <f t="shared" si="52"/>
        <v>46184</v>
      </c>
      <c r="C904" s="6" t="s">
        <v>27</v>
      </c>
      <c r="D904" s="6" t="s">
        <v>42</v>
      </c>
      <c r="E904" s="66" t="s">
        <v>11</v>
      </c>
      <c r="F904" s="17" t="s">
        <v>1257</v>
      </c>
      <c r="G904" s="6" t="s">
        <v>34</v>
      </c>
      <c r="H904" s="7"/>
    </row>
    <row r="905" spans="2:8" ht="9.6" customHeight="1">
      <c r="B905" s="11">
        <f t="shared" si="52"/>
        <v>46184</v>
      </c>
      <c r="C905" s="6" t="s">
        <v>176</v>
      </c>
      <c r="D905" s="6" t="s">
        <v>15</v>
      </c>
      <c r="E905" s="66" t="s">
        <v>11</v>
      </c>
      <c r="F905" s="17" t="s">
        <v>1433</v>
      </c>
      <c r="G905" s="6" t="s">
        <v>371</v>
      </c>
      <c r="H905" s="7"/>
    </row>
    <row r="906" spans="2:8" ht="9.6" customHeight="1">
      <c r="B906" s="11">
        <f t="shared" si="52"/>
        <v>46184</v>
      </c>
      <c r="C906" s="6" t="s">
        <v>27</v>
      </c>
      <c r="D906" s="6" t="s">
        <v>62</v>
      </c>
      <c r="E906" s="66" t="s">
        <v>11</v>
      </c>
      <c r="F906" s="17" t="s">
        <v>661</v>
      </c>
      <c r="G906" s="6" t="s">
        <v>30</v>
      </c>
      <c r="H906" s="7"/>
    </row>
    <row r="907" spans="2:8" ht="9.6" customHeight="1">
      <c r="B907" s="11">
        <f t="shared" si="52"/>
        <v>46184</v>
      </c>
      <c r="C907" s="6" t="s">
        <v>27</v>
      </c>
      <c r="D907" s="6" t="s">
        <v>81</v>
      </c>
      <c r="E907" s="66" t="s">
        <v>11</v>
      </c>
      <c r="F907" s="17" t="s">
        <v>1434</v>
      </c>
      <c r="G907" s="6" t="s">
        <v>34</v>
      </c>
      <c r="H907" s="7"/>
    </row>
    <row r="908" spans="2:8" ht="9.6" customHeight="1">
      <c r="B908" s="11">
        <f t="shared" si="52"/>
        <v>46184</v>
      </c>
      <c r="C908" s="6" t="s">
        <v>27</v>
      </c>
      <c r="D908" s="6" t="s">
        <v>213</v>
      </c>
      <c r="E908" s="66" t="s">
        <v>11</v>
      </c>
      <c r="F908" s="17" t="s">
        <v>1435</v>
      </c>
      <c r="G908" s="6" t="s">
        <v>34</v>
      </c>
      <c r="H908" s="7"/>
    </row>
    <row r="909" spans="2:8" ht="9.6" customHeight="1">
      <c r="B909" s="11">
        <f t="shared" si="52"/>
        <v>46184</v>
      </c>
      <c r="C909" s="6" t="s">
        <v>27</v>
      </c>
      <c r="D909" s="6" t="s">
        <v>15</v>
      </c>
      <c r="E909" s="66" t="s">
        <v>11</v>
      </c>
      <c r="F909" s="17" t="s">
        <v>1257</v>
      </c>
      <c r="G909" s="6" t="s">
        <v>34</v>
      </c>
      <c r="H909" s="7"/>
    </row>
    <row r="910" spans="2:8" ht="9.6" customHeight="1">
      <c r="B910" s="11">
        <f t="shared" si="52"/>
        <v>46184</v>
      </c>
      <c r="C910" s="6" t="s">
        <v>83</v>
      </c>
      <c r="D910" s="6" t="s">
        <v>76</v>
      </c>
      <c r="E910" s="66" t="s">
        <v>11</v>
      </c>
      <c r="F910" s="17" t="s">
        <v>1436</v>
      </c>
      <c r="G910" s="6" t="s">
        <v>30</v>
      </c>
      <c r="H910" s="7"/>
    </row>
    <row r="911" spans="2:8" ht="9.6" customHeight="1">
      <c r="B911" s="11">
        <f t="shared" si="52"/>
        <v>46184</v>
      </c>
      <c r="C911" s="6" t="s">
        <v>27</v>
      </c>
      <c r="D911" s="6" t="s">
        <v>762</v>
      </c>
      <c r="E911" s="66" t="s">
        <v>11</v>
      </c>
      <c r="F911" s="17" t="s">
        <v>624</v>
      </c>
      <c r="G911" s="6" t="s">
        <v>30</v>
      </c>
      <c r="H911" s="7"/>
    </row>
    <row r="912" spans="2:8" ht="9.6" customHeight="1">
      <c r="B912" s="11">
        <f t="shared" si="52"/>
        <v>46184</v>
      </c>
      <c r="C912" s="6" t="s">
        <v>83</v>
      </c>
      <c r="D912" s="6" t="s">
        <v>15</v>
      </c>
      <c r="E912" s="66" t="s">
        <v>11</v>
      </c>
      <c r="F912" s="17" t="s">
        <v>1437</v>
      </c>
      <c r="G912" s="6" t="s">
        <v>34</v>
      </c>
      <c r="H912" s="7"/>
    </row>
    <row r="913" spans="2:8" ht="9.6" customHeight="1">
      <c r="B913" s="11">
        <f t="shared" si="52"/>
        <v>46184</v>
      </c>
      <c r="C913" s="6" t="s">
        <v>83</v>
      </c>
      <c r="D913" s="6" t="s">
        <v>81</v>
      </c>
      <c r="E913" s="66" t="s">
        <v>11</v>
      </c>
      <c r="F913" s="22" t="s">
        <v>1438</v>
      </c>
      <c r="G913" s="6" t="s">
        <v>34</v>
      </c>
      <c r="H913" s="7"/>
    </row>
    <row r="914" spans="2:8" ht="9.6" customHeight="1">
      <c r="B914" s="11">
        <f t="shared" si="52"/>
        <v>46184</v>
      </c>
      <c r="C914" s="6" t="s">
        <v>27</v>
      </c>
      <c r="D914" s="6" t="s">
        <v>76</v>
      </c>
      <c r="E914" s="66" t="s">
        <v>11</v>
      </c>
      <c r="F914" s="17" t="s">
        <v>1439</v>
      </c>
      <c r="G914" s="6" t="s">
        <v>34</v>
      </c>
      <c r="H914" s="7"/>
    </row>
    <row r="915" spans="2:8" ht="9.6" customHeight="1">
      <c r="B915" s="5">
        <v>46185</v>
      </c>
      <c r="C915" s="7" t="s">
        <v>1440</v>
      </c>
      <c r="D915" s="6" t="s">
        <v>44</v>
      </c>
      <c r="E915" s="66" t="s">
        <v>11</v>
      </c>
      <c r="F915" s="6" t="s">
        <v>246</v>
      </c>
      <c r="G915" s="6" t="s">
        <v>51</v>
      </c>
      <c r="H915" s="7"/>
    </row>
    <row r="916" spans="2:8" ht="9.6" customHeight="1">
      <c r="B916" s="11">
        <f>B915</f>
        <v>46185</v>
      </c>
      <c r="C916" s="6" t="s">
        <v>1441</v>
      </c>
      <c r="D916" s="6" t="s">
        <v>44</v>
      </c>
      <c r="E916" s="66" t="s">
        <v>11</v>
      </c>
      <c r="F916" s="6" t="s">
        <v>1442</v>
      </c>
      <c r="G916" s="6" t="s">
        <v>51</v>
      </c>
      <c r="H916" s="7"/>
    </row>
    <row r="917" spans="2:8" ht="9.6" customHeight="1">
      <c r="B917" s="5">
        <v>46186</v>
      </c>
      <c r="C917" s="7" t="s">
        <v>1443</v>
      </c>
      <c r="D917" s="6" t="s">
        <v>142</v>
      </c>
      <c r="E917" s="66" t="s">
        <v>11</v>
      </c>
      <c r="F917" s="6" t="s">
        <v>1444</v>
      </c>
      <c r="G917" s="6" t="s">
        <v>30</v>
      </c>
      <c r="H917" s="7"/>
    </row>
    <row r="918" spans="2:8" ht="9.6" customHeight="1">
      <c r="B918" s="11">
        <f>B917</f>
        <v>46186</v>
      </c>
      <c r="C918" s="6" t="s">
        <v>1445</v>
      </c>
      <c r="D918" s="6" t="s">
        <v>44</v>
      </c>
      <c r="E918" s="66" t="s">
        <v>11</v>
      </c>
      <c r="F918" s="6" t="s">
        <v>1446</v>
      </c>
      <c r="G918" s="6" t="s">
        <v>51</v>
      </c>
      <c r="H918" s="7"/>
    </row>
    <row r="919" spans="2:8" ht="9.6" customHeight="1">
      <c r="B919" s="5">
        <v>46189</v>
      </c>
      <c r="C919" s="7" t="s">
        <v>1447</v>
      </c>
      <c r="D919" s="6" t="s">
        <v>23</v>
      </c>
      <c r="E919" s="66" t="s">
        <v>11</v>
      </c>
      <c r="F919" s="6" t="s">
        <v>1448</v>
      </c>
      <c r="G919" s="6" t="s">
        <v>51</v>
      </c>
      <c r="H919" s="7"/>
    </row>
    <row r="920" spans="2:8" ht="9.6" customHeight="1">
      <c r="B920" s="11">
        <f>B919</f>
        <v>46189</v>
      </c>
      <c r="C920" s="6" t="s">
        <v>1449</v>
      </c>
      <c r="D920" s="6" t="s">
        <v>385</v>
      </c>
      <c r="E920" s="66" t="s">
        <v>11</v>
      </c>
      <c r="F920" s="6" t="s">
        <v>1450</v>
      </c>
      <c r="G920" s="6" t="s">
        <v>51</v>
      </c>
      <c r="H920" s="7"/>
    </row>
    <row r="921" spans="2:8" ht="9.6" customHeight="1">
      <c r="B921" s="5">
        <v>46190</v>
      </c>
      <c r="C921" s="7" t="s">
        <v>35</v>
      </c>
      <c r="D921" s="6" t="s">
        <v>1132</v>
      </c>
      <c r="E921" s="66" t="s">
        <v>11</v>
      </c>
      <c r="F921" s="6" t="s">
        <v>1451</v>
      </c>
      <c r="G921" s="6" t="s">
        <v>30</v>
      </c>
      <c r="H921" s="7"/>
    </row>
    <row r="922" spans="2:8" ht="9.6" customHeight="1">
      <c r="B922" s="11">
        <f>B921</f>
        <v>46190</v>
      </c>
      <c r="C922" s="6" t="s">
        <v>1452</v>
      </c>
      <c r="D922" s="6" t="s">
        <v>570</v>
      </c>
      <c r="E922" s="66" t="s">
        <v>11</v>
      </c>
      <c r="F922" s="6" t="s">
        <v>1453</v>
      </c>
      <c r="G922" s="6" t="s">
        <v>51</v>
      </c>
      <c r="H922" s="7"/>
    </row>
    <row r="923" spans="2:8" ht="9.6" customHeight="1">
      <c r="B923" s="5">
        <v>46191</v>
      </c>
      <c r="C923" s="12" t="s">
        <v>258</v>
      </c>
      <c r="D923" s="12" t="s">
        <v>19</v>
      </c>
      <c r="E923" s="66" t="s">
        <v>11</v>
      </c>
      <c r="F923" s="12" t="s">
        <v>1454</v>
      </c>
      <c r="G923" s="12" t="s">
        <v>34</v>
      </c>
      <c r="H923" s="7"/>
    </row>
    <row r="924" spans="2:8" ht="9.6" customHeight="1">
      <c r="B924" s="11">
        <f t="shared" ref="B924:B950" si="53">B923</f>
        <v>46191</v>
      </c>
      <c r="C924" s="12" t="s">
        <v>258</v>
      </c>
      <c r="D924" s="6" t="s">
        <v>352</v>
      </c>
      <c r="E924" s="66" t="s">
        <v>11</v>
      </c>
      <c r="F924" s="6" t="s">
        <v>1455</v>
      </c>
      <c r="G924" s="6" t="s">
        <v>34</v>
      </c>
      <c r="H924" s="7"/>
    </row>
    <row r="925" spans="2:8" ht="9.6" customHeight="1">
      <c r="B925" s="11">
        <f t="shared" si="53"/>
        <v>46191</v>
      </c>
      <c r="C925" s="12" t="s">
        <v>258</v>
      </c>
      <c r="D925" s="6" t="s">
        <v>910</v>
      </c>
      <c r="E925" s="66" t="s">
        <v>11</v>
      </c>
      <c r="F925" s="6" t="s">
        <v>1456</v>
      </c>
      <c r="G925" s="6" t="s">
        <v>30</v>
      </c>
      <c r="H925" s="7"/>
    </row>
    <row r="926" spans="2:8" ht="9.6" customHeight="1">
      <c r="B926" s="11">
        <f t="shared" si="53"/>
        <v>46191</v>
      </c>
      <c r="C926" s="12" t="s">
        <v>258</v>
      </c>
      <c r="D926" s="6" t="s">
        <v>213</v>
      </c>
      <c r="E926" s="66" t="s">
        <v>11</v>
      </c>
      <c r="F926" s="6" t="s">
        <v>1327</v>
      </c>
      <c r="G926" s="6" t="s">
        <v>34</v>
      </c>
      <c r="H926" s="7"/>
    </row>
    <row r="927" spans="2:8" ht="9.6" customHeight="1">
      <c r="B927" s="11">
        <f t="shared" si="53"/>
        <v>46191</v>
      </c>
      <c r="C927" s="12" t="s">
        <v>258</v>
      </c>
      <c r="D927" s="6" t="s">
        <v>44</v>
      </c>
      <c r="E927" s="66" t="s">
        <v>11</v>
      </c>
      <c r="F927" s="6" t="s">
        <v>1457</v>
      </c>
      <c r="G927" s="6" t="s">
        <v>34</v>
      </c>
      <c r="H927" s="7"/>
    </row>
    <row r="928" spans="2:8" ht="9.6" customHeight="1">
      <c r="B928" s="11">
        <f t="shared" si="53"/>
        <v>46191</v>
      </c>
      <c r="C928" s="12" t="s">
        <v>258</v>
      </c>
      <c r="D928" s="6" t="s">
        <v>910</v>
      </c>
      <c r="E928" s="66" t="s">
        <v>11</v>
      </c>
      <c r="F928" s="6" t="s">
        <v>1458</v>
      </c>
      <c r="G928" s="6" t="s">
        <v>30</v>
      </c>
      <c r="H928" s="7"/>
    </row>
    <row r="929" spans="2:8" ht="9.6" customHeight="1">
      <c r="B929" s="11">
        <f t="shared" si="53"/>
        <v>46191</v>
      </c>
      <c r="C929" s="6" t="s">
        <v>176</v>
      </c>
      <c r="D929" s="6" t="s">
        <v>38</v>
      </c>
      <c r="E929" s="66" t="s">
        <v>11</v>
      </c>
      <c r="F929" s="6" t="s">
        <v>1459</v>
      </c>
      <c r="G929" s="6" t="s">
        <v>30</v>
      </c>
      <c r="H929" s="7"/>
    </row>
    <row r="930" spans="2:8" ht="9.6" customHeight="1">
      <c r="B930" s="11">
        <f t="shared" si="53"/>
        <v>46191</v>
      </c>
      <c r="C930" s="12" t="s">
        <v>258</v>
      </c>
      <c r="D930" s="6" t="s">
        <v>94</v>
      </c>
      <c r="E930" s="66" t="s">
        <v>11</v>
      </c>
      <c r="F930" s="17" t="s">
        <v>1460</v>
      </c>
      <c r="G930" s="6" t="s">
        <v>34</v>
      </c>
      <c r="H930" s="7"/>
    </row>
    <row r="931" spans="2:8" ht="9.6" customHeight="1">
      <c r="B931" s="11">
        <f t="shared" si="53"/>
        <v>46191</v>
      </c>
      <c r="C931" s="6" t="s">
        <v>258</v>
      </c>
      <c r="D931" s="6" t="s">
        <v>44</v>
      </c>
      <c r="E931" s="66" t="s">
        <v>11</v>
      </c>
      <c r="F931" s="17" t="s">
        <v>1461</v>
      </c>
      <c r="G931" s="6" t="s">
        <v>70</v>
      </c>
      <c r="H931" s="7"/>
    </row>
    <row r="932" spans="2:8" ht="9.6" customHeight="1">
      <c r="B932" s="11">
        <f t="shared" si="53"/>
        <v>46191</v>
      </c>
      <c r="C932" s="6" t="s">
        <v>176</v>
      </c>
      <c r="D932" s="6" t="s">
        <v>42</v>
      </c>
      <c r="E932" s="66" t="s">
        <v>11</v>
      </c>
      <c r="F932" s="17" t="s">
        <v>1462</v>
      </c>
      <c r="G932" s="6" t="s">
        <v>30</v>
      </c>
      <c r="H932" s="7"/>
    </row>
    <row r="933" spans="2:8" ht="9.6" customHeight="1">
      <c r="B933" s="11">
        <f t="shared" si="53"/>
        <v>46191</v>
      </c>
      <c r="C933" s="6" t="s">
        <v>176</v>
      </c>
      <c r="D933" s="6" t="s">
        <v>1463</v>
      </c>
      <c r="E933" s="66" t="s">
        <v>11</v>
      </c>
      <c r="F933" s="17" t="s">
        <v>1464</v>
      </c>
      <c r="G933" s="6" t="s">
        <v>30</v>
      </c>
      <c r="H933" s="7"/>
    </row>
    <row r="934" spans="2:8" ht="9.6" customHeight="1">
      <c r="B934" s="11">
        <f t="shared" si="53"/>
        <v>46191</v>
      </c>
      <c r="C934" s="6" t="s">
        <v>258</v>
      </c>
      <c r="D934" s="6" t="s">
        <v>44</v>
      </c>
      <c r="E934" s="66" t="s">
        <v>11</v>
      </c>
      <c r="F934" s="17" t="s">
        <v>582</v>
      </c>
      <c r="G934" s="6" t="s">
        <v>70</v>
      </c>
      <c r="H934" s="7"/>
    </row>
    <row r="935" spans="2:8" ht="9.6" customHeight="1">
      <c r="B935" s="11">
        <f t="shared" si="53"/>
        <v>46191</v>
      </c>
      <c r="C935" s="6" t="s">
        <v>83</v>
      </c>
      <c r="D935" s="6" t="s">
        <v>10</v>
      </c>
      <c r="E935" s="66" t="s">
        <v>11</v>
      </c>
      <c r="F935" s="17" t="s">
        <v>1465</v>
      </c>
      <c r="G935" s="6" t="s">
        <v>70</v>
      </c>
      <c r="H935" s="7"/>
    </row>
    <row r="936" spans="2:8" ht="9.6" customHeight="1">
      <c r="B936" s="11">
        <f t="shared" si="53"/>
        <v>46191</v>
      </c>
      <c r="C936" s="6" t="s">
        <v>258</v>
      </c>
      <c r="D936" s="6" t="s">
        <v>42</v>
      </c>
      <c r="E936" s="66" t="s">
        <v>11</v>
      </c>
      <c r="F936" s="17" t="s">
        <v>1427</v>
      </c>
      <c r="G936" s="6" t="s">
        <v>34</v>
      </c>
      <c r="H936" s="7"/>
    </row>
    <row r="937" spans="2:8" ht="9.6" customHeight="1">
      <c r="B937" s="11">
        <f t="shared" si="53"/>
        <v>46191</v>
      </c>
      <c r="C937" s="6" t="s">
        <v>258</v>
      </c>
      <c r="D937" s="6" t="s">
        <v>167</v>
      </c>
      <c r="E937" s="66" t="s">
        <v>11</v>
      </c>
      <c r="F937" s="17" t="s">
        <v>1466</v>
      </c>
      <c r="G937" s="6" t="s">
        <v>30</v>
      </c>
      <c r="H937" s="7"/>
    </row>
    <row r="938" spans="2:8" ht="9.6" customHeight="1">
      <c r="B938" s="11">
        <f t="shared" si="53"/>
        <v>46191</v>
      </c>
      <c r="C938" s="6" t="s">
        <v>258</v>
      </c>
      <c r="D938" s="6" t="s">
        <v>15</v>
      </c>
      <c r="E938" s="66" t="s">
        <v>11</v>
      </c>
      <c r="F938" s="17" t="s">
        <v>1467</v>
      </c>
      <c r="G938" s="6" t="s">
        <v>34</v>
      </c>
      <c r="H938" s="7"/>
    </row>
    <row r="939" spans="2:8" ht="9.6" customHeight="1">
      <c r="B939" s="11">
        <f t="shared" si="53"/>
        <v>46191</v>
      </c>
      <c r="C939" s="6" t="s">
        <v>176</v>
      </c>
      <c r="D939" s="6" t="s">
        <v>42</v>
      </c>
      <c r="E939" s="66" t="s">
        <v>11</v>
      </c>
      <c r="F939" s="17" t="s">
        <v>941</v>
      </c>
      <c r="G939" s="6" t="s">
        <v>30</v>
      </c>
      <c r="H939" s="7"/>
    </row>
    <row r="940" spans="2:8" ht="9.6" customHeight="1">
      <c r="B940" s="11">
        <f t="shared" si="53"/>
        <v>46191</v>
      </c>
      <c r="C940" s="6" t="s">
        <v>258</v>
      </c>
      <c r="D940" s="6" t="s">
        <v>15</v>
      </c>
      <c r="E940" s="66" t="s">
        <v>11</v>
      </c>
      <c r="F940" s="17" t="s">
        <v>1468</v>
      </c>
      <c r="G940" s="6" t="s">
        <v>34</v>
      </c>
      <c r="H940" s="7"/>
    </row>
    <row r="941" spans="2:8" ht="9.6" customHeight="1">
      <c r="B941" s="11">
        <f t="shared" si="53"/>
        <v>46191</v>
      </c>
      <c r="C941" s="6" t="s">
        <v>258</v>
      </c>
      <c r="D941" s="6" t="s">
        <v>23</v>
      </c>
      <c r="E941" s="66" t="s">
        <v>11</v>
      </c>
      <c r="F941" s="17" t="s">
        <v>1469</v>
      </c>
      <c r="G941" s="6" t="s">
        <v>34</v>
      </c>
      <c r="H941" s="7"/>
    </row>
    <row r="942" spans="2:8" ht="9.6" customHeight="1">
      <c r="B942" s="11">
        <f t="shared" si="53"/>
        <v>46191</v>
      </c>
      <c r="C942" s="6" t="s">
        <v>258</v>
      </c>
      <c r="D942" s="6" t="s">
        <v>15</v>
      </c>
      <c r="E942" s="66" t="s">
        <v>11</v>
      </c>
      <c r="F942" s="17" t="s">
        <v>1470</v>
      </c>
      <c r="G942" s="6" t="s">
        <v>34</v>
      </c>
      <c r="H942" s="7"/>
    </row>
    <row r="943" spans="2:8" ht="9.6" customHeight="1">
      <c r="B943" s="11">
        <f t="shared" si="53"/>
        <v>46191</v>
      </c>
      <c r="C943" s="6" t="s">
        <v>258</v>
      </c>
      <c r="D943" s="6" t="s">
        <v>910</v>
      </c>
      <c r="E943" s="66" t="s">
        <v>11</v>
      </c>
      <c r="F943" s="17" t="s">
        <v>1471</v>
      </c>
      <c r="G943" s="6" t="s">
        <v>70</v>
      </c>
      <c r="H943" s="7"/>
    </row>
    <row r="944" spans="2:8" ht="9.6" customHeight="1">
      <c r="B944" s="11">
        <f t="shared" si="53"/>
        <v>46191</v>
      </c>
      <c r="C944" s="6" t="s">
        <v>258</v>
      </c>
      <c r="D944" s="6" t="s">
        <v>401</v>
      </c>
      <c r="E944" s="66" t="s">
        <v>11</v>
      </c>
      <c r="F944" s="17" t="s">
        <v>1472</v>
      </c>
      <c r="G944" s="6" t="s">
        <v>30</v>
      </c>
      <c r="H944" s="7"/>
    </row>
    <row r="945" spans="2:8" ht="9.6" customHeight="1">
      <c r="B945" s="11">
        <f t="shared" si="53"/>
        <v>46191</v>
      </c>
      <c r="C945" s="6" t="s">
        <v>258</v>
      </c>
      <c r="D945" s="6" t="s">
        <v>44</v>
      </c>
      <c r="E945" s="66" t="s">
        <v>11</v>
      </c>
      <c r="F945" s="17" t="s">
        <v>1473</v>
      </c>
      <c r="G945" s="6" t="s">
        <v>34</v>
      </c>
      <c r="H945" s="7"/>
    </row>
    <row r="946" spans="2:8" ht="9.6" customHeight="1">
      <c r="B946" s="11">
        <f t="shared" si="53"/>
        <v>46191</v>
      </c>
      <c r="C946" s="6" t="s">
        <v>258</v>
      </c>
      <c r="D946" s="6" t="s">
        <v>44</v>
      </c>
      <c r="E946" s="66" t="s">
        <v>11</v>
      </c>
      <c r="F946" s="17" t="s">
        <v>1474</v>
      </c>
      <c r="G946" s="6" t="s">
        <v>70</v>
      </c>
      <c r="H946" s="7"/>
    </row>
    <row r="947" spans="2:8" ht="9.6" customHeight="1">
      <c r="B947" s="11">
        <f t="shared" si="53"/>
        <v>46191</v>
      </c>
      <c r="C947" s="6" t="s">
        <v>1475</v>
      </c>
      <c r="D947" s="6" t="s">
        <v>365</v>
      </c>
      <c r="E947" s="66" t="s">
        <v>11</v>
      </c>
      <c r="F947" s="6" t="s">
        <v>1476</v>
      </c>
      <c r="G947" s="6" t="s">
        <v>34</v>
      </c>
      <c r="H947" s="7"/>
    </row>
    <row r="948" spans="2:8" ht="9.6" customHeight="1">
      <c r="B948" s="11">
        <f t="shared" si="53"/>
        <v>46191</v>
      </c>
      <c r="C948" s="6" t="s">
        <v>1477</v>
      </c>
      <c r="D948" s="6" t="s">
        <v>1478</v>
      </c>
      <c r="E948" s="66" t="s">
        <v>11</v>
      </c>
      <c r="F948" s="6" t="s">
        <v>1479</v>
      </c>
      <c r="G948" s="6" t="s">
        <v>34</v>
      </c>
      <c r="H948" s="7"/>
    </row>
    <row r="949" spans="2:8" ht="9.6" customHeight="1">
      <c r="B949" s="11">
        <f t="shared" si="53"/>
        <v>46191</v>
      </c>
      <c r="C949" s="6" t="s">
        <v>1480</v>
      </c>
      <c r="D949" s="6" t="s">
        <v>1481</v>
      </c>
      <c r="E949" s="66" t="s">
        <v>11</v>
      </c>
      <c r="F949" s="6" t="s">
        <v>1482</v>
      </c>
      <c r="G949" s="6" t="s">
        <v>34</v>
      </c>
      <c r="H949" s="7"/>
    </row>
    <row r="950" spans="2:8" ht="9.6" customHeight="1">
      <c r="B950" s="11">
        <f t="shared" si="53"/>
        <v>46191</v>
      </c>
      <c r="C950" s="6" t="s">
        <v>1483</v>
      </c>
      <c r="D950" s="6" t="s">
        <v>1484</v>
      </c>
      <c r="E950" s="66" t="s">
        <v>11</v>
      </c>
      <c r="F950" s="6" t="s">
        <v>1485</v>
      </c>
      <c r="G950" s="6" t="s">
        <v>34</v>
      </c>
      <c r="H950" s="7"/>
    </row>
    <row r="951" spans="2:8" ht="9.6" customHeight="1">
      <c r="B951" s="5">
        <v>46193</v>
      </c>
      <c r="C951" s="6" t="s">
        <v>35</v>
      </c>
      <c r="D951" s="6" t="s">
        <v>394</v>
      </c>
      <c r="E951" s="66" t="s">
        <v>11</v>
      </c>
      <c r="F951" s="6" t="s">
        <v>1486</v>
      </c>
      <c r="G951" s="6" t="s">
        <v>1487</v>
      </c>
      <c r="H951" s="7"/>
    </row>
    <row r="952" spans="2:8" ht="9.6" customHeight="1">
      <c r="B952" s="20">
        <v>46194</v>
      </c>
      <c r="C952" s="7" t="s">
        <v>1488</v>
      </c>
      <c r="D952" s="6" t="s">
        <v>385</v>
      </c>
      <c r="E952" s="66" t="s">
        <v>11</v>
      </c>
      <c r="F952" s="6" t="s">
        <v>1489</v>
      </c>
      <c r="G952" s="6" t="s">
        <v>21</v>
      </c>
      <c r="H952" s="7"/>
    </row>
    <row r="953" spans="2:8" ht="9.6" customHeight="1">
      <c r="B953" s="11">
        <f>B952</f>
        <v>46194</v>
      </c>
      <c r="C953" s="6" t="s">
        <v>1490</v>
      </c>
      <c r="D953" s="6" t="s">
        <v>385</v>
      </c>
      <c r="E953" s="66" t="s">
        <v>11</v>
      </c>
      <c r="F953" s="6" t="s">
        <v>1491</v>
      </c>
      <c r="G953" s="6" t="s">
        <v>51</v>
      </c>
      <c r="H953" s="7"/>
    </row>
    <row r="954" spans="2:8" ht="9.6" customHeight="1">
      <c r="B954" s="5">
        <v>46195</v>
      </c>
      <c r="C954" s="7" t="s">
        <v>1492</v>
      </c>
      <c r="D954" s="6" t="s">
        <v>42</v>
      </c>
      <c r="E954" s="66" t="s">
        <v>11</v>
      </c>
      <c r="F954" s="6" t="s">
        <v>1493</v>
      </c>
      <c r="G954" s="6" t="s">
        <v>51</v>
      </c>
      <c r="H954" s="7"/>
    </row>
    <row r="955" spans="2:8" ht="9.6" customHeight="1">
      <c r="B955" s="11">
        <f t="shared" ref="B955:B968" si="54">B954</f>
        <v>46195</v>
      </c>
      <c r="C955" s="6" t="s">
        <v>1494</v>
      </c>
      <c r="D955" s="6" t="s">
        <v>253</v>
      </c>
      <c r="E955" s="66" t="s">
        <v>11</v>
      </c>
      <c r="F955" s="6" t="s">
        <v>1495</v>
      </c>
      <c r="G955" s="6" t="s">
        <v>51</v>
      </c>
      <c r="H955" s="7"/>
    </row>
    <row r="956" spans="2:8" ht="9.6" customHeight="1">
      <c r="B956" s="11">
        <f t="shared" si="54"/>
        <v>46195</v>
      </c>
      <c r="C956" s="6" t="s">
        <v>1496</v>
      </c>
      <c r="D956" s="6" t="s">
        <v>62</v>
      </c>
      <c r="E956" s="66" t="s">
        <v>11</v>
      </c>
      <c r="F956" s="6" t="s">
        <v>1497</v>
      </c>
      <c r="G956" s="6" t="s">
        <v>51</v>
      </c>
      <c r="H956" s="7"/>
    </row>
    <row r="957" spans="2:8" ht="9.6" customHeight="1">
      <c r="B957" s="11">
        <f t="shared" si="54"/>
        <v>46195</v>
      </c>
      <c r="C957" s="6" t="s">
        <v>1498</v>
      </c>
      <c r="D957" s="6" t="s">
        <v>1132</v>
      </c>
      <c r="E957" s="66" t="s">
        <v>11</v>
      </c>
      <c r="F957" s="6" t="s">
        <v>1499</v>
      </c>
      <c r="G957" s="6" t="s">
        <v>51</v>
      </c>
      <c r="H957" s="7"/>
    </row>
    <row r="958" spans="2:8" ht="9.6" customHeight="1">
      <c r="B958" s="11">
        <f t="shared" si="54"/>
        <v>46195</v>
      </c>
      <c r="C958" s="6" t="s">
        <v>35</v>
      </c>
      <c r="D958" s="6" t="s">
        <v>261</v>
      </c>
      <c r="E958" s="66" t="s">
        <v>11</v>
      </c>
      <c r="F958" s="6" t="s">
        <v>1500</v>
      </c>
      <c r="G958" s="6" t="s">
        <v>21</v>
      </c>
      <c r="H958" s="7"/>
    </row>
    <row r="959" spans="2:8" ht="9.6" customHeight="1">
      <c r="B959" s="11">
        <f t="shared" si="54"/>
        <v>46195</v>
      </c>
      <c r="C959" s="6" t="s">
        <v>27</v>
      </c>
      <c r="D959" s="6" t="s">
        <v>44</v>
      </c>
      <c r="E959" s="66" t="s">
        <v>11</v>
      </c>
      <c r="F959" s="17" t="s">
        <v>1501</v>
      </c>
      <c r="G959" s="6" t="s">
        <v>21</v>
      </c>
      <c r="H959" s="7"/>
    </row>
    <row r="960" spans="2:8" ht="9.6" customHeight="1">
      <c r="B960" s="11">
        <f t="shared" si="54"/>
        <v>46195</v>
      </c>
      <c r="C960" s="6" t="s">
        <v>176</v>
      </c>
      <c r="D960" s="6" t="s">
        <v>42</v>
      </c>
      <c r="E960" s="66" t="s">
        <v>11</v>
      </c>
      <c r="F960" s="17" t="s">
        <v>1502</v>
      </c>
      <c r="G960" s="6" t="s">
        <v>21</v>
      </c>
      <c r="H960" s="7"/>
    </row>
    <row r="961" spans="2:8" ht="9.6" customHeight="1">
      <c r="B961" s="11">
        <f t="shared" si="54"/>
        <v>46195</v>
      </c>
      <c r="C961" s="6" t="s">
        <v>83</v>
      </c>
      <c r="D961" s="6" t="s">
        <v>76</v>
      </c>
      <c r="E961" s="66" t="s">
        <v>11</v>
      </c>
      <c r="F961" s="17" t="s">
        <v>1503</v>
      </c>
      <c r="G961" s="6" t="s">
        <v>51</v>
      </c>
      <c r="H961" s="7"/>
    </row>
    <row r="962" spans="2:8" ht="9.6" customHeight="1">
      <c r="B962" s="11">
        <f t="shared" si="54"/>
        <v>46195</v>
      </c>
      <c r="C962" s="6" t="s">
        <v>83</v>
      </c>
      <c r="D962" s="6" t="s">
        <v>1504</v>
      </c>
      <c r="E962" s="66" t="s">
        <v>11</v>
      </c>
      <c r="F962" s="17" t="s">
        <v>1505</v>
      </c>
      <c r="G962" s="6" t="s">
        <v>51</v>
      </c>
      <c r="H962" s="7"/>
    </row>
    <row r="963" spans="2:8" ht="9.6" customHeight="1">
      <c r="B963" s="11">
        <f t="shared" si="54"/>
        <v>46195</v>
      </c>
      <c r="C963" s="6" t="s">
        <v>83</v>
      </c>
      <c r="D963" s="6" t="s">
        <v>1504</v>
      </c>
      <c r="E963" s="66" t="s">
        <v>11</v>
      </c>
      <c r="F963" s="17" t="s">
        <v>1506</v>
      </c>
      <c r="G963" s="6" t="s">
        <v>51</v>
      </c>
      <c r="H963" s="7"/>
    </row>
    <row r="964" spans="2:8" ht="9.6" customHeight="1">
      <c r="B964" s="11">
        <f t="shared" si="54"/>
        <v>46195</v>
      </c>
      <c r="C964" s="6" t="s">
        <v>176</v>
      </c>
      <c r="D964" s="6" t="s">
        <v>456</v>
      </c>
      <c r="E964" s="66" t="s">
        <v>11</v>
      </c>
      <c r="F964" s="17" t="s">
        <v>1507</v>
      </c>
      <c r="G964" s="6" t="s">
        <v>21</v>
      </c>
      <c r="H964" s="7"/>
    </row>
    <row r="965" spans="2:8" ht="9.6" customHeight="1">
      <c r="B965" s="11">
        <f t="shared" si="54"/>
        <v>46195</v>
      </c>
      <c r="C965" s="6" t="s">
        <v>27</v>
      </c>
      <c r="D965" s="6" t="s">
        <v>44</v>
      </c>
      <c r="E965" s="66" t="s">
        <v>11</v>
      </c>
      <c r="F965" s="17" t="s">
        <v>1508</v>
      </c>
      <c r="G965" s="6" t="s">
        <v>51</v>
      </c>
      <c r="H965" s="7"/>
    </row>
    <row r="966" spans="2:8" ht="9.6" customHeight="1">
      <c r="B966" s="11">
        <f t="shared" si="54"/>
        <v>46195</v>
      </c>
      <c r="C966" s="6" t="s">
        <v>176</v>
      </c>
      <c r="D966" s="6" t="s">
        <v>44</v>
      </c>
      <c r="E966" s="66" t="s">
        <v>11</v>
      </c>
      <c r="F966" s="17" t="s">
        <v>1509</v>
      </c>
      <c r="G966" s="6" t="s">
        <v>21</v>
      </c>
      <c r="H966" s="7"/>
    </row>
    <row r="967" spans="2:8" ht="9.6" customHeight="1">
      <c r="B967" s="11">
        <f t="shared" si="54"/>
        <v>46195</v>
      </c>
      <c r="C967" s="6" t="s">
        <v>27</v>
      </c>
      <c r="D967" s="6" t="s">
        <v>352</v>
      </c>
      <c r="E967" s="66" t="s">
        <v>11</v>
      </c>
      <c r="F967" s="17" t="s">
        <v>1510</v>
      </c>
      <c r="G967" s="6" t="s">
        <v>51</v>
      </c>
      <c r="H967" s="7"/>
    </row>
    <row r="968" spans="2:8" ht="9.6" customHeight="1">
      <c r="B968" s="11">
        <f t="shared" si="54"/>
        <v>46195</v>
      </c>
      <c r="C968" s="6" t="s">
        <v>27</v>
      </c>
      <c r="D968" s="6" t="s">
        <v>462</v>
      </c>
      <c r="E968" s="66" t="s">
        <v>11</v>
      </c>
      <c r="F968" s="17" t="s">
        <v>1257</v>
      </c>
      <c r="G968" s="6" t="s">
        <v>51</v>
      </c>
      <c r="H968" s="7"/>
    </row>
    <row r="969" spans="2:8" ht="9.6" customHeight="1">
      <c r="B969" s="5">
        <v>46196</v>
      </c>
      <c r="C969" s="6" t="s">
        <v>83</v>
      </c>
      <c r="D969" s="6" t="s">
        <v>1170</v>
      </c>
      <c r="E969" s="66" t="s">
        <v>28</v>
      </c>
      <c r="F969" s="17" t="s">
        <v>1147</v>
      </c>
      <c r="G969" s="6" t="s">
        <v>34</v>
      </c>
      <c r="H969" s="7"/>
    </row>
    <row r="970" spans="2:8" ht="9.6" customHeight="1">
      <c r="B970" s="11">
        <f t="shared" ref="B970:B986" si="55">B969</f>
        <v>46196</v>
      </c>
      <c r="C970" s="6" t="s">
        <v>27</v>
      </c>
      <c r="D970" s="6" t="s">
        <v>44</v>
      </c>
      <c r="E970" s="66" t="s">
        <v>28</v>
      </c>
      <c r="F970" s="17" t="s">
        <v>1511</v>
      </c>
      <c r="G970" s="6" t="s">
        <v>41</v>
      </c>
      <c r="H970" s="7"/>
    </row>
    <row r="971" spans="2:8" ht="9.6" customHeight="1">
      <c r="B971" s="11">
        <f t="shared" si="55"/>
        <v>46196</v>
      </c>
      <c r="C971" s="6" t="s">
        <v>27</v>
      </c>
      <c r="D971" s="6" t="s">
        <v>94</v>
      </c>
      <c r="E971" s="66" t="s">
        <v>28</v>
      </c>
      <c r="F971" s="6" t="s">
        <v>1512</v>
      </c>
      <c r="G971" s="6" t="s">
        <v>34</v>
      </c>
      <c r="H971" s="7"/>
    </row>
    <row r="972" spans="2:8" ht="9.6" customHeight="1">
      <c r="B972" s="11">
        <f t="shared" si="55"/>
        <v>46196</v>
      </c>
      <c r="C972" s="6" t="s">
        <v>176</v>
      </c>
      <c r="D972" s="6" t="s">
        <v>32</v>
      </c>
      <c r="E972" s="66" t="s">
        <v>28</v>
      </c>
      <c r="F972" s="17" t="s">
        <v>1513</v>
      </c>
      <c r="G972" s="6" t="s">
        <v>30</v>
      </c>
      <c r="H972" s="7"/>
    </row>
    <row r="973" spans="2:8" ht="9.6" customHeight="1">
      <c r="B973" s="11">
        <f t="shared" si="55"/>
        <v>46196</v>
      </c>
      <c r="C973" s="6" t="s">
        <v>83</v>
      </c>
      <c r="D973" s="6" t="s">
        <v>38</v>
      </c>
      <c r="E973" s="66" t="s">
        <v>28</v>
      </c>
      <c r="F973" s="17" t="s">
        <v>1514</v>
      </c>
      <c r="G973" s="6" t="s">
        <v>70</v>
      </c>
      <c r="H973" s="7"/>
    </row>
    <row r="974" spans="2:8" ht="9.6" customHeight="1">
      <c r="B974" s="11">
        <f t="shared" si="55"/>
        <v>46196</v>
      </c>
      <c r="C974" s="6" t="s">
        <v>83</v>
      </c>
      <c r="D974" s="6" t="s">
        <v>15</v>
      </c>
      <c r="E974" s="66" t="s">
        <v>28</v>
      </c>
      <c r="F974" s="17" t="s">
        <v>1515</v>
      </c>
      <c r="G974" s="6" t="s">
        <v>34</v>
      </c>
      <c r="H974" s="7"/>
    </row>
    <row r="975" spans="2:8" ht="9.6" customHeight="1">
      <c r="B975" s="11">
        <f t="shared" si="55"/>
        <v>46196</v>
      </c>
      <c r="C975" s="6" t="s">
        <v>27</v>
      </c>
      <c r="D975" s="6" t="s">
        <v>1516</v>
      </c>
      <c r="E975" s="66" t="s">
        <v>28</v>
      </c>
      <c r="F975" s="17" t="s">
        <v>586</v>
      </c>
      <c r="G975" s="6" t="s">
        <v>70</v>
      </c>
      <c r="H975" s="7"/>
    </row>
    <row r="976" spans="2:8" ht="9.6" customHeight="1">
      <c r="B976" s="11">
        <f t="shared" si="55"/>
        <v>46196</v>
      </c>
      <c r="C976" s="6" t="s">
        <v>27</v>
      </c>
      <c r="D976" s="6" t="s">
        <v>94</v>
      </c>
      <c r="E976" s="66" t="s">
        <v>28</v>
      </c>
      <c r="F976" s="17" t="s">
        <v>1517</v>
      </c>
      <c r="G976" s="6" t="s">
        <v>34</v>
      </c>
      <c r="H976" s="7"/>
    </row>
    <row r="977" spans="2:8" ht="9.6" customHeight="1">
      <c r="B977" s="11">
        <f t="shared" si="55"/>
        <v>46196</v>
      </c>
      <c r="C977" s="6" t="s">
        <v>176</v>
      </c>
      <c r="D977" s="6" t="s">
        <v>213</v>
      </c>
      <c r="E977" s="66" t="s">
        <v>28</v>
      </c>
      <c r="F977" s="17" t="s">
        <v>1518</v>
      </c>
      <c r="G977" s="6" t="s">
        <v>237</v>
      </c>
      <c r="H977" s="7"/>
    </row>
    <row r="978" spans="2:8" ht="9.6" customHeight="1">
      <c r="B978" s="11">
        <f t="shared" si="55"/>
        <v>46196</v>
      </c>
      <c r="C978" s="6" t="s">
        <v>27</v>
      </c>
      <c r="D978" s="6" t="s">
        <v>394</v>
      </c>
      <c r="E978" s="66" t="s">
        <v>28</v>
      </c>
      <c r="F978" s="17" t="s">
        <v>1519</v>
      </c>
      <c r="G978" s="6" t="s">
        <v>34</v>
      </c>
      <c r="H978" s="7"/>
    </row>
    <row r="979" spans="2:8" ht="9.6" customHeight="1">
      <c r="B979" s="11">
        <f t="shared" si="55"/>
        <v>46196</v>
      </c>
      <c r="C979" s="6" t="s">
        <v>176</v>
      </c>
      <c r="D979" s="17" t="s">
        <v>10</v>
      </c>
      <c r="E979" s="66" t="s">
        <v>28</v>
      </c>
      <c r="F979" s="17" t="s">
        <v>1048</v>
      </c>
      <c r="G979" s="6" t="s">
        <v>30</v>
      </c>
      <c r="H979" s="7"/>
    </row>
    <row r="980" spans="2:8" ht="9.6" customHeight="1">
      <c r="B980" s="11">
        <f t="shared" si="55"/>
        <v>46196</v>
      </c>
      <c r="C980" s="6" t="s">
        <v>83</v>
      </c>
      <c r="D980" s="6" t="s">
        <v>36</v>
      </c>
      <c r="E980" s="66" t="s">
        <v>28</v>
      </c>
      <c r="F980" s="17" t="s">
        <v>1520</v>
      </c>
      <c r="G980" s="6" t="s">
        <v>30</v>
      </c>
      <c r="H980" s="7"/>
    </row>
    <row r="981" spans="2:8" ht="9.6" customHeight="1">
      <c r="B981" s="11">
        <f t="shared" si="55"/>
        <v>46196</v>
      </c>
      <c r="C981" s="6" t="s">
        <v>27</v>
      </c>
      <c r="D981" s="6" t="s">
        <v>38</v>
      </c>
      <c r="E981" s="66" t="s">
        <v>28</v>
      </c>
      <c r="F981" s="17" t="s">
        <v>1521</v>
      </c>
      <c r="G981" s="6" t="s">
        <v>70</v>
      </c>
      <c r="H981" s="7"/>
    </row>
    <row r="982" spans="2:8" ht="9.6" customHeight="1">
      <c r="B982" s="11">
        <f t="shared" si="55"/>
        <v>46196</v>
      </c>
      <c r="C982" s="6" t="s">
        <v>83</v>
      </c>
      <c r="D982" s="6" t="s">
        <v>42</v>
      </c>
      <c r="E982" s="66" t="s">
        <v>28</v>
      </c>
      <c r="F982" s="17" t="s">
        <v>1522</v>
      </c>
      <c r="G982" s="6" t="s">
        <v>34</v>
      </c>
      <c r="H982" s="7"/>
    </row>
    <row r="983" spans="2:8" ht="9.6" customHeight="1">
      <c r="B983" s="11">
        <f t="shared" si="55"/>
        <v>46196</v>
      </c>
      <c r="C983" s="6" t="s">
        <v>83</v>
      </c>
      <c r="D983" s="6" t="s">
        <v>1523</v>
      </c>
      <c r="E983" s="66" t="s">
        <v>28</v>
      </c>
      <c r="F983" s="17" t="s">
        <v>1524</v>
      </c>
      <c r="G983" s="6" t="s">
        <v>34</v>
      </c>
      <c r="H983" s="7"/>
    </row>
    <row r="984" spans="2:8" ht="9.6" customHeight="1">
      <c r="B984" s="11">
        <f t="shared" si="55"/>
        <v>46196</v>
      </c>
      <c r="C984" s="6" t="s">
        <v>83</v>
      </c>
      <c r="D984" s="6" t="s">
        <v>44</v>
      </c>
      <c r="E984" s="66" t="s">
        <v>28</v>
      </c>
      <c r="F984" s="17" t="s">
        <v>1413</v>
      </c>
      <c r="G984" s="6" t="s">
        <v>70</v>
      </c>
      <c r="H984" s="7"/>
    </row>
    <row r="985" spans="2:8" ht="9.6" customHeight="1">
      <c r="B985" s="11">
        <f t="shared" si="55"/>
        <v>46196</v>
      </c>
      <c r="C985" s="6" t="s">
        <v>743</v>
      </c>
      <c r="D985" s="6" t="s">
        <v>42</v>
      </c>
      <c r="E985" s="66" t="s">
        <v>11</v>
      </c>
      <c r="F985" s="6" t="s">
        <v>1525</v>
      </c>
      <c r="G985" s="6" t="s">
        <v>83</v>
      </c>
      <c r="H985" s="7"/>
    </row>
    <row r="986" spans="2:8" ht="9.6" customHeight="1">
      <c r="B986" s="11">
        <f t="shared" si="55"/>
        <v>46196</v>
      </c>
      <c r="C986" s="6" t="s">
        <v>1526</v>
      </c>
      <c r="D986" s="6" t="s">
        <v>925</v>
      </c>
      <c r="E986" s="66" t="s">
        <v>11</v>
      </c>
      <c r="F986" s="6" t="s">
        <v>1527</v>
      </c>
      <c r="G986" s="6" t="s">
        <v>83</v>
      </c>
      <c r="H986" s="7"/>
    </row>
    <row r="987" spans="2:8" ht="9.6" customHeight="1">
      <c r="B987" s="5">
        <v>46197</v>
      </c>
      <c r="C987" s="7" t="s">
        <v>1528</v>
      </c>
      <c r="D987" s="6" t="s">
        <v>1529</v>
      </c>
      <c r="E987" s="66" t="s">
        <v>11</v>
      </c>
      <c r="F987" s="6" t="s">
        <v>1530</v>
      </c>
      <c r="G987" s="6" t="s">
        <v>51</v>
      </c>
      <c r="H987" s="7"/>
    </row>
    <row r="988" spans="2:8" ht="9.6" customHeight="1">
      <c r="B988" s="5">
        <v>46198</v>
      </c>
      <c r="C988" s="7" t="s">
        <v>35</v>
      </c>
      <c r="D988" s="6" t="s">
        <v>385</v>
      </c>
      <c r="E988" s="66" t="s">
        <v>11</v>
      </c>
      <c r="F988" s="6" t="s">
        <v>386</v>
      </c>
      <c r="G988" s="30" t="s">
        <v>1531</v>
      </c>
      <c r="H988" s="31"/>
    </row>
    <row r="989" spans="2:8" ht="9.6" customHeight="1">
      <c r="B989" s="5">
        <v>46199</v>
      </c>
      <c r="C989" s="7" t="s">
        <v>1494</v>
      </c>
      <c r="D989" s="6" t="s">
        <v>256</v>
      </c>
      <c r="E989" s="66" t="s">
        <v>11</v>
      </c>
      <c r="F989" s="6" t="s">
        <v>1532</v>
      </c>
      <c r="G989" s="6" t="s">
        <v>51</v>
      </c>
      <c r="H989" s="7"/>
    </row>
    <row r="990" spans="2:8" ht="9.6" customHeight="1">
      <c r="B990" s="11">
        <f>B989</f>
        <v>46199</v>
      </c>
      <c r="C990" s="6" t="s">
        <v>1533</v>
      </c>
      <c r="D990" s="6" t="s">
        <v>462</v>
      </c>
      <c r="E990" s="66" t="s">
        <v>11</v>
      </c>
      <c r="F990" s="6" t="s">
        <v>1534</v>
      </c>
      <c r="G990" s="6" t="s">
        <v>51</v>
      </c>
      <c r="H990" s="7"/>
    </row>
    <row r="991" spans="2:8" ht="9.6" customHeight="1">
      <c r="B991" s="11">
        <f>B990</f>
        <v>46199</v>
      </c>
      <c r="C991" s="6" t="s">
        <v>1535</v>
      </c>
      <c r="D991" s="6" t="s">
        <v>1536</v>
      </c>
      <c r="E991" s="66" t="s">
        <v>11</v>
      </c>
      <c r="F991" s="6" t="s">
        <v>1537</v>
      </c>
      <c r="G991" s="6" t="s">
        <v>51</v>
      </c>
      <c r="H991" s="7"/>
    </row>
    <row r="992" spans="2:8" ht="9.6" customHeight="1">
      <c r="B992" s="11">
        <f>B991</f>
        <v>46199</v>
      </c>
      <c r="C992" s="6" t="s">
        <v>1538</v>
      </c>
      <c r="D992" s="6" t="s">
        <v>23</v>
      </c>
      <c r="E992" s="66" t="s">
        <v>11</v>
      </c>
      <c r="F992" s="17" t="s">
        <v>1539</v>
      </c>
      <c r="G992" s="6" t="s">
        <v>51</v>
      </c>
      <c r="H992" s="7"/>
    </row>
    <row r="993" spans="2:8" ht="9.6" customHeight="1">
      <c r="B993" s="5">
        <v>46201</v>
      </c>
      <c r="C993" s="7" t="s">
        <v>1161</v>
      </c>
      <c r="D993" s="6" t="s">
        <v>741</v>
      </c>
      <c r="E993" s="66" t="s">
        <v>11</v>
      </c>
      <c r="F993" s="6" t="s">
        <v>1540</v>
      </c>
      <c r="G993" s="6" t="s">
        <v>51</v>
      </c>
      <c r="H993" s="7"/>
    </row>
    <row r="994" spans="2:8" ht="9.6" customHeight="1">
      <c r="B994" s="11">
        <f>B993</f>
        <v>46201</v>
      </c>
      <c r="C994" s="6" t="s">
        <v>1541</v>
      </c>
      <c r="D994" s="6" t="s">
        <v>10</v>
      </c>
      <c r="E994" s="66" t="s">
        <v>11</v>
      </c>
      <c r="F994" s="6" t="s">
        <v>1542</v>
      </c>
      <c r="G994" s="6" t="s">
        <v>51</v>
      </c>
      <c r="H994" s="7"/>
    </row>
    <row r="995" spans="2:8" ht="9.6" customHeight="1">
      <c r="B995" s="11">
        <f>B994</f>
        <v>46201</v>
      </c>
      <c r="C995" s="6" t="s">
        <v>1543</v>
      </c>
      <c r="D995" s="6" t="s">
        <v>741</v>
      </c>
      <c r="E995" s="66" t="s">
        <v>11</v>
      </c>
      <c r="F995" s="6" t="s">
        <v>1544</v>
      </c>
      <c r="G995" s="6" t="s">
        <v>51</v>
      </c>
      <c r="H995" s="7"/>
    </row>
    <row r="996" spans="2:8" ht="9.6" customHeight="1">
      <c r="B996" s="11">
        <f>B995</f>
        <v>46201</v>
      </c>
      <c r="C996" s="6" t="s">
        <v>1545</v>
      </c>
      <c r="D996" s="6" t="s">
        <v>19</v>
      </c>
      <c r="E996" s="66" t="s">
        <v>11</v>
      </c>
      <c r="F996" s="6" t="s">
        <v>631</v>
      </c>
      <c r="G996" s="6" t="s">
        <v>51</v>
      </c>
      <c r="H996" s="7"/>
    </row>
    <row r="997" spans="2:8" ht="9.6" customHeight="1">
      <c r="B997" s="11">
        <f>B996</f>
        <v>46201</v>
      </c>
      <c r="C997" s="6" t="s">
        <v>1546</v>
      </c>
      <c r="D997" s="6" t="s">
        <v>19</v>
      </c>
      <c r="E997" s="66" t="s">
        <v>11</v>
      </c>
      <c r="F997" s="6" t="s">
        <v>1547</v>
      </c>
      <c r="G997" s="6" t="s">
        <v>51</v>
      </c>
      <c r="H997" s="7"/>
    </row>
    <row r="998" spans="2:8" ht="9.6" customHeight="1">
      <c r="B998" s="11">
        <f>B997</f>
        <v>46201</v>
      </c>
      <c r="C998" s="6" t="s">
        <v>35</v>
      </c>
      <c r="D998" s="6" t="s">
        <v>1548</v>
      </c>
      <c r="E998" s="66" t="s">
        <v>11</v>
      </c>
      <c r="F998" s="6" t="s">
        <v>1549</v>
      </c>
      <c r="G998" s="6" t="s">
        <v>21</v>
      </c>
      <c r="H998" s="7"/>
    </row>
    <row r="999" spans="2:8" ht="9.6" customHeight="1">
      <c r="B999" s="5">
        <v>46202</v>
      </c>
      <c r="C999" s="7" t="s">
        <v>1550</v>
      </c>
      <c r="D999" s="6" t="s">
        <v>19</v>
      </c>
      <c r="E999" s="66" t="s">
        <v>11</v>
      </c>
      <c r="F999" s="6" t="s">
        <v>1551</v>
      </c>
      <c r="G999" s="6" t="s">
        <v>51</v>
      </c>
      <c r="H999" s="7"/>
    </row>
    <row r="1000" spans="2:8" ht="9.6" customHeight="1">
      <c r="B1000" s="11">
        <f>B999</f>
        <v>46202</v>
      </c>
      <c r="C1000" s="6" t="s">
        <v>1552</v>
      </c>
      <c r="D1000" s="6" t="s">
        <v>385</v>
      </c>
      <c r="E1000" s="66" t="s">
        <v>11</v>
      </c>
      <c r="F1000" s="6" t="s">
        <v>1553</v>
      </c>
      <c r="G1000" s="6" t="s">
        <v>41</v>
      </c>
      <c r="H1000" s="7"/>
    </row>
    <row r="1001" spans="2:8" ht="9.6" customHeight="1">
      <c r="B1001" s="11">
        <f>B1000</f>
        <v>46202</v>
      </c>
      <c r="C1001" s="6" t="s">
        <v>1554</v>
      </c>
      <c r="D1001" s="6" t="s">
        <v>407</v>
      </c>
      <c r="E1001" s="66" t="s">
        <v>11</v>
      </c>
      <c r="F1001" s="6" t="s">
        <v>1555</v>
      </c>
      <c r="G1001" s="6" t="s">
        <v>51</v>
      </c>
      <c r="H1001" s="7"/>
    </row>
    <row r="1002" spans="2:8" ht="9.6" customHeight="1">
      <c r="B1002" s="11">
        <f>B1001</f>
        <v>46202</v>
      </c>
      <c r="C1002" s="6" t="s">
        <v>1556</v>
      </c>
      <c r="D1002" s="6" t="s">
        <v>407</v>
      </c>
      <c r="E1002" s="66" t="s">
        <v>11</v>
      </c>
      <c r="F1002" s="6" t="s">
        <v>1557</v>
      </c>
      <c r="G1002" s="6" t="s">
        <v>51</v>
      </c>
      <c r="H1002" s="7"/>
    </row>
    <row r="1003" spans="2:8" ht="9.6" customHeight="1">
      <c r="B1003" s="11">
        <f>B1002</f>
        <v>46202</v>
      </c>
      <c r="C1003" s="6" t="s">
        <v>1558</v>
      </c>
      <c r="D1003" s="6" t="s">
        <v>23</v>
      </c>
      <c r="E1003" s="66" t="s">
        <v>11</v>
      </c>
      <c r="F1003" s="6" t="s">
        <v>1559</v>
      </c>
      <c r="G1003" s="6" t="s">
        <v>51</v>
      </c>
      <c r="H1003" s="7"/>
    </row>
    <row r="1004" spans="2:8" ht="9.6" customHeight="1">
      <c r="B1004" s="5">
        <v>46203</v>
      </c>
      <c r="C1004" s="7" t="s">
        <v>1550</v>
      </c>
      <c r="D1004" s="6" t="s">
        <v>19</v>
      </c>
      <c r="E1004" s="66" t="s">
        <v>11</v>
      </c>
      <c r="F1004" s="6" t="s">
        <v>1560</v>
      </c>
      <c r="G1004" s="6" t="s">
        <v>51</v>
      </c>
      <c r="H1004" s="7"/>
    </row>
    <row r="1005" spans="2:8" ht="9.6" customHeight="1">
      <c r="B1005" s="11">
        <f t="shared" ref="B1005:B1010" si="56">B1004</f>
        <v>46203</v>
      </c>
      <c r="C1005" s="6" t="s">
        <v>1161</v>
      </c>
      <c r="D1005" s="6" t="s">
        <v>733</v>
      </c>
      <c r="E1005" s="66" t="s">
        <v>11</v>
      </c>
      <c r="F1005" s="6" t="s">
        <v>1561</v>
      </c>
      <c r="G1005" s="6" t="s">
        <v>51</v>
      </c>
      <c r="H1005" s="7"/>
    </row>
    <row r="1006" spans="2:8" ht="9.6" customHeight="1">
      <c r="B1006" s="11">
        <f t="shared" si="56"/>
        <v>46203</v>
      </c>
      <c r="C1006" s="6" t="s">
        <v>35</v>
      </c>
      <c r="D1006" s="6" t="s">
        <v>213</v>
      </c>
      <c r="E1006" s="66" t="s">
        <v>11</v>
      </c>
      <c r="F1006" s="6" t="s">
        <v>1562</v>
      </c>
      <c r="G1006" s="6" t="s">
        <v>30</v>
      </c>
      <c r="H1006" s="7"/>
    </row>
    <row r="1007" spans="2:8" ht="9.6" customHeight="1">
      <c r="B1007" s="11">
        <f t="shared" si="56"/>
        <v>46203</v>
      </c>
      <c r="C1007" s="6" t="s">
        <v>35</v>
      </c>
      <c r="D1007" s="6" t="s">
        <v>965</v>
      </c>
      <c r="E1007" s="66" t="s">
        <v>11</v>
      </c>
      <c r="F1007" s="17" t="s">
        <v>941</v>
      </c>
      <c r="G1007" s="6" t="s">
        <v>30</v>
      </c>
      <c r="H1007" s="7"/>
    </row>
    <row r="1008" spans="2:8" ht="9.6" customHeight="1">
      <c r="B1008" s="11">
        <f t="shared" si="56"/>
        <v>46203</v>
      </c>
      <c r="C1008" s="6" t="s">
        <v>1563</v>
      </c>
      <c r="D1008" s="6" t="s">
        <v>385</v>
      </c>
      <c r="E1008" s="66" t="s">
        <v>11</v>
      </c>
      <c r="F1008" s="17" t="s">
        <v>1564</v>
      </c>
      <c r="G1008" s="6" t="s">
        <v>662</v>
      </c>
      <c r="H1008" s="7"/>
    </row>
    <row r="1009" spans="2:8" ht="9.6" customHeight="1">
      <c r="B1009" s="11">
        <f t="shared" si="56"/>
        <v>46203</v>
      </c>
      <c r="C1009" s="6" t="s">
        <v>1565</v>
      </c>
      <c r="D1009" s="6" t="s">
        <v>385</v>
      </c>
      <c r="E1009" s="66" t="s">
        <v>11</v>
      </c>
      <c r="F1009" s="17" t="s">
        <v>1566</v>
      </c>
      <c r="G1009" s="6" t="s">
        <v>51</v>
      </c>
      <c r="H1009" s="7"/>
    </row>
    <row r="1010" spans="2:8" ht="9.6" customHeight="1">
      <c r="B1010" s="11">
        <f t="shared" si="56"/>
        <v>46203</v>
      </c>
      <c r="C1010" s="6" t="s">
        <v>1567</v>
      </c>
      <c r="D1010" s="6" t="s">
        <v>1568</v>
      </c>
      <c r="E1010" s="66" t="s">
        <v>11</v>
      </c>
      <c r="F1010" s="17" t="s">
        <v>1569</v>
      </c>
      <c r="G1010" s="6" t="s">
        <v>662</v>
      </c>
      <c r="H1010" s="7"/>
    </row>
    <row r="1011" spans="2:8" ht="9.6" customHeight="1">
      <c r="B1011" s="32">
        <v>46204</v>
      </c>
      <c r="C1011" s="33" t="s">
        <v>35</v>
      </c>
      <c r="D1011" s="34" t="s">
        <v>1163</v>
      </c>
      <c r="E1011" s="66" t="s">
        <v>11</v>
      </c>
      <c r="F1011" s="34" t="s">
        <v>1570</v>
      </c>
      <c r="G1011" s="34" t="s">
        <v>30</v>
      </c>
    </row>
    <row r="1012" spans="2:8" ht="9.6" customHeight="1">
      <c r="B1012" s="35">
        <f>B1011</f>
        <v>46204</v>
      </c>
      <c r="C1012" s="34" t="s">
        <v>35</v>
      </c>
      <c r="D1012" s="34" t="s">
        <v>52</v>
      </c>
      <c r="E1012" s="66" t="s">
        <v>11</v>
      </c>
      <c r="F1012" s="34" t="s">
        <v>1571</v>
      </c>
      <c r="G1012" s="34" t="s">
        <v>30</v>
      </c>
    </row>
    <row r="1013" spans="2:8" ht="9.6" customHeight="1">
      <c r="B1013" s="35">
        <f>B1012</f>
        <v>46204</v>
      </c>
      <c r="C1013" s="34" t="s">
        <v>18</v>
      </c>
      <c r="D1013" s="34" t="s">
        <v>19</v>
      </c>
      <c r="E1013" s="66" t="s">
        <v>11</v>
      </c>
      <c r="F1013" s="34" t="s">
        <v>1572</v>
      </c>
      <c r="G1013" s="34" t="s">
        <v>30</v>
      </c>
    </row>
    <row r="1014" spans="2:8" ht="9.6" customHeight="1">
      <c r="B1014" s="35">
        <f>B1013</f>
        <v>46204</v>
      </c>
      <c r="C1014" s="34" t="s">
        <v>1573</v>
      </c>
      <c r="D1014" s="34" t="s">
        <v>19</v>
      </c>
      <c r="E1014" s="66" t="s">
        <v>11</v>
      </c>
      <c r="F1014" s="34" t="s">
        <v>1574</v>
      </c>
      <c r="G1014" s="34" t="s">
        <v>83</v>
      </c>
    </row>
    <row r="1015" spans="2:8" ht="9.6" customHeight="1">
      <c r="B1015" s="32">
        <v>46205</v>
      </c>
      <c r="C1015" s="33" t="s">
        <v>1575</v>
      </c>
      <c r="D1015" s="34" t="s">
        <v>385</v>
      </c>
      <c r="E1015" s="66" t="s">
        <v>11</v>
      </c>
      <c r="F1015" s="34" t="s">
        <v>1576</v>
      </c>
      <c r="G1015" s="34" t="s">
        <v>51</v>
      </c>
    </row>
    <row r="1016" spans="2:8" ht="9.6" customHeight="1">
      <c r="B1016" s="35">
        <f>B1015</f>
        <v>46205</v>
      </c>
      <c r="C1016" s="34" t="s">
        <v>383</v>
      </c>
      <c r="D1016" s="34" t="s">
        <v>19</v>
      </c>
      <c r="E1016" s="66" t="s">
        <v>11</v>
      </c>
      <c r="F1016" s="34" t="s">
        <v>629</v>
      </c>
      <c r="G1016" s="34" t="s">
        <v>51</v>
      </c>
    </row>
    <row r="1017" spans="2:8" ht="9.6" customHeight="1">
      <c r="B1017" s="35">
        <f>B1016</f>
        <v>46205</v>
      </c>
      <c r="C1017" s="34" t="s">
        <v>1577</v>
      </c>
      <c r="D1017" s="34" t="s">
        <v>19</v>
      </c>
      <c r="E1017" s="66" t="s">
        <v>11</v>
      </c>
      <c r="F1017" s="34" t="s">
        <v>1578</v>
      </c>
      <c r="G1017" s="34" t="s">
        <v>51</v>
      </c>
    </row>
    <row r="1018" spans="2:8" ht="9.6" customHeight="1">
      <c r="B1018" s="32">
        <v>46206</v>
      </c>
      <c r="C1018" s="34" t="s">
        <v>1579</v>
      </c>
      <c r="D1018" s="34" t="s">
        <v>52</v>
      </c>
      <c r="E1018" s="66" t="s">
        <v>11</v>
      </c>
      <c r="F1018" s="34" t="s">
        <v>1580</v>
      </c>
      <c r="G1018" s="34" t="s">
        <v>51</v>
      </c>
    </row>
    <row r="1019" spans="2:8" ht="9.6" customHeight="1">
      <c r="B1019" s="32">
        <v>46207</v>
      </c>
      <c r="C1019" s="34" t="s">
        <v>35</v>
      </c>
      <c r="D1019" s="34" t="s">
        <v>62</v>
      </c>
      <c r="E1019" s="66" t="s">
        <v>11</v>
      </c>
      <c r="F1019" s="34" t="s">
        <v>1581</v>
      </c>
      <c r="G1019" s="34" t="s">
        <v>41</v>
      </c>
    </row>
    <row r="1020" spans="2:8" ht="9.6" customHeight="1">
      <c r="B1020" s="35">
        <f t="shared" ref="B1020:B1026" si="57">B1019</f>
        <v>46207</v>
      </c>
      <c r="C1020" s="34" t="s">
        <v>35</v>
      </c>
      <c r="D1020" s="34" t="s">
        <v>42</v>
      </c>
      <c r="E1020" s="66" t="s">
        <v>11</v>
      </c>
      <c r="F1020" s="36" t="s">
        <v>1270</v>
      </c>
      <c r="G1020" s="34" t="s">
        <v>30</v>
      </c>
    </row>
    <row r="1021" spans="2:8" ht="9.6" customHeight="1">
      <c r="B1021" s="35">
        <f t="shared" si="57"/>
        <v>46207</v>
      </c>
      <c r="C1021" s="34" t="s">
        <v>1582</v>
      </c>
      <c r="D1021" s="34" t="s">
        <v>403</v>
      </c>
      <c r="E1021" s="66" t="s">
        <v>11</v>
      </c>
      <c r="F1021" s="36" t="s">
        <v>1583</v>
      </c>
      <c r="G1021" s="34" t="s">
        <v>187</v>
      </c>
    </row>
    <row r="1022" spans="2:8" ht="9.6" customHeight="1">
      <c r="B1022" s="35">
        <f t="shared" si="57"/>
        <v>46207</v>
      </c>
      <c r="C1022" s="34" t="s">
        <v>1584</v>
      </c>
      <c r="D1022" s="34" t="s">
        <v>164</v>
      </c>
      <c r="E1022" s="66" t="s">
        <v>11</v>
      </c>
      <c r="F1022" s="36" t="s">
        <v>1585</v>
      </c>
      <c r="G1022" s="34" t="s">
        <v>1586</v>
      </c>
    </row>
    <row r="1023" spans="2:8" ht="9.6" customHeight="1">
      <c r="B1023" s="35">
        <f t="shared" si="57"/>
        <v>46207</v>
      </c>
      <c r="C1023" s="34" t="s">
        <v>35</v>
      </c>
      <c r="D1023" s="34" t="s">
        <v>42</v>
      </c>
      <c r="E1023" s="66" t="s">
        <v>11</v>
      </c>
      <c r="F1023" s="36" t="s">
        <v>1587</v>
      </c>
      <c r="G1023" s="34" t="s">
        <v>30</v>
      </c>
    </row>
    <row r="1024" spans="2:8" ht="9.6" customHeight="1">
      <c r="B1024" s="35">
        <f t="shared" si="57"/>
        <v>46207</v>
      </c>
      <c r="C1024" s="34" t="s">
        <v>1588</v>
      </c>
      <c r="D1024" s="34" t="s">
        <v>19</v>
      </c>
      <c r="E1024" s="66" t="s">
        <v>11</v>
      </c>
      <c r="F1024" s="34" t="s">
        <v>1589</v>
      </c>
      <c r="G1024" s="34" t="s">
        <v>1586</v>
      </c>
    </row>
    <row r="1025" spans="2:7" ht="9.6" customHeight="1">
      <c r="B1025" s="35">
        <f t="shared" si="57"/>
        <v>46207</v>
      </c>
      <c r="C1025" s="34" t="s">
        <v>1590</v>
      </c>
      <c r="D1025" s="34" t="s">
        <v>1591</v>
      </c>
      <c r="E1025" s="66" t="s">
        <v>11</v>
      </c>
      <c r="F1025" s="36" t="s">
        <v>1592</v>
      </c>
      <c r="G1025" s="34" t="s">
        <v>30</v>
      </c>
    </row>
    <row r="1026" spans="2:7" ht="9.6" customHeight="1">
      <c r="B1026" s="35">
        <f t="shared" si="57"/>
        <v>46207</v>
      </c>
      <c r="C1026" s="34" t="s">
        <v>1593</v>
      </c>
      <c r="D1026" s="34" t="s">
        <v>965</v>
      </c>
      <c r="E1026" s="66" t="s">
        <v>11</v>
      </c>
      <c r="F1026" s="36" t="s">
        <v>1594</v>
      </c>
      <c r="G1026" s="34" t="s">
        <v>41</v>
      </c>
    </row>
    <row r="1027" spans="2:7" ht="9.6" customHeight="1">
      <c r="B1027" s="37">
        <v>46208</v>
      </c>
      <c r="C1027" s="38" t="s">
        <v>1595</v>
      </c>
      <c r="D1027" s="39" t="s">
        <v>44</v>
      </c>
      <c r="E1027" s="66" t="s">
        <v>11</v>
      </c>
      <c r="F1027" s="39" t="s">
        <v>1596</v>
      </c>
      <c r="G1027" s="39" t="s">
        <v>83</v>
      </c>
    </row>
    <row r="1028" spans="2:7" ht="9.6" customHeight="1">
      <c r="B1028" s="40">
        <f>B1027</f>
        <v>46208</v>
      </c>
      <c r="C1028" s="38" t="s">
        <v>1588</v>
      </c>
      <c r="D1028" s="39" t="s">
        <v>19</v>
      </c>
      <c r="E1028" s="66" t="s">
        <v>11</v>
      </c>
      <c r="F1028" s="39" t="s">
        <v>1597</v>
      </c>
      <c r="G1028" s="39" t="s">
        <v>83</v>
      </c>
    </row>
    <row r="1029" spans="2:7" ht="9.6" customHeight="1">
      <c r="B1029" s="40">
        <f>B1028</f>
        <v>46208</v>
      </c>
      <c r="C1029" s="38" t="s">
        <v>1598</v>
      </c>
      <c r="D1029" s="39" t="s">
        <v>261</v>
      </c>
      <c r="E1029" s="66" t="s">
        <v>11</v>
      </c>
      <c r="F1029" s="39" t="s">
        <v>1599</v>
      </c>
      <c r="G1029" s="39" t="s">
        <v>83</v>
      </c>
    </row>
    <row r="1030" spans="2:7" ht="9.6" customHeight="1">
      <c r="B1030" s="40">
        <f>B1029</f>
        <v>46208</v>
      </c>
      <c r="C1030" s="38" t="s">
        <v>1600</v>
      </c>
      <c r="D1030" s="39" t="s">
        <v>19</v>
      </c>
      <c r="E1030" s="66" t="s">
        <v>11</v>
      </c>
      <c r="F1030" s="39" t="s">
        <v>1015</v>
      </c>
      <c r="G1030" s="39" t="s">
        <v>83</v>
      </c>
    </row>
    <row r="1031" spans="2:7" ht="9.6" customHeight="1">
      <c r="B1031" s="40">
        <f>B1030</f>
        <v>46208</v>
      </c>
      <c r="C1031" s="38" t="s">
        <v>1601</v>
      </c>
      <c r="D1031" s="39" t="s">
        <v>462</v>
      </c>
      <c r="E1031" s="66" t="s">
        <v>11</v>
      </c>
      <c r="F1031" s="41" t="s">
        <v>1602</v>
      </c>
      <c r="G1031" s="39" t="s">
        <v>30</v>
      </c>
    </row>
    <row r="1032" spans="2:7" ht="9.6" customHeight="1">
      <c r="B1032" s="40">
        <f>B1031</f>
        <v>46208</v>
      </c>
      <c r="C1032" s="38" t="s">
        <v>1590</v>
      </c>
      <c r="D1032" s="39" t="s">
        <v>19</v>
      </c>
      <c r="E1032" s="66" t="s">
        <v>11</v>
      </c>
      <c r="F1032" s="41" t="s">
        <v>354</v>
      </c>
      <c r="G1032" s="39" t="s">
        <v>83</v>
      </c>
    </row>
    <row r="1033" spans="2:7" ht="9.6" customHeight="1">
      <c r="B1033" s="32">
        <v>46209</v>
      </c>
      <c r="C1033" s="33" t="s">
        <v>778</v>
      </c>
      <c r="D1033" s="34" t="s">
        <v>969</v>
      </c>
      <c r="E1033" s="66" t="s">
        <v>11</v>
      </c>
      <c r="F1033" s="36" t="s">
        <v>1603</v>
      </c>
      <c r="G1033" s="34" t="s">
        <v>83</v>
      </c>
    </row>
    <row r="1034" spans="2:7" ht="9.6" customHeight="1">
      <c r="B1034" s="35">
        <f>B1033</f>
        <v>46209</v>
      </c>
      <c r="C1034" s="34" t="s">
        <v>1604</v>
      </c>
      <c r="D1034" s="34" t="s">
        <v>44</v>
      </c>
      <c r="E1034" s="66" t="s">
        <v>11</v>
      </c>
      <c r="F1034" s="34" t="s">
        <v>1605</v>
      </c>
      <c r="G1034" s="34" t="s">
        <v>51</v>
      </c>
    </row>
    <row r="1035" spans="2:7" ht="9.6" customHeight="1">
      <c r="B1035" s="35">
        <f>B1034</f>
        <v>46209</v>
      </c>
      <c r="C1035" s="34" t="s">
        <v>761</v>
      </c>
      <c r="D1035" s="34" t="s">
        <v>741</v>
      </c>
      <c r="E1035" s="66" t="s">
        <v>11</v>
      </c>
      <c r="F1035" s="34" t="s">
        <v>1606</v>
      </c>
      <c r="G1035" s="34" t="s">
        <v>51</v>
      </c>
    </row>
    <row r="1036" spans="2:7" ht="9.6" customHeight="1">
      <c r="B1036" s="32">
        <v>46210</v>
      </c>
      <c r="C1036" s="34" t="s">
        <v>1607</v>
      </c>
      <c r="D1036" s="34" t="s">
        <v>407</v>
      </c>
      <c r="E1036" s="66" t="s">
        <v>11</v>
      </c>
      <c r="F1036" s="34" t="s">
        <v>1608</v>
      </c>
      <c r="G1036" s="34" t="s">
        <v>51</v>
      </c>
    </row>
    <row r="1037" spans="2:7" ht="9.6" customHeight="1">
      <c r="B1037" s="35">
        <f>B1036</f>
        <v>46210</v>
      </c>
      <c r="C1037" s="34" t="s">
        <v>1609</v>
      </c>
      <c r="D1037" s="34" t="s">
        <v>42</v>
      </c>
      <c r="E1037" s="66" t="s">
        <v>11</v>
      </c>
      <c r="F1037" s="34" t="s">
        <v>1610</v>
      </c>
      <c r="G1037" s="34" t="s">
        <v>51</v>
      </c>
    </row>
    <row r="1038" spans="2:7" ht="9.6" customHeight="1">
      <c r="B1038" s="35">
        <f>B1037</f>
        <v>46210</v>
      </c>
      <c r="C1038" s="34" t="s">
        <v>1611</v>
      </c>
      <c r="D1038" s="34" t="s">
        <v>19</v>
      </c>
      <c r="E1038" s="66" t="s">
        <v>11</v>
      </c>
      <c r="F1038" s="34" t="s">
        <v>629</v>
      </c>
      <c r="G1038" s="34" t="s">
        <v>51</v>
      </c>
    </row>
    <row r="1039" spans="2:7" ht="9.6" customHeight="1">
      <c r="B1039" s="32">
        <v>46211</v>
      </c>
      <c r="C1039" s="39" t="s">
        <v>1612</v>
      </c>
      <c r="D1039" s="39" t="s">
        <v>132</v>
      </c>
      <c r="E1039" s="66" t="s">
        <v>11</v>
      </c>
      <c r="F1039" s="39" t="s">
        <v>1613</v>
      </c>
      <c r="G1039" s="39" t="s">
        <v>51</v>
      </c>
    </row>
    <row r="1040" spans="2:7" ht="9.6" customHeight="1">
      <c r="B1040" s="35">
        <f t="shared" ref="B1040:B1045" si="58">B1039</f>
        <v>46211</v>
      </c>
      <c r="C1040" s="39" t="s">
        <v>258</v>
      </c>
      <c r="D1040" s="39" t="s">
        <v>42</v>
      </c>
      <c r="E1040" s="66" t="s">
        <v>28</v>
      </c>
      <c r="F1040" s="39" t="s">
        <v>1222</v>
      </c>
      <c r="G1040" s="39" t="s">
        <v>51</v>
      </c>
    </row>
    <row r="1041" spans="2:7" ht="9.6" customHeight="1">
      <c r="B1041" s="35">
        <f t="shared" si="58"/>
        <v>46211</v>
      </c>
      <c r="C1041" s="39" t="s">
        <v>258</v>
      </c>
      <c r="D1041" s="39" t="s">
        <v>38</v>
      </c>
      <c r="E1041" s="66" t="s">
        <v>28</v>
      </c>
      <c r="F1041" s="39" t="s">
        <v>1614</v>
      </c>
      <c r="G1041" s="39" t="s">
        <v>70</v>
      </c>
    </row>
    <row r="1042" spans="2:7" ht="9.6" customHeight="1">
      <c r="B1042" s="35">
        <f t="shared" si="58"/>
        <v>46211</v>
      </c>
      <c r="C1042" s="39" t="s">
        <v>258</v>
      </c>
      <c r="D1042" s="39" t="s">
        <v>32</v>
      </c>
      <c r="E1042" s="66" t="s">
        <v>28</v>
      </c>
      <c r="F1042" s="39" t="s">
        <v>1316</v>
      </c>
      <c r="G1042" s="39" t="s">
        <v>51</v>
      </c>
    </row>
    <row r="1043" spans="2:7" ht="9.6" customHeight="1">
      <c r="B1043" s="35">
        <f t="shared" si="58"/>
        <v>46211</v>
      </c>
      <c r="C1043" s="39" t="s">
        <v>258</v>
      </c>
      <c r="D1043" s="39" t="s">
        <v>103</v>
      </c>
      <c r="E1043" s="66" t="s">
        <v>28</v>
      </c>
      <c r="F1043" s="39" t="s">
        <v>1615</v>
      </c>
      <c r="G1043" s="39" t="s">
        <v>51</v>
      </c>
    </row>
    <row r="1044" spans="2:7" ht="9.6" customHeight="1">
      <c r="B1044" s="35">
        <f t="shared" si="58"/>
        <v>46211</v>
      </c>
      <c r="C1044" s="39" t="s">
        <v>258</v>
      </c>
      <c r="D1044" s="39" t="s">
        <v>42</v>
      </c>
      <c r="E1044" s="66" t="s">
        <v>28</v>
      </c>
      <c r="F1044" s="39" t="s">
        <v>1413</v>
      </c>
      <c r="G1044" s="39" t="s">
        <v>51</v>
      </c>
    </row>
    <row r="1045" spans="2:7" ht="9.6" customHeight="1">
      <c r="B1045" s="35">
        <f t="shared" si="58"/>
        <v>46211</v>
      </c>
      <c r="C1045" s="39" t="s">
        <v>83</v>
      </c>
      <c r="D1045" s="39" t="s">
        <v>213</v>
      </c>
      <c r="E1045" s="66" t="s">
        <v>28</v>
      </c>
      <c r="F1045" s="39" t="s">
        <v>1616</v>
      </c>
      <c r="G1045" s="39" t="s">
        <v>51</v>
      </c>
    </row>
    <row r="1046" spans="2:7" ht="9.6" customHeight="1">
      <c r="B1046" s="32">
        <v>46212</v>
      </c>
      <c r="C1046" s="33" t="s">
        <v>1617</v>
      </c>
      <c r="D1046" s="34" t="s">
        <v>1618</v>
      </c>
      <c r="E1046" s="66" t="s">
        <v>11</v>
      </c>
      <c r="F1046" s="34" t="s">
        <v>1619</v>
      </c>
      <c r="G1046" s="34" t="s">
        <v>30</v>
      </c>
    </row>
    <row r="1047" spans="2:7" ht="9.6" customHeight="1">
      <c r="B1047" s="35">
        <f t="shared" ref="B1047:B1052" si="59">B1046</f>
        <v>46212</v>
      </c>
      <c r="C1047" s="33" t="s">
        <v>1620</v>
      </c>
      <c r="D1047" s="34" t="s">
        <v>44</v>
      </c>
      <c r="E1047" s="66" t="s">
        <v>11</v>
      </c>
      <c r="F1047" s="34" t="s">
        <v>1621</v>
      </c>
      <c r="G1047" s="34" t="s">
        <v>237</v>
      </c>
    </row>
    <row r="1048" spans="2:7" ht="9.6" customHeight="1">
      <c r="B1048" s="35">
        <f t="shared" si="59"/>
        <v>46212</v>
      </c>
      <c r="C1048" s="33" t="s">
        <v>761</v>
      </c>
      <c r="D1048" s="34" t="s">
        <v>389</v>
      </c>
      <c r="E1048" s="66" t="s">
        <v>11</v>
      </c>
      <c r="F1048" s="42" t="s">
        <v>1622</v>
      </c>
      <c r="G1048" s="34" t="s">
        <v>30</v>
      </c>
    </row>
    <row r="1049" spans="2:7" ht="9.6" customHeight="1">
      <c r="B1049" s="35">
        <f t="shared" si="59"/>
        <v>46212</v>
      </c>
      <c r="C1049" s="33" t="s">
        <v>1623</v>
      </c>
      <c r="D1049" s="34" t="s">
        <v>19</v>
      </c>
      <c r="E1049" s="66" t="s">
        <v>11</v>
      </c>
      <c r="F1049" s="34" t="s">
        <v>758</v>
      </c>
      <c r="G1049" s="34" t="s">
        <v>187</v>
      </c>
    </row>
    <row r="1050" spans="2:7" ht="9.6" customHeight="1">
      <c r="B1050" s="35">
        <f t="shared" si="59"/>
        <v>46212</v>
      </c>
      <c r="C1050" s="33" t="s">
        <v>1624</v>
      </c>
      <c r="D1050" s="34" t="s">
        <v>19</v>
      </c>
      <c r="E1050" s="66" t="s">
        <v>11</v>
      </c>
      <c r="F1050" s="36" t="s">
        <v>1625</v>
      </c>
      <c r="G1050" s="34" t="s">
        <v>187</v>
      </c>
    </row>
    <row r="1051" spans="2:7" ht="9.6" customHeight="1">
      <c r="B1051" s="35">
        <f t="shared" si="59"/>
        <v>46212</v>
      </c>
      <c r="C1051" s="33" t="s">
        <v>1626</v>
      </c>
      <c r="D1051" s="34" t="s">
        <v>52</v>
      </c>
      <c r="E1051" s="66" t="s">
        <v>11</v>
      </c>
      <c r="F1051" s="36" t="s">
        <v>1627</v>
      </c>
      <c r="G1051" s="34" t="s">
        <v>30</v>
      </c>
    </row>
    <row r="1052" spans="2:7" ht="9.6" customHeight="1">
      <c r="B1052" s="35">
        <f t="shared" si="59"/>
        <v>46212</v>
      </c>
      <c r="C1052" s="33" t="s">
        <v>1628</v>
      </c>
      <c r="D1052" s="34" t="s">
        <v>1629</v>
      </c>
      <c r="E1052" s="66" t="s">
        <v>11</v>
      </c>
      <c r="F1052" s="36" t="s">
        <v>1630</v>
      </c>
      <c r="G1052" s="34" t="s">
        <v>187</v>
      </c>
    </row>
    <row r="1053" spans="2:7" ht="9.6" customHeight="1">
      <c r="B1053" s="32">
        <v>46213</v>
      </c>
      <c r="C1053" s="34" t="s">
        <v>1631</v>
      </c>
      <c r="D1053" s="34" t="s">
        <v>207</v>
      </c>
      <c r="E1053" s="66" t="s">
        <v>28</v>
      </c>
      <c r="F1053" s="34" t="s">
        <v>1632</v>
      </c>
      <c r="G1053" s="34" t="s">
        <v>70</v>
      </c>
    </row>
    <row r="1054" spans="2:7" ht="9.6" customHeight="1">
      <c r="B1054" s="35">
        <f t="shared" ref="B1054:B1068" si="60">B1053</f>
        <v>46213</v>
      </c>
      <c r="C1054" s="34" t="s">
        <v>70</v>
      </c>
      <c r="D1054" s="34" t="s">
        <v>205</v>
      </c>
      <c r="E1054" s="66" t="s">
        <v>28</v>
      </c>
      <c r="F1054" s="34" t="s">
        <v>1633</v>
      </c>
      <c r="G1054" s="34" t="s">
        <v>70</v>
      </c>
    </row>
    <row r="1055" spans="2:7" ht="9.6" customHeight="1">
      <c r="B1055" s="35">
        <f t="shared" si="60"/>
        <v>46213</v>
      </c>
      <c r="C1055" s="34" t="s">
        <v>1631</v>
      </c>
      <c r="D1055" s="34" t="s">
        <v>1634</v>
      </c>
      <c r="E1055" s="66" t="s">
        <v>28</v>
      </c>
      <c r="F1055" s="34" t="s">
        <v>1635</v>
      </c>
      <c r="G1055" s="34" t="s">
        <v>30</v>
      </c>
    </row>
    <row r="1056" spans="2:7" ht="9.6" customHeight="1">
      <c r="B1056" s="35">
        <f t="shared" si="60"/>
        <v>46213</v>
      </c>
      <c r="C1056" s="34" t="s">
        <v>83</v>
      </c>
      <c r="D1056" s="34" t="s">
        <v>1636</v>
      </c>
      <c r="E1056" s="66" t="s">
        <v>28</v>
      </c>
      <c r="F1056" s="34" t="s">
        <v>1637</v>
      </c>
      <c r="G1056" s="34" t="s">
        <v>1638</v>
      </c>
    </row>
    <row r="1057" spans="2:7" ht="9.6" customHeight="1">
      <c r="B1057" s="35">
        <f t="shared" si="60"/>
        <v>46213</v>
      </c>
      <c r="C1057" s="34" t="s">
        <v>83</v>
      </c>
      <c r="D1057" s="34" t="s">
        <v>207</v>
      </c>
      <c r="E1057" s="66" t="s">
        <v>28</v>
      </c>
      <c r="F1057" s="34" t="s">
        <v>1639</v>
      </c>
      <c r="G1057" s="34" t="s">
        <v>70</v>
      </c>
    </row>
    <row r="1058" spans="2:7" ht="9.6" customHeight="1">
      <c r="B1058" s="35">
        <f t="shared" si="60"/>
        <v>46213</v>
      </c>
      <c r="C1058" s="34" t="s">
        <v>83</v>
      </c>
      <c r="D1058" s="34" t="s">
        <v>1640</v>
      </c>
      <c r="E1058" s="66" t="s">
        <v>28</v>
      </c>
      <c r="F1058" s="34" t="s">
        <v>1641</v>
      </c>
      <c r="G1058" s="34" t="s">
        <v>30</v>
      </c>
    </row>
    <row r="1059" spans="2:7" ht="9.6" customHeight="1">
      <c r="B1059" s="35">
        <f t="shared" si="60"/>
        <v>46213</v>
      </c>
      <c r="C1059" s="34" t="s">
        <v>730</v>
      </c>
      <c r="D1059" s="34" t="s">
        <v>10</v>
      </c>
      <c r="E1059" s="66" t="s">
        <v>28</v>
      </c>
      <c r="F1059" s="34" t="s">
        <v>1642</v>
      </c>
      <c r="G1059" s="34" t="s">
        <v>1245</v>
      </c>
    </row>
    <row r="1060" spans="2:7" ht="9.6" customHeight="1">
      <c r="B1060" s="35">
        <f t="shared" si="60"/>
        <v>46213</v>
      </c>
      <c r="C1060" s="34" t="s">
        <v>1631</v>
      </c>
      <c r="D1060" s="34" t="s">
        <v>1643</v>
      </c>
      <c r="E1060" s="66" t="s">
        <v>28</v>
      </c>
      <c r="F1060" s="34" t="s">
        <v>1644</v>
      </c>
      <c r="G1060" s="34" t="s">
        <v>1645</v>
      </c>
    </row>
    <row r="1061" spans="2:7" ht="9.6" customHeight="1">
      <c r="B1061" s="35">
        <f t="shared" si="60"/>
        <v>46213</v>
      </c>
      <c r="C1061" s="34" t="s">
        <v>83</v>
      </c>
      <c r="D1061" s="34" t="s">
        <v>352</v>
      </c>
      <c r="E1061" s="66" t="s">
        <v>28</v>
      </c>
      <c r="F1061" s="36" t="s">
        <v>1646</v>
      </c>
      <c r="G1061" s="34" t="s">
        <v>83</v>
      </c>
    </row>
    <row r="1062" spans="2:7" ht="9.6" customHeight="1">
      <c r="B1062" s="35">
        <f t="shared" si="60"/>
        <v>46213</v>
      </c>
      <c r="C1062" s="34" t="s">
        <v>1647</v>
      </c>
      <c r="D1062" s="34" t="s">
        <v>19</v>
      </c>
      <c r="E1062" s="66" t="s">
        <v>11</v>
      </c>
      <c r="F1062" s="34" t="s">
        <v>1648</v>
      </c>
      <c r="G1062" s="34" t="s">
        <v>51</v>
      </c>
    </row>
    <row r="1063" spans="2:7" ht="9.6" customHeight="1">
      <c r="B1063" s="35">
        <f t="shared" si="60"/>
        <v>46213</v>
      </c>
      <c r="C1063" s="34" t="s">
        <v>1647</v>
      </c>
      <c r="D1063" s="34" t="s">
        <v>859</v>
      </c>
      <c r="E1063" s="66" t="s">
        <v>11</v>
      </c>
      <c r="F1063" s="34" t="s">
        <v>1649</v>
      </c>
      <c r="G1063" s="34" t="s">
        <v>30</v>
      </c>
    </row>
    <row r="1064" spans="2:7" ht="9.6" customHeight="1">
      <c r="B1064" s="35">
        <f t="shared" si="60"/>
        <v>46213</v>
      </c>
      <c r="C1064" s="34" t="s">
        <v>1650</v>
      </c>
      <c r="D1064" s="34" t="s">
        <v>1651</v>
      </c>
      <c r="E1064" s="66" t="s">
        <v>11</v>
      </c>
      <c r="F1064" s="34" t="s">
        <v>1652</v>
      </c>
      <c r="G1064" s="34" t="s">
        <v>51</v>
      </c>
    </row>
    <row r="1065" spans="2:7" ht="9.6" customHeight="1">
      <c r="B1065" s="35">
        <f t="shared" si="60"/>
        <v>46213</v>
      </c>
      <c r="C1065" s="34" t="s">
        <v>1653</v>
      </c>
      <c r="D1065" s="34" t="s">
        <v>859</v>
      </c>
      <c r="E1065" s="66" t="s">
        <v>11</v>
      </c>
      <c r="F1065" s="34" t="s">
        <v>1654</v>
      </c>
      <c r="G1065" s="34" t="s">
        <v>51</v>
      </c>
    </row>
    <row r="1066" spans="2:7" ht="9.6" customHeight="1">
      <c r="B1066" s="35">
        <f t="shared" si="60"/>
        <v>46213</v>
      </c>
      <c r="C1066" s="34" t="s">
        <v>1655</v>
      </c>
      <c r="D1066" s="34" t="s">
        <v>570</v>
      </c>
      <c r="E1066" s="66" t="s">
        <v>11</v>
      </c>
      <c r="F1066" s="34" t="s">
        <v>1656</v>
      </c>
      <c r="G1066" s="34" t="s">
        <v>51</v>
      </c>
    </row>
    <row r="1067" spans="2:7" ht="9.6" customHeight="1">
      <c r="B1067" s="35">
        <f t="shared" si="60"/>
        <v>46213</v>
      </c>
      <c r="C1067" s="34" t="s">
        <v>1657</v>
      </c>
      <c r="D1067" s="34" t="s">
        <v>19</v>
      </c>
      <c r="E1067" s="66" t="s">
        <v>11</v>
      </c>
      <c r="F1067" s="34" t="s">
        <v>1658</v>
      </c>
      <c r="G1067" s="34" t="s">
        <v>51</v>
      </c>
    </row>
    <row r="1068" spans="2:7" ht="9.6" customHeight="1">
      <c r="B1068" s="35">
        <f t="shared" si="60"/>
        <v>46213</v>
      </c>
      <c r="C1068" s="34" t="s">
        <v>1659</v>
      </c>
      <c r="D1068" s="34" t="s">
        <v>62</v>
      </c>
      <c r="E1068" s="66" t="s">
        <v>11</v>
      </c>
      <c r="F1068" s="34" t="s">
        <v>1660</v>
      </c>
      <c r="G1068" s="34" t="s">
        <v>51</v>
      </c>
    </row>
    <row r="1069" spans="2:7" ht="9.6" customHeight="1">
      <c r="B1069" s="32">
        <v>46214</v>
      </c>
      <c r="C1069" s="34" t="s">
        <v>1661</v>
      </c>
      <c r="D1069" s="34" t="s">
        <v>1662</v>
      </c>
      <c r="E1069" s="66" t="s">
        <v>11</v>
      </c>
      <c r="F1069" s="34" t="s">
        <v>1663</v>
      </c>
      <c r="G1069" s="34" t="s">
        <v>51</v>
      </c>
    </row>
    <row r="1070" spans="2:7" ht="9.6" customHeight="1">
      <c r="B1070" s="35">
        <f t="shared" ref="B1070:B1086" si="61">B1069</f>
        <v>46214</v>
      </c>
      <c r="C1070" s="34" t="s">
        <v>1664</v>
      </c>
      <c r="D1070" s="34" t="s">
        <v>1665</v>
      </c>
      <c r="E1070" s="66" t="s">
        <v>11</v>
      </c>
      <c r="F1070" s="34" t="s">
        <v>1666</v>
      </c>
      <c r="G1070" s="34" t="s">
        <v>51</v>
      </c>
    </row>
    <row r="1071" spans="2:7" ht="9.6" customHeight="1">
      <c r="B1071" s="35">
        <f t="shared" si="61"/>
        <v>46214</v>
      </c>
      <c r="C1071" s="34" t="s">
        <v>1667</v>
      </c>
      <c r="D1071" s="34" t="s">
        <v>1668</v>
      </c>
      <c r="E1071" s="66" t="s">
        <v>11</v>
      </c>
      <c r="F1071" s="34" t="s">
        <v>1669</v>
      </c>
      <c r="G1071" s="34" t="s">
        <v>51</v>
      </c>
    </row>
    <row r="1072" spans="2:7" ht="9.6" customHeight="1">
      <c r="B1072" s="35">
        <f t="shared" si="61"/>
        <v>46214</v>
      </c>
      <c r="C1072" s="34" t="s">
        <v>1670</v>
      </c>
      <c r="D1072" s="34" t="s">
        <v>389</v>
      </c>
      <c r="E1072" s="66" t="s">
        <v>11</v>
      </c>
      <c r="F1072" s="34" t="s">
        <v>1671</v>
      </c>
      <c r="G1072" s="34" t="s">
        <v>51</v>
      </c>
    </row>
    <row r="1073" spans="2:7" ht="9.6" customHeight="1">
      <c r="B1073" s="35">
        <f t="shared" si="61"/>
        <v>46214</v>
      </c>
      <c r="C1073" s="34" t="s">
        <v>176</v>
      </c>
      <c r="D1073" s="34" t="s">
        <v>1484</v>
      </c>
      <c r="E1073" s="66" t="s">
        <v>28</v>
      </c>
      <c r="F1073" s="34" t="s">
        <v>1672</v>
      </c>
      <c r="G1073" s="34" t="s">
        <v>1673</v>
      </c>
    </row>
    <row r="1074" spans="2:7" ht="9.6" customHeight="1">
      <c r="B1074" s="35">
        <f t="shared" si="61"/>
        <v>46214</v>
      </c>
      <c r="C1074" s="34" t="s">
        <v>176</v>
      </c>
      <c r="D1074" s="34" t="s">
        <v>1674</v>
      </c>
      <c r="E1074" s="66" t="s">
        <v>28</v>
      </c>
      <c r="F1074" s="34" t="s">
        <v>1675</v>
      </c>
      <c r="G1074" s="34" t="s">
        <v>1673</v>
      </c>
    </row>
    <row r="1075" spans="2:7" ht="9.6" customHeight="1">
      <c r="B1075" s="35">
        <f t="shared" si="61"/>
        <v>46214</v>
      </c>
      <c r="C1075" s="34" t="s">
        <v>1676</v>
      </c>
      <c r="D1075" s="34" t="s">
        <v>200</v>
      </c>
      <c r="E1075" s="66" t="s">
        <v>28</v>
      </c>
      <c r="F1075" s="42" t="s">
        <v>1677</v>
      </c>
      <c r="G1075" s="34" t="s">
        <v>51</v>
      </c>
    </row>
    <row r="1076" spans="2:7" ht="9.6" customHeight="1">
      <c r="B1076" s="35">
        <f t="shared" si="61"/>
        <v>46214</v>
      </c>
      <c r="C1076" s="34" t="s">
        <v>176</v>
      </c>
      <c r="D1076" s="34" t="s">
        <v>207</v>
      </c>
      <c r="E1076" s="66" t="s">
        <v>28</v>
      </c>
      <c r="F1076" s="42" t="s">
        <v>1678</v>
      </c>
      <c r="G1076" s="34" t="s">
        <v>51</v>
      </c>
    </row>
    <row r="1077" spans="2:7" ht="9.6" customHeight="1">
      <c r="B1077" s="35">
        <f t="shared" si="61"/>
        <v>46214</v>
      </c>
      <c r="C1077" s="34" t="s">
        <v>417</v>
      </c>
      <c r="D1077" s="34" t="s">
        <v>76</v>
      </c>
      <c r="E1077" s="66" t="s">
        <v>28</v>
      </c>
      <c r="F1077" s="34" t="s">
        <v>1679</v>
      </c>
      <c r="G1077" s="34" t="s">
        <v>417</v>
      </c>
    </row>
    <row r="1078" spans="2:7" ht="9.6" customHeight="1">
      <c r="B1078" s="35">
        <f t="shared" si="61"/>
        <v>46214</v>
      </c>
      <c r="C1078" s="34" t="s">
        <v>1680</v>
      </c>
      <c r="D1078" s="34" t="s">
        <v>612</v>
      </c>
      <c r="E1078" s="66" t="s">
        <v>11</v>
      </c>
      <c r="F1078" s="34" t="s">
        <v>1681</v>
      </c>
      <c r="G1078" s="34" t="s">
        <v>51</v>
      </c>
    </row>
    <row r="1079" spans="2:7" ht="9.6" customHeight="1">
      <c r="B1079" s="35">
        <f t="shared" si="61"/>
        <v>46214</v>
      </c>
      <c r="C1079" s="34" t="s">
        <v>1682</v>
      </c>
      <c r="D1079" s="34" t="s">
        <v>1683</v>
      </c>
      <c r="E1079" s="66" t="s">
        <v>11</v>
      </c>
      <c r="F1079" s="34" t="s">
        <v>1684</v>
      </c>
      <c r="G1079" s="34" t="s">
        <v>1685</v>
      </c>
    </row>
    <row r="1080" spans="2:7" ht="9.6" customHeight="1">
      <c r="B1080" s="35">
        <f t="shared" si="61"/>
        <v>46214</v>
      </c>
      <c r="C1080" s="34" t="s">
        <v>1686</v>
      </c>
      <c r="D1080" s="34" t="s">
        <v>1687</v>
      </c>
      <c r="E1080" s="66" t="s">
        <v>11</v>
      </c>
      <c r="F1080" s="34" t="s">
        <v>1580</v>
      </c>
      <c r="G1080" s="34" t="s">
        <v>51</v>
      </c>
    </row>
    <row r="1081" spans="2:7" ht="9.6" customHeight="1">
      <c r="B1081" s="35">
        <f t="shared" si="61"/>
        <v>46214</v>
      </c>
      <c r="C1081" s="34" t="s">
        <v>35</v>
      </c>
      <c r="D1081" s="34" t="s">
        <v>261</v>
      </c>
      <c r="E1081" s="66" t="s">
        <v>11</v>
      </c>
      <c r="F1081" s="34" t="s">
        <v>1688</v>
      </c>
      <c r="G1081" s="34" t="s">
        <v>30</v>
      </c>
    </row>
    <row r="1082" spans="2:7" ht="9.6" customHeight="1">
      <c r="B1082" s="35">
        <f t="shared" si="61"/>
        <v>46214</v>
      </c>
      <c r="C1082" s="34" t="s">
        <v>1689</v>
      </c>
      <c r="D1082" s="34" t="s">
        <v>94</v>
      </c>
      <c r="E1082" s="66" t="s">
        <v>11</v>
      </c>
      <c r="F1082" s="36" t="s">
        <v>1690</v>
      </c>
      <c r="G1082" s="34" t="s">
        <v>51</v>
      </c>
    </row>
    <row r="1083" spans="2:7" ht="9.6" customHeight="1">
      <c r="B1083" s="35">
        <f t="shared" si="61"/>
        <v>46214</v>
      </c>
      <c r="C1083" s="34" t="s">
        <v>35</v>
      </c>
      <c r="D1083" s="34" t="s">
        <v>1068</v>
      </c>
      <c r="E1083" s="66" t="s">
        <v>11</v>
      </c>
      <c r="F1083" s="34" t="s">
        <v>1691</v>
      </c>
      <c r="G1083" s="34" t="s">
        <v>41</v>
      </c>
    </row>
    <row r="1084" spans="2:7" ht="9.6" customHeight="1">
      <c r="B1084" s="35">
        <f t="shared" si="61"/>
        <v>46214</v>
      </c>
      <c r="C1084" s="34" t="s">
        <v>1692</v>
      </c>
      <c r="D1084" s="34" t="s">
        <v>200</v>
      </c>
      <c r="E1084" s="66" t="s">
        <v>11</v>
      </c>
      <c r="F1084" s="36" t="s">
        <v>1693</v>
      </c>
      <c r="G1084" s="34" t="s">
        <v>51</v>
      </c>
    </row>
    <row r="1085" spans="2:7" ht="9.6" customHeight="1">
      <c r="B1085" s="35">
        <f t="shared" si="61"/>
        <v>46214</v>
      </c>
      <c r="C1085" s="34" t="s">
        <v>1694</v>
      </c>
      <c r="D1085" s="34" t="s">
        <v>385</v>
      </c>
      <c r="E1085" s="66" t="s">
        <v>11</v>
      </c>
      <c r="F1085" s="34" t="s">
        <v>1695</v>
      </c>
      <c r="G1085" s="34" t="s">
        <v>51</v>
      </c>
    </row>
    <row r="1086" spans="2:7" ht="9.6" customHeight="1">
      <c r="B1086" s="35">
        <f t="shared" si="61"/>
        <v>46214</v>
      </c>
      <c r="C1086" s="34" t="s">
        <v>35</v>
      </c>
      <c r="D1086" s="34" t="s">
        <v>456</v>
      </c>
      <c r="E1086" s="66" t="s">
        <v>11</v>
      </c>
      <c r="F1086" s="33" t="s">
        <v>1696</v>
      </c>
      <c r="G1086" s="34" t="s">
        <v>30</v>
      </c>
    </row>
    <row r="1087" spans="2:7" ht="9.6" customHeight="1">
      <c r="B1087" s="32">
        <v>46215</v>
      </c>
      <c r="C1087" s="34" t="s">
        <v>1697</v>
      </c>
      <c r="D1087" s="34" t="s">
        <v>385</v>
      </c>
      <c r="E1087" s="66" t="s">
        <v>11</v>
      </c>
      <c r="F1087" s="34" t="s">
        <v>1698</v>
      </c>
      <c r="G1087" s="34" t="s">
        <v>34</v>
      </c>
    </row>
    <row r="1088" spans="2:7" ht="9.6" customHeight="1">
      <c r="B1088" s="35">
        <f t="shared" ref="B1088:B1107" si="62">B1087</f>
        <v>46215</v>
      </c>
      <c r="C1088" s="34" t="s">
        <v>1699</v>
      </c>
      <c r="D1088" s="34" t="s">
        <v>1700</v>
      </c>
      <c r="E1088" s="66" t="s">
        <v>11</v>
      </c>
      <c r="F1088" s="34" t="s">
        <v>1701</v>
      </c>
      <c r="G1088" s="34" t="s">
        <v>51</v>
      </c>
    </row>
    <row r="1089" spans="2:7" ht="9.6" customHeight="1">
      <c r="B1089" s="35">
        <f t="shared" si="62"/>
        <v>46215</v>
      </c>
      <c r="C1089" s="34" t="s">
        <v>260</v>
      </c>
      <c r="D1089" s="34" t="s">
        <v>62</v>
      </c>
      <c r="E1089" s="66" t="s">
        <v>28</v>
      </c>
      <c r="F1089" s="36" t="s">
        <v>1702</v>
      </c>
      <c r="G1089" s="34" t="s">
        <v>34</v>
      </c>
    </row>
    <row r="1090" spans="2:7" ht="9.6" customHeight="1">
      <c r="B1090" s="35">
        <f t="shared" si="62"/>
        <v>46215</v>
      </c>
      <c r="C1090" s="34" t="s">
        <v>27</v>
      </c>
      <c r="D1090" s="34" t="s">
        <v>1703</v>
      </c>
      <c r="E1090" s="66" t="s">
        <v>28</v>
      </c>
      <c r="F1090" s="36" t="s">
        <v>1704</v>
      </c>
      <c r="G1090" s="34" t="s">
        <v>30</v>
      </c>
    </row>
    <row r="1091" spans="2:7" ht="9.6" customHeight="1">
      <c r="B1091" s="35">
        <f t="shared" si="62"/>
        <v>46215</v>
      </c>
      <c r="C1091" s="34" t="s">
        <v>27</v>
      </c>
      <c r="D1091" s="34" t="s">
        <v>213</v>
      </c>
      <c r="E1091" s="66" t="s">
        <v>28</v>
      </c>
      <c r="F1091" s="36" t="s">
        <v>1705</v>
      </c>
      <c r="G1091" s="34" t="s">
        <v>70</v>
      </c>
    </row>
    <row r="1092" spans="2:7" ht="9.6" customHeight="1">
      <c r="B1092" s="35">
        <f t="shared" si="62"/>
        <v>46215</v>
      </c>
      <c r="C1092" s="34" t="s">
        <v>260</v>
      </c>
      <c r="D1092" s="34" t="s">
        <v>385</v>
      </c>
      <c r="E1092" s="66" t="s">
        <v>28</v>
      </c>
      <c r="F1092" s="36" t="s">
        <v>1706</v>
      </c>
      <c r="G1092" s="34" t="s">
        <v>70</v>
      </c>
    </row>
    <row r="1093" spans="2:7" ht="9.6" customHeight="1">
      <c r="B1093" s="35">
        <f t="shared" si="62"/>
        <v>46215</v>
      </c>
      <c r="C1093" s="34" t="s">
        <v>1415</v>
      </c>
      <c r="D1093" s="34" t="s">
        <v>76</v>
      </c>
      <c r="E1093" s="66" t="s">
        <v>28</v>
      </c>
      <c r="F1093" s="36" t="s">
        <v>1707</v>
      </c>
      <c r="G1093" s="34" t="s">
        <v>34</v>
      </c>
    </row>
    <row r="1094" spans="2:7" ht="9.6" customHeight="1">
      <c r="B1094" s="35">
        <f t="shared" si="62"/>
        <v>46215</v>
      </c>
      <c r="C1094" s="34" t="s">
        <v>176</v>
      </c>
      <c r="D1094" s="34" t="s">
        <v>103</v>
      </c>
      <c r="E1094" s="66" t="s">
        <v>28</v>
      </c>
      <c r="F1094" s="36" t="s">
        <v>1708</v>
      </c>
      <c r="G1094" s="34" t="s">
        <v>70</v>
      </c>
    </row>
    <row r="1095" spans="2:7" ht="9.6" customHeight="1">
      <c r="B1095" s="35">
        <f t="shared" si="62"/>
        <v>46215</v>
      </c>
      <c r="C1095" s="34" t="s">
        <v>1415</v>
      </c>
      <c r="D1095" s="34" t="s">
        <v>38</v>
      </c>
      <c r="E1095" s="66" t="s">
        <v>28</v>
      </c>
      <c r="F1095" s="36" t="s">
        <v>1709</v>
      </c>
      <c r="G1095" s="34" t="s">
        <v>70</v>
      </c>
    </row>
    <row r="1096" spans="2:7" ht="9.6" customHeight="1">
      <c r="B1096" s="35">
        <f t="shared" si="62"/>
        <v>46215</v>
      </c>
      <c r="C1096" s="34" t="s">
        <v>27</v>
      </c>
      <c r="D1096" s="34" t="s">
        <v>385</v>
      </c>
      <c r="E1096" s="66" t="s">
        <v>28</v>
      </c>
      <c r="F1096" s="36" t="s">
        <v>1710</v>
      </c>
      <c r="G1096" s="34" t="s">
        <v>70</v>
      </c>
    </row>
    <row r="1097" spans="2:7" ht="9.6" customHeight="1">
      <c r="B1097" s="35">
        <f t="shared" si="62"/>
        <v>46215</v>
      </c>
      <c r="C1097" s="34" t="s">
        <v>260</v>
      </c>
      <c r="D1097" s="34" t="s">
        <v>403</v>
      </c>
      <c r="E1097" s="66" t="s">
        <v>28</v>
      </c>
      <c r="F1097" s="36" t="s">
        <v>1711</v>
      </c>
      <c r="G1097" s="34" t="s">
        <v>70</v>
      </c>
    </row>
    <row r="1098" spans="2:7" ht="9.6" customHeight="1">
      <c r="B1098" s="35">
        <f t="shared" si="62"/>
        <v>46215</v>
      </c>
      <c r="C1098" s="34" t="s">
        <v>27</v>
      </c>
      <c r="D1098" s="34" t="s">
        <v>1712</v>
      </c>
      <c r="E1098" s="66" t="s">
        <v>28</v>
      </c>
      <c r="F1098" s="36" t="s">
        <v>1713</v>
      </c>
      <c r="G1098" s="34" t="s">
        <v>30</v>
      </c>
    </row>
    <row r="1099" spans="2:7" ht="9.6" customHeight="1">
      <c r="B1099" s="35">
        <f t="shared" si="62"/>
        <v>46215</v>
      </c>
      <c r="C1099" s="34" t="s">
        <v>176</v>
      </c>
      <c r="D1099" s="34" t="s">
        <v>389</v>
      </c>
      <c r="E1099" s="66" t="s">
        <v>28</v>
      </c>
      <c r="F1099" s="36" t="s">
        <v>1714</v>
      </c>
      <c r="G1099" s="34" t="s">
        <v>30</v>
      </c>
    </row>
    <row r="1100" spans="2:7" ht="9.6" customHeight="1">
      <c r="B1100" s="35">
        <f t="shared" si="62"/>
        <v>46215</v>
      </c>
      <c r="C1100" s="34" t="s">
        <v>27</v>
      </c>
      <c r="D1100" s="34" t="s">
        <v>42</v>
      </c>
      <c r="E1100" s="66" t="s">
        <v>28</v>
      </c>
      <c r="F1100" s="36" t="s">
        <v>1715</v>
      </c>
      <c r="G1100" s="34" t="s">
        <v>30</v>
      </c>
    </row>
    <row r="1101" spans="2:7" ht="9.6" customHeight="1">
      <c r="B1101" s="35">
        <f t="shared" si="62"/>
        <v>46215</v>
      </c>
      <c r="C1101" s="34" t="s">
        <v>840</v>
      </c>
      <c r="D1101" s="34" t="s">
        <v>213</v>
      </c>
      <c r="E1101" s="66" t="s">
        <v>28</v>
      </c>
      <c r="F1101" s="36" t="s">
        <v>1716</v>
      </c>
      <c r="G1101" s="34" t="s">
        <v>371</v>
      </c>
    </row>
    <row r="1102" spans="2:7" ht="9.6" customHeight="1">
      <c r="B1102" s="35">
        <f t="shared" si="62"/>
        <v>46215</v>
      </c>
      <c r="C1102" s="34" t="s">
        <v>176</v>
      </c>
      <c r="D1102" s="34" t="s">
        <v>1070</v>
      </c>
      <c r="E1102" s="66" t="s">
        <v>28</v>
      </c>
      <c r="F1102" s="36" t="s">
        <v>1270</v>
      </c>
      <c r="G1102" s="34" t="s">
        <v>70</v>
      </c>
    </row>
    <row r="1103" spans="2:7" ht="9.6" customHeight="1">
      <c r="B1103" s="35">
        <f t="shared" si="62"/>
        <v>46215</v>
      </c>
      <c r="C1103" s="34" t="s">
        <v>27</v>
      </c>
      <c r="D1103" s="34" t="s">
        <v>62</v>
      </c>
      <c r="E1103" s="66" t="s">
        <v>28</v>
      </c>
      <c r="F1103" s="36" t="s">
        <v>1717</v>
      </c>
      <c r="G1103" s="34" t="s">
        <v>70</v>
      </c>
    </row>
    <row r="1104" spans="2:7" ht="9.6" customHeight="1">
      <c r="B1104" s="35">
        <f t="shared" si="62"/>
        <v>46215</v>
      </c>
      <c r="C1104" s="34" t="s">
        <v>840</v>
      </c>
      <c r="D1104" s="34" t="s">
        <v>116</v>
      </c>
      <c r="E1104" s="66" t="s">
        <v>28</v>
      </c>
      <c r="F1104" s="43" t="s">
        <v>1411</v>
      </c>
      <c r="G1104" s="34" t="s">
        <v>1245</v>
      </c>
    </row>
    <row r="1105" spans="2:7" ht="9.6" customHeight="1">
      <c r="B1105" s="35">
        <f t="shared" si="62"/>
        <v>46215</v>
      </c>
      <c r="C1105" s="34" t="s">
        <v>176</v>
      </c>
      <c r="D1105" s="34" t="s">
        <v>213</v>
      </c>
      <c r="E1105" s="66" t="s">
        <v>28</v>
      </c>
      <c r="F1105" s="36" t="s">
        <v>941</v>
      </c>
      <c r="G1105" s="34" t="s">
        <v>70</v>
      </c>
    </row>
    <row r="1106" spans="2:7" ht="9.6" customHeight="1">
      <c r="B1106" s="35">
        <f t="shared" si="62"/>
        <v>46215</v>
      </c>
      <c r="C1106" s="34" t="s">
        <v>83</v>
      </c>
      <c r="D1106" s="34" t="s">
        <v>42</v>
      </c>
      <c r="E1106" s="66" t="s">
        <v>28</v>
      </c>
      <c r="F1106" s="36" t="s">
        <v>1718</v>
      </c>
      <c r="G1106" s="34" t="s">
        <v>34</v>
      </c>
    </row>
    <row r="1107" spans="2:7" ht="9.6" customHeight="1">
      <c r="B1107" s="35">
        <f t="shared" si="62"/>
        <v>46215</v>
      </c>
      <c r="C1107" s="34" t="s">
        <v>1081</v>
      </c>
      <c r="D1107" s="34" t="s">
        <v>1719</v>
      </c>
      <c r="E1107" s="66" t="s">
        <v>28</v>
      </c>
      <c r="F1107" s="36" t="s">
        <v>1720</v>
      </c>
      <c r="G1107" s="34" t="s">
        <v>30</v>
      </c>
    </row>
    <row r="1108" spans="2:7" ht="9.6" customHeight="1">
      <c r="B1108" s="32">
        <v>46216</v>
      </c>
      <c r="C1108" s="34" t="s">
        <v>1721</v>
      </c>
      <c r="D1108" s="34" t="s">
        <v>374</v>
      </c>
      <c r="E1108" s="66" t="s">
        <v>28</v>
      </c>
      <c r="F1108" s="34" t="s">
        <v>1722</v>
      </c>
      <c r="G1108" s="34" t="s">
        <v>34</v>
      </c>
    </row>
    <row r="1109" spans="2:7" ht="9.6" customHeight="1">
      <c r="B1109" s="35">
        <f t="shared" ref="B1109:B1116" si="63">B1108</f>
        <v>46216</v>
      </c>
      <c r="C1109" s="34" t="s">
        <v>1723</v>
      </c>
      <c r="D1109" s="34" t="s">
        <v>1132</v>
      </c>
      <c r="E1109" s="66" t="s">
        <v>28</v>
      </c>
      <c r="F1109" s="34" t="s">
        <v>1724</v>
      </c>
      <c r="G1109" s="34" t="s">
        <v>34</v>
      </c>
    </row>
    <row r="1110" spans="2:7" ht="9.6" customHeight="1">
      <c r="B1110" s="35">
        <f t="shared" si="63"/>
        <v>46216</v>
      </c>
      <c r="C1110" s="34" t="s">
        <v>1725</v>
      </c>
      <c r="D1110" s="34" t="s">
        <v>1726</v>
      </c>
      <c r="E1110" s="66" t="s">
        <v>28</v>
      </c>
      <c r="F1110" s="34" t="s">
        <v>1727</v>
      </c>
      <c r="G1110" s="34" t="s">
        <v>34</v>
      </c>
    </row>
    <row r="1111" spans="2:7" ht="9.6" customHeight="1">
      <c r="B1111" s="35">
        <f t="shared" si="63"/>
        <v>46216</v>
      </c>
      <c r="C1111" s="34" t="s">
        <v>1725</v>
      </c>
      <c r="D1111" s="34" t="s">
        <v>1726</v>
      </c>
      <c r="E1111" s="66" t="s">
        <v>28</v>
      </c>
      <c r="F1111" s="34" t="s">
        <v>1728</v>
      </c>
      <c r="G1111" s="34" t="s">
        <v>1729</v>
      </c>
    </row>
    <row r="1112" spans="2:7" ht="9.6" customHeight="1">
      <c r="B1112" s="35">
        <f t="shared" si="63"/>
        <v>46216</v>
      </c>
      <c r="C1112" s="34" t="s">
        <v>1725</v>
      </c>
      <c r="D1112" s="34" t="s">
        <v>1132</v>
      </c>
      <c r="E1112" s="66" t="s">
        <v>28</v>
      </c>
      <c r="F1112" s="34" t="s">
        <v>1730</v>
      </c>
      <c r="G1112" s="34" t="s">
        <v>34</v>
      </c>
    </row>
    <row r="1113" spans="2:7" ht="9.6" customHeight="1">
      <c r="B1113" s="35">
        <f t="shared" si="63"/>
        <v>46216</v>
      </c>
      <c r="C1113" s="34" t="s">
        <v>1725</v>
      </c>
      <c r="D1113" s="34" t="s">
        <v>207</v>
      </c>
      <c r="E1113" s="66" t="s">
        <v>28</v>
      </c>
      <c r="F1113" s="34" t="s">
        <v>1731</v>
      </c>
      <c r="G1113" s="34" t="s">
        <v>41</v>
      </c>
    </row>
    <row r="1114" spans="2:7" ht="9.6" customHeight="1">
      <c r="B1114" s="35">
        <f t="shared" si="63"/>
        <v>46216</v>
      </c>
      <c r="C1114" s="34" t="s">
        <v>1732</v>
      </c>
      <c r="D1114" s="34" t="s">
        <v>394</v>
      </c>
      <c r="E1114" s="66" t="s">
        <v>28</v>
      </c>
      <c r="F1114" s="34" t="s">
        <v>1733</v>
      </c>
      <c r="G1114" s="34" t="s">
        <v>371</v>
      </c>
    </row>
    <row r="1115" spans="2:7" ht="9.6" customHeight="1">
      <c r="B1115" s="35">
        <f t="shared" si="63"/>
        <v>46216</v>
      </c>
      <c r="C1115" s="34" t="s">
        <v>34</v>
      </c>
      <c r="D1115" s="34" t="s">
        <v>1640</v>
      </c>
      <c r="E1115" s="66" t="s">
        <v>28</v>
      </c>
      <c r="F1115" s="36" t="s">
        <v>1734</v>
      </c>
      <c r="G1115" s="34" t="s">
        <v>30</v>
      </c>
    </row>
    <row r="1116" spans="2:7" ht="9.6" customHeight="1">
      <c r="B1116" s="35">
        <f t="shared" si="63"/>
        <v>46216</v>
      </c>
      <c r="C1116" s="34" t="s">
        <v>1732</v>
      </c>
      <c r="D1116" s="34" t="s">
        <v>1735</v>
      </c>
      <c r="E1116" s="66" t="s">
        <v>28</v>
      </c>
      <c r="F1116" s="36" t="s">
        <v>1736</v>
      </c>
      <c r="G1116" s="34" t="s">
        <v>371</v>
      </c>
    </row>
    <row r="1117" spans="2:7" ht="9.6" customHeight="1">
      <c r="B1117" s="32">
        <v>46217</v>
      </c>
      <c r="C1117" s="34" t="s">
        <v>1737</v>
      </c>
      <c r="D1117" s="34" t="s">
        <v>42</v>
      </c>
      <c r="E1117" s="66" t="s">
        <v>28</v>
      </c>
      <c r="F1117" s="34" t="s">
        <v>1738</v>
      </c>
      <c r="G1117" s="34" t="s">
        <v>83</v>
      </c>
    </row>
    <row r="1118" spans="2:7" ht="9.6" customHeight="1">
      <c r="B1118" s="35">
        <f t="shared" ref="B1118:B1132" si="64">B1117</f>
        <v>46217</v>
      </c>
      <c r="C1118" s="34" t="s">
        <v>1737</v>
      </c>
      <c r="D1118" s="34" t="s">
        <v>1739</v>
      </c>
      <c r="E1118" s="66" t="s">
        <v>28</v>
      </c>
      <c r="F1118" s="34" t="s">
        <v>1740</v>
      </c>
      <c r="G1118" s="34" t="s">
        <v>83</v>
      </c>
    </row>
    <row r="1119" spans="2:7" ht="9.6" customHeight="1">
      <c r="B1119" s="35">
        <f t="shared" si="64"/>
        <v>46217</v>
      </c>
      <c r="C1119" s="34" t="s">
        <v>90</v>
      </c>
      <c r="D1119" s="34" t="s">
        <v>76</v>
      </c>
      <c r="E1119" s="66" t="s">
        <v>28</v>
      </c>
      <c r="F1119" s="34" t="s">
        <v>1741</v>
      </c>
      <c r="G1119" s="34" t="s">
        <v>83</v>
      </c>
    </row>
    <row r="1120" spans="2:7" ht="9.6" customHeight="1">
      <c r="B1120" s="35">
        <f t="shared" si="64"/>
        <v>46217</v>
      </c>
      <c r="C1120" s="34" t="s">
        <v>1737</v>
      </c>
      <c r="D1120" s="34" t="s">
        <v>1742</v>
      </c>
      <c r="E1120" s="66" t="s">
        <v>28</v>
      </c>
      <c r="F1120" s="34" t="s">
        <v>1743</v>
      </c>
      <c r="G1120" s="34" t="s">
        <v>83</v>
      </c>
    </row>
    <row r="1121" spans="2:7" ht="9.6" customHeight="1">
      <c r="B1121" s="35">
        <f t="shared" si="64"/>
        <v>46217</v>
      </c>
      <c r="C1121" s="34" t="s">
        <v>90</v>
      </c>
      <c r="D1121" s="34" t="s">
        <v>44</v>
      </c>
      <c r="E1121" s="66" t="s">
        <v>28</v>
      </c>
      <c r="F1121" s="34" t="s">
        <v>1744</v>
      </c>
      <c r="G1121" s="34" t="s">
        <v>83</v>
      </c>
    </row>
    <row r="1122" spans="2:7" ht="9.6" customHeight="1">
      <c r="B1122" s="35">
        <f t="shared" si="64"/>
        <v>46217</v>
      </c>
      <c r="C1122" s="34" t="s">
        <v>90</v>
      </c>
      <c r="D1122" s="34" t="s">
        <v>401</v>
      </c>
      <c r="E1122" s="66" t="s">
        <v>28</v>
      </c>
      <c r="F1122" s="34" t="s">
        <v>1745</v>
      </c>
      <c r="G1122" s="34" t="s">
        <v>83</v>
      </c>
    </row>
    <row r="1123" spans="2:7" ht="9.6" customHeight="1">
      <c r="B1123" s="35">
        <f t="shared" si="64"/>
        <v>46217</v>
      </c>
      <c r="C1123" s="34" t="s">
        <v>1746</v>
      </c>
      <c r="D1123" s="34" t="s">
        <v>209</v>
      </c>
      <c r="E1123" s="66" t="s">
        <v>28</v>
      </c>
      <c r="F1123" s="34" t="s">
        <v>1747</v>
      </c>
      <c r="G1123" s="34" t="s">
        <v>83</v>
      </c>
    </row>
    <row r="1124" spans="2:7" ht="9.6" customHeight="1">
      <c r="B1124" s="35">
        <f t="shared" si="64"/>
        <v>46217</v>
      </c>
      <c r="C1124" s="34" t="s">
        <v>1746</v>
      </c>
      <c r="D1124" s="34" t="s">
        <v>44</v>
      </c>
      <c r="E1124" s="66" t="s">
        <v>28</v>
      </c>
      <c r="F1124" s="34" t="s">
        <v>1748</v>
      </c>
      <c r="G1124" s="34" t="s">
        <v>83</v>
      </c>
    </row>
    <row r="1125" spans="2:7" ht="9.6" customHeight="1">
      <c r="B1125" s="35">
        <f t="shared" si="64"/>
        <v>46217</v>
      </c>
      <c r="C1125" s="34" t="s">
        <v>1746</v>
      </c>
      <c r="D1125" s="34" t="s">
        <v>1749</v>
      </c>
      <c r="E1125" s="66" t="s">
        <v>28</v>
      </c>
      <c r="F1125" s="34" t="s">
        <v>1750</v>
      </c>
      <c r="G1125" s="34" t="s">
        <v>83</v>
      </c>
    </row>
    <row r="1126" spans="2:7" ht="9.6" customHeight="1">
      <c r="B1126" s="35">
        <f t="shared" si="64"/>
        <v>46217</v>
      </c>
      <c r="C1126" s="34" t="s">
        <v>1746</v>
      </c>
      <c r="D1126" s="34" t="s">
        <v>1751</v>
      </c>
      <c r="E1126" s="66" t="s">
        <v>28</v>
      </c>
      <c r="F1126" s="34" t="s">
        <v>1752</v>
      </c>
      <c r="G1126" s="34" t="s">
        <v>83</v>
      </c>
    </row>
    <row r="1127" spans="2:7" ht="9.6" customHeight="1">
      <c r="B1127" s="35">
        <f t="shared" si="64"/>
        <v>46217</v>
      </c>
      <c r="C1127" s="34" t="s">
        <v>35</v>
      </c>
      <c r="D1127" s="34" t="s">
        <v>44</v>
      </c>
      <c r="E1127" s="66" t="s">
        <v>11</v>
      </c>
      <c r="F1127" s="34" t="s">
        <v>1753</v>
      </c>
      <c r="G1127" s="34" t="s">
        <v>30</v>
      </c>
    </row>
    <row r="1128" spans="2:7" ht="9.6" customHeight="1">
      <c r="B1128" s="35">
        <f t="shared" si="64"/>
        <v>46217</v>
      </c>
      <c r="C1128" s="34" t="s">
        <v>35</v>
      </c>
      <c r="D1128" s="34" t="s">
        <v>62</v>
      </c>
      <c r="E1128" s="66" t="s">
        <v>11</v>
      </c>
      <c r="F1128" s="34" t="s">
        <v>817</v>
      </c>
      <c r="G1128" s="34" t="s">
        <v>1531</v>
      </c>
    </row>
    <row r="1129" spans="2:7" ht="9.6" customHeight="1">
      <c r="B1129" s="35">
        <f t="shared" si="64"/>
        <v>46217</v>
      </c>
      <c r="C1129" s="34" t="s">
        <v>1754</v>
      </c>
      <c r="D1129" s="34" t="s">
        <v>52</v>
      </c>
      <c r="E1129" s="66" t="s">
        <v>11</v>
      </c>
      <c r="F1129" s="34" t="s">
        <v>1755</v>
      </c>
      <c r="G1129" s="34" t="s">
        <v>51</v>
      </c>
    </row>
    <row r="1130" spans="2:7" ht="9.6" customHeight="1">
      <c r="B1130" s="35">
        <f t="shared" si="64"/>
        <v>46217</v>
      </c>
      <c r="C1130" s="34" t="s">
        <v>35</v>
      </c>
      <c r="D1130" s="34" t="s">
        <v>1756</v>
      </c>
      <c r="E1130" s="66" t="s">
        <v>11</v>
      </c>
      <c r="F1130" s="34" t="s">
        <v>1757</v>
      </c>
      <c r="G1130" s="34" t="s">
        <v>30</v>
      </c>
    </row>
    <row r="1131" spans="2:7" ht="9.6" customHeight="1">
      <c r="B1131" s="35">
        <f t="shared" si="64"/>
        <v>46217</v>
      </c>
      <c r="C1131" s="34" t="s">
        <v>1758</v>
      </c>
      <c r="D1131" s="34" t="s">
        <v>42</v>
      </c>
      <c r="E1131" s="66" t="s">
        <v>11</v>
      </c>
      <c r="F1131" s="34" t="s">
        <v>1759</v>
      </c>
      <c r="G1131" s="34" t="s">
        <v>34</v>
      </c>
    </row>
    <row r="1132" spans="2:7" ht="9.6" customHeight="1">
      <c r="B1132" s="35">
        <f t="shared" si="64"/>
        <v>46217</v>
      </c>
      <c r="C1132" s="34" t="s">
        <v>1760</v>
      </c>
      <c r="D1132" s="34" t="s">
        <v>385</v>
      </c>
      <c r="E1132" s="66" t="s">
        <v>11</v>
      </c>
      <c r="F1132" s="34" t="s">
        <v>1761</v>
      </c>
      <c r="G1132" s="34" t="s">
        <v>51</v>
      </c>
    </row>
    <row r="1133" spans="2:7" ht="9.6" customHeight="1">
      <c r="B1133" s="32">
        <v>46218</v>
      </c>
      <c r="C1133" s="34" t="s">
        <v>1762</v>
      </c>
      <c r="D1133" s="34" t="s">
        <v>19</v>
      </c>
      <c r="E1133" s="66" t="s">
        <v>11</v>
      </c>
      <c r="F1133" s="34" t="s">
        <v>1763</v>
      </c>
      <c r="G1133" s="34" t="s">
        <v>51</v>
      </c>
    </row>
    <row r="1134" spans="2:7" ht="9.6" customHeight="1">
      <c r="B1134" s="35">
        <f t="shared" ref="B1134:B1153" si="65">B1133</f>
        <v>46218</v>
      </c>
      <c r="C1134" s="34" t="s">
        <v>176</v>
      </c>
      <c r="D1134" s="34" t="s">
        <v>1163</v>
      </c>
      <c r="E1134" s="66" t="s">
        <v>11</v>
      </c>
      <c r="F1134" s="34" t="s">
        <v>1164</v>
      </c>
      <c r="G1134" s="34" t="s">
        <v>21</v>
      </c>
    </row>
    <row r="1135" spans="2:7" ht="9.6" customHeight="1">
      <c r="B1135" s="35">
        <f t="shared" si="65"/>
        <v>46218</v>
      </c>
      <c r="C1135" s="34" t="s">
        <v>1764</v>
      </c>
      <c r="D1135" s="34" t="s">
        <v>1765</v>
      </c>
      <c r="E1135" s="66" t="s">
        <v>11</v>
      </c>
      <c r="F1135" s="34" t="s">
        <v>1766</v>
      </c>
      <c r="G1135" s="34" t="s">
        <v>41</v>
      </c>
    </row>
    <row r="1136" spans="2:7" ht="9.6" customHeight="1">
      <c r="B1136" s="35">
        <f t="shared" si="65"/>
        <v>46218</v>
      </c>
      <c r="C1136" s="34" t="s">
        <v>1767</v>
      </c>
      <c r="D1136" s="34" t="s">
        <v>62</v>
      </c>
      <c r="E1136" s="66" t="s">
        <v>11</v>
      </c>
      <c r="F1136" s="34" t="s">
        <v>1768</v>
      </c>
      <c r="G1136" s="34" t="s">
        <v>51</v>
      </c>
    </row>
    <row r="1137" spans="2:7" ht="9.6" customHeight="1">
      <c r="B1137" s="35">
        <f t="shared" si="65"/>
        <v>46218</v>
      </c>
      <c r="C1137" s="34" t="s">
        <v>1769</v>
      </c>
      <c r="D1137" s="34" t="s">
        <v>52</v>
      </c>
      <c r="E1137" s="66" t="s">
        <v>11</v>
      </c>
      <c r="F1137" s="34" t="s">
        <v>1770</v>
      </c>
      <c r="G1137" s="34" t="s">
        <v>51</v>
      </c>
    </row>
    <row r="1138" spans="2:7" ht="9.6" customHeight="1">
      <c r="B1138" s="35">
        <f t="shared" si="65"/>
        <v>46218</v>
      </c>
      <c r="C1138" s="34" t="s">
        <v>1771</v>
      </c>
      <c r="D1138" s="34" t="s">
        <v>44</v>
      </c>
      <c r="E1138" s="66" t="s">
        <v>28</v>
      </c>
      <c r="F1138" s="34" t="s">
        <v>1772</v>
      </c>
      <c r="G1138" s="34" t="s">
        <v>51</v>
      </c>
    </row>
    <row r="1139" spans="2:7" ht="9.6" customHeight="1">
      <c r="B1139" s="35">
        <f t="shared" si="65"/>
        <v>46218</v>
      </c>
      <c r="C1139" s="34" t="s">
        <v>1737</v>
      </c>
      <c r="D1139" s="34" t="s">
        <v>1773</v>
      </c>
      <c r="E1139" s="66" t="s">
        <v>28</v>
      </c>
      <c r="F1139" s="34" t="s">
        <v>1774</v>
      </c>
      <c r="G1139" s="34" t="s">
        <v>51</v>
      </c>
    </row>
    <row r="1140" spans="2:7" ht="9.6" customHeight="1">
      <c r="B1140" s="35">
        <f t="shared" si="65"/>
        <v>46218</v>
      </c>
      <c r="C1140" s="34" t="s">
        <v>1737</v>
      </c>
      <c r="D1140" s="34" t="s">
        <v>1773</v>
      </c>
      <c r="E1140" s="66" t="s">
        <v>28</v>
      </c>
      <c r="F1140" s="34" t="s">
        <v>1775</v>
      </c>
      <c r="G1140" s="34" t="s">
        <v>51</v>
      </c>
    </row>
    <row r="1141" spans="2:7" ht="9.6" customHeight="1">
      <c r="B1141" s="35">
        <f t="shared" si="65"/>
        <v>46218</v>
      </c>
      <c r="C1141" s="34" t="s">
        <v>1737</v>
      </c>
      <c r="D1141" s="34" t="s">
        <v>1773</v>
      </c>
      <c r="E1141" s="66" t="s">
        <v>28</v>
      </c>
      <c r="F1141" s="34" t="s">
        <v>1776</v>
      </c>
      <c r="G1141" s="34" t="s">
        <v>51</v>
      </c>
    </row>
    <row r="1142" spans="2:7" ht="9.6" customHeight="1">
      <c r="B1142" s="35">
        <f t="shared" si="65"/>
        <v>46218</v>
      </c>
      <c r="C1142" s="34" t="s">
        <v>1737</v>
      </c>
      <c r="D1142" s="34" t="s">
        <v>62</v>
      </c>
      <c r="E1142" s="66" t="s">
        <v>28</v>
      </c>
      <c r="F1142" s="36" t="s">
        <v>1777</v>
      </c>
      <c r="G1142" s="34" t="s">
        <v>51</v>
      </c>
    </row>
    <row r="1143" spans="2:7" ht="9.6" customHeight="1">
      <c r="B1143" s="35">
        <f t="shared" si="65"/>
        <v>46218</v>
      </c>
      <c r="C1143" s="34" t="s">
        <v>1737</v>
      </c>
      <c r="D1143" s="34" t="s">
        <v>1484</v>
      </c>
      <c r="E1143" s="66" t="s">
        <v>28</v>
      </c>
      <c r="F1143" s="34" t="s">
        <v>1778</v>
      </c>
      <c r="G1143" s="34" t="s">
        <v>51</v>
      </c>
    </row>
    <row r="1144" spans="2:7" ht="9.6" customHeight="1">
      <c r="B1144" s="35">
        <f t="shared" si="65"/>
        <v>46218</v>
      </c>
      <c r="C1144" s="34" t="s">
        <v>1737</v>
      </c>
      <c r="D1144" s="34" t="s">
        <v>1779</v>
      </c>
      <c r="E1144" s="66" t="s">
        <v>28</v>
      </c>
      <c r="F1144" s="34" t="s">
        <v>1780</v>
      </c>
      <c r="G1144" s="34" t="s">
        <v>51</v>
      </c>
    </row>
    <row r="1145" spans="2:7" ht="9.6" customHeight="1">
      <c r="B1145" s="35">
        <f t="shared" si="65"/>
        <v>46218</v>
      </c>
      <c r="C1145" s="34" t="s">
        <v>1737</v>
      </c>
      <c r="D1145" s="34" t="s">
        <v>1781</v>
      </c>
      <c r="E1145" s="66" t="s">
        <v>11</v>
      </c>
      <c r="F1145" s="34" t="s">
        <v>1782</v>
      </c>
      <c r="G1145" s="34" t="s">
        <v>51</v>
      </c>
    </row>
    <row r="1146" spans="2:7" ht="9.6" customHeight="1">
      <c r="B1146" s="35">
        <f t="shared" si="65"/>
        <v>46218</v>
      </c>
      <c r="C1146" s="34" t="s">
        <v>1611</v>
      </c>
      <c r="D1146" s="34" t="s">
        <v>19</v>
      </c>
      <c r="E1146" s="66" t="s">
        <v>11</v>
      </c>
      <c r="F1146" s="34" t="s">
        <v>629</v>
      </c>
      <c r="G1146" s="34" t="s">
        <v>51</v>
      </c>
    </row>
    <row r="1147" spans="2:7" ht="9.6" customHeight="1">
      <c r="B1147" s="35">
        <f t="shared" si="65"/>
        <v>46218</v>
      </c>
      <c r="C1147" s="34" t="s">
        <v>35</v>
      </c>
      <c r="D1147" s="34" t="s">
        <v>385</v>
      </c>
      <c r="E1147" s="66" t="s">
        <v>11</v>
      </c>
      <c r="F1147" s="34" t="s">
        <v>1783</v>
      </c>
      <c r="G1147" s="34" t="s">
        <v>64</v>
      </c>
    </row>
    <row r="1148" spans="2:7" ht="9.6" customHeight="1">
      <c r="B1148" s="35">
        <f t="shared" si="65"/>
        <v>46218</v>
      </c>
      <c r="C1148" s="34" t="s">
        <v>1784</v>
      </c>
      <c r="D1148" s="34" t="s">
        <v>19</v>
      </c>
      <c r="E1148" s="66" t="s">
        <v>11</v>
      </c>
      <c r="F1148" s="34" t="s">
        <v>1785</v>
      </c>
      <c r="G1148" s="34" t="s">
        <v>51</v>
      </c>
    </row>
    <row r="1149" spans="2:7" ht="9.6" customHeight="1">
      <c r="B1149" s="35">
        <f t="shared" si="65"/>
        <v>46218</v>
      </c>
      <c r="C1149" s="34" t="s">
        <v>35</v>
      </c>
      <c r="D1149" s="34" t="s">
        <v>385</v>
      </c>
      <c r="E1149" s="66" t="s">
        <v>11</v>
      </c>
      <c r="F1149" s="34" t="s">
        <v>817</v>
      </c>
      <c r="G1149" s="34" t="s">
        <v>1531</v>
      </c>
    </row>
    <row r="1150" spans="2:7" ht="9.6" customHeight="1">
      <c r="B1150" s="35">
        <f t="shared" si="65"/>
        <v>46218</v>
      </c>
      <c r="C1150" s="34" t="s">
        <v>1786</v>
      </c>
      <c r="D1150" s="34" t="s">
        <v>132</v>
      </c>
      <c r="E1150" s="66" t="s">
        <v>11</v>
      </c>
      <c r="F1150" s="33" t="s">
        <v>1787</v>
      </c>
      <c r="G1150" s="34" t="s">
        <v>51</v>
      </c>
    </row>
    <row r="1151" spans="2:7" ht="9.6" customHeight="1">
      <c r="B1151" s="35">
        <f t="shared" si="65"/>
        <v>46218</v>
      </c>
      <c r="C1151" s="34" t="s">
        <v>1788</v>
      </c>
      <c r="D1151" s="34" t="s">
        <v>462</v>
      </c>
      <c r="E1151" s="66" t="s">
        <v>11</v>
      </c>
      <c r="F1151" s="34" t="s">
        <v>1540</v>
      </c>
      <c r="G1151" s="34" t="s">
        <v>51</v>
      </c>
    </row>
    <row r="1152" spans="2:7" ht="9.6" customHeight="1">
      <c r="B1152" s="35">
        <f t="shared" si="65"/>
        <v>46218</v>
      </c>
      <c r="C1152" s="34" t="s">
        <v>1789</v>
      </c>
      <c r="D1152" s="34" t="s">
        <v>19</v>
      </c>
      <c r="E1152" s="66" t="s">
        <v>11</v>
      </c>
      <c r="F1152" s="34" t="s">
        <v>1790</v>
      </c>
      <c r="G1152" s="34" t="s">
        <v>51</v>
      </c>
    </row>
    <row r="1153" spans="2:7" ht="9.6" customHeight="1">
      <c r="B1153" s="35">
        <f t="shared" si="65"/>
        <v>46218</v>
      </c>
      <c r="C1153" s="34" t="s">
        <v>1791</v>
      </c>
      <c r="D1153" s="34" t="s">
        <v>19</v>
      </c>
      <c r="E1153" s="66" t="s">
        <v>11</v>
      </c>
      <c r="F1153" s="34" t="s">
        <v>1792</v>
      </c>
      <c r="G1153" s="34" t="s">
        <v>51</v>
      </c>
    </row>
    <row r="1154" spans="2:7" ht="9.6" customHeight="1">
      <c r="B1154" s="32">
        <v>46219</v>
      </c>
      <c r="C1154" s="34" t="s">
        <v>1793</v>
      </c>
      <c r="D1154" s="34" t="s">
        <v>19</v>
      </c>
      <c r="E1154" s="66" t="s">
        <v>11</v>
      </c>
      <c r="F1154" s="34" t="s">
        <v>1794</v>
      </c>
      <c r="G1154" s="34" t="s">
        <v>51</v>
      </c>
    </row>
    <row r="1155" spans="2:7" ht="9.6" customHeight="1">
      <c r="B1155" s="35">
        <f t="shared" ref="B1155:B1168" si="66">B1154</f>
        <v>46219</v>
      </c>
      <c r="C1155" s="34" t="s">
        <v>35</v>
      </c>
      <c r="D1155" s="34" t="s">
        <v>1795</v>
      </c>
      <c r="E1155" s="66" t="s">
        <v>11</v>
      </c>
      <c r="F1155" s="34" t="s">
        <v>1796</v>
      </c>
      <c r="G1155" s="34" t="s">
        <v>1797</v>
      </c>
    </row>
    <row r="1156" spans="2:7" ht="9.6" customHeight="1">
      <c r="B1156" s="35">
        <f t="shared" si="66"/>
        <v>46219</v>
      </c>
      <c r="C1156" s="34" t="s">
        <v>35</v>
      </c>
      <c r="D1156" s="34" t="s">
        <v>52</v>
      </c>
      <c r="E1156" s="66" t="s">
        <v>11</v>
      </c>
      <c r="F1156" s="34" t="s">
        <v>1798</v>
      </c>
      <c r="G1156" s="34" t="s">
        <v>54</v>
      </c>
    </row>
    <row r="1157" spans="2:7" ht="9.6" customHeight="1">
      <c r="B1157" s="35">
        <f t="shared" si="66"/>
        <v>46219</v>
      </c>
      <c r="C1157" s="34" t="s">
        <v>1799</v>
      </c>
      <c r="D1157" s="34" t="s">
        <v>256</v>
      </c>
      <c r="E1157" s="66" t="s">
        <v>11</v>
      </c>
      <c r="F1157" s="34" t="s">
        <v>1362</v>
      </c>
      <c r="G1157" s="34" t="s">
        <v>51</v>
      </c>
    </row>
    <row r="1158" spans="2:7" ht="9.6" customHeight="1">
      <c r="B1158" s="35">
        <f t="shared" si="66"/>
        <v>46219</v>
      </c>
      <c r="C1158" s="34" t="s">
        <v>83</v>
      </c>
      <c r="D1158" s="34" t="s">
        <v>1800</v>
      </c>
      <c r="E1158" s="66" t="s">
        <v>28</v>
      </c>
      <c r="F1158" s="36" t="s">
        <v>1801</v>
      </c>
      <c r="G1158" s="34" t="s">
        <v>1802</v>
      </c>
    </row>
    <row r="1159" spans="2:7" ht="9.6" customHeight="1">
      <c r="B1159" s="35">
        <f t="shared" si="66"/>
        <v>46219</v>
      </c>
      <c r="C1159" s="34" t="s">
        <v>176</v>
      </c>
      <c r="D1159" s="34" t="s">
        <v>1773</v>
      </c>
      <c r="E1159" s="66" t="s">
        <v>28</v>
      </c>
      <c r="F1159" s="36" t="s">
        <v>1803</v>
      </c>
      <c r="G1159" s="34" t="s">
        <v>1245</v>
      </c>
    </row>
    <row r="1160" spans="2:7" ht="9.6" customHeight="1">
      <c r="B1160" s="35">
        <f t="shared" si="66"/>
        <v>46219</v>
      </c>
      <c r="C1160" s="34" t="s">
        <v>27</v>
      </c>
      <c r="D1160" s="34" t="s">
        <v>207</v>
      </c>
      <c r="E1160" s="66" t="s">
        <v>28</v>
      </c>
      <c r="F1160" s="34" t="s">
        <v>1804</v>
      </c>
      <c r="G1160" s="34" t="s">
        <v>70</v>
      </c>
    </row>
    <row r="1161" spans="2:7" ht="9.6" customHeight="1">
      <c r="B1161" s="35">
        <f t="shared" si="66"/>
        <v>46219</v>
      </c>
      <c r="C1161" s="34" t="s">
        <v>840</v>
      </c>
      <c r="D1161" s="34" t="s">
        <v>62</v>
      </c>
      <c r="E1161" s="66" t="s">
        <v>28</v>
      </c>
      <c r="F1161" s="36" t="s">
        <v>1805</v>
      </c>
      <c r="G1161" s="34" t="s">
        <v>30</v>
      </c>
    </row>
    <row r="1162" spans="2:7" ht="9.6" customHeight="1">
      <c r="B1162" s="35">
        <f t="shared" si="66"/>
        <v>46219</v>
      </c>
      <c r="C1162" s="34" t="s">
        <v>176</v>
      </c>
      <c r="D1162" s="34" t="s">
        <v>207</v>
      </c>
      <c r="E1162" s="66" t="s">
        <v>28</v>
      </c>
      <c r="F1162" s="36" t="s">
        <v>1806</v>
      </c>
      <c r="G1162" s="34" t="s">
        <v>54</v>
      </c>
    </row>
    <row r="1163" spans="2:7" ht="9.6" customHeight="1">
      <c r="B1163" s="35">
        <f t="shared" si="66"/>
        <v>46219</v>
      </c>
      <c r="C1163" s="34" t="s">
        <v>176</v>
      </c>
      <c r="D1163" s="34" t="s">
        <v>207</v>
      </c>
      <c r="E1163" s="66" t="s">
        <v>28</v>
      </c>
      <c r="F1163" s="36" t="s">
        <v>1807</v>
      </c>
      <c r="G1163" s="34" t="s">
        <v>70</v>
      </c>
    </row>
    <row r="1164" spans="2:7" ht="9.6" customHeight="1">
      <c r="B1164" s="35">
        <f t="shared" si="66"/>
        <v>46219</v>
      </c>
      <c r="C1164" s="34" t="s">
        <v>840</v>
      </c>
      <c r="D1164" s="34" t="s">
        <v>1481</v>
      </c>
      <c r="E1164" s="66" t="s">
        <v>11</v>
      </c>
      <c r="F1164" s="36" t="s">
        <v>1808</v>
      </c>
      <c r="G1164" s="34" t="s">
        <v>30</v>
      </c>
    </row>
    <row r="1165" spans="2:7" ht="9.6" customHeight="1">
      <c r="B1165" s="35">
        <f t="shared" si="66"/>
        <v>46219</v>
      </c>
      <c r="C1165" s="34" t="s">
        <v>176</v>
      </c>
      <c r="D1165" s="34" t="s">
        <v>42</v>
      </c>
      <c r="E1165" s="66" t="s">
        <v>11</v>
      </c>
      <c r="F1165" s="36" t="s">
        <v>1809</v>
      </c>
      <c r="G1165" s="34" t="s">
        <v>1797</v>
      </c>
    </row>
    <row r="1166" spans="2:7" ht="9.6" customHeight="1">
      <c r="B1166" s="35">
        <f t="shared" si="66"/>
        <v>46219</v>
      </c>
      <c r="C1166" s="34" t="s">
        <v>1810</v>
      </c>
      <c r="D1166" s="34" t="s">
        <v>207</v>
      </c>
      <c r="E1166" s="66" t="s">
        <v>11</v>
      </c>
      <c r="F1166" s="36" t="s">
        <v>1811</v>
      </c>
      <c r="G1166" s="34" t="s">
        <v>30</v>
      </c>
    </row>
    <row r="1167" spans="2:7" ht="9.6" customHeight="1">
      <c r="B1167" s="35">
        <f t="shared" si="66"/>
        <v>46219</v>
      </c>
      <c r="C1167" s="34" t="s">
        <v>176</v>
      </c>
      <c r="D1167" s="34" t="s">
        <v>19</v>
      </c>
      <c r="E1167" s="66" t="s">
        <v>11</v>
      </c>
      <c r="F1167" s="36" t="s">
        <v>1812</v>
      </c>
      <c r="G1167" s="34" t="s">
        <v>30</v>
      </c>
    </row>
    <row r="1168" spans="2:7" ht="9.6" customHeight="1">
      <c r="B1168" s="35">
        <f t="shared" si="66"/>
        <v>46219</v>
      </c>
      <c r="C1168" s="34" t="s">
        <v>1813</v>
      </c>
      <c r="D1168" s="34" t="s">
        <v>94</v>
      </c>
      <c r="E1168" s="66" t="s">
        <v>11</v>
      </c>
      <c r="F1168" s="36" t="s">
        <v>1814</v>
      </c>
      <c r="G1168" s="34" t="s">
        <v>30</v>
      </c>
    </row>
    <row r="1169" spans="2:7" ht="9.6" customHeight="1">
      <c r="B1169" s="32">
        <v>46220</v>
      </c>
      <c r="C1169" s="34" t="s">
        <v>1815</v>
      </c>
      <c r="D1169" s="34" t="s">
        <v>94</v>
      </c>
      <c r="E1169" s="66" t="s">
        <v>11</v>
      </c>
      <c r="F1169" s="34" t="s">
        <v>1816</v>
      </c>
      <c r="G1169" s="34" t="s">
        <v>30</v>
      </c>
    </row>
    <row r="1170" spans="2:7" ht="9.6" customHeight="1">
      <c r="B1170" s="35">
        <f t="shared" ref="B1170:B1173" si="67">B1169</f>
        <v>46220</v>
      </c>
      <c r="C1170" s="34" t="s">
        <v>1817</v>
      </c>
      <c r="D1170" s="34" t="s">
        <v>76</v>
      </c>
      <c r="E1170" s="66" t="s">
        <v>11</v>
      </c>
      <c r="F1170" s="36" t="s">
        <v>1818</v>
      </c>
      <c r="G1170" s="34" t="s">
        <v>30</v>
      </c>
    </row>
    <row r="1171" spans="2:7" ht="9.6" customHeight="1">
      <c r="B1171" s="35">
        <f t="shared" si="67"/>
        <v>46220</v>
      </c>
      <c r="C1171" s="34" t="s">
        <v>1819</v>
      </c>
      <c r="D1171" s="34" t="s">
        <v>76</v>
      </c>
      <c r="E1171" s="66" t="s">
        <v>28</v>
      </c>
      <c r="F1171" s="36" t="s">
        <v>1820</v>
      </c>
      <c r="G1171" s="34"/>
    </row>
    <row r="1172" spans="2:7" ht="9.6" customHeight="1">
      <c r="B1172" s="35">
        <f t="shared" si="67"/>
        <v>46220</v>
      </c>
      <c r="C1172" s="34" t="s">
        <v>840</v>
      </c>
      <c r="D1172" s="34" t="s">
        <v>207</v>
      </c>
      <c r="E1172" s="66" t="s">
        <v>11</v>
      </c>
      <c r="F1172" s="36" t="s">
        <v>1821</v>
      </c>
      <c r="G1172" s="34" t="s">
        <v>30</v>
      </c>
    </row>
    <row r="1173" spans="2:7" ht="9.6" customHeight="1">
      <c r="B1173" s="35">
        <f t="shared" si="67"/>
        <v>46220</v>
      </c>
      <c r="C1173" s="34" t="s">
        <v>840</v>
      </c>
      <c r="D1173" s="34" t="s">
        <v>1822</v>
      </c>
      <c r="E1173" s="66" t="s">
        <v>11</v>
      </c>
      <c r="F1173" s="36" t="s">
        <v>1823</v>
      </c>
      <c r="G1173" s="34" t="s">
        <v>70</v>
      </c>
    </row>
    <row r="1174" spans="2:7" ht="9.6" customHeight="1">
      <c r="B1174" s="32">
        <v>46221</v>
      </c>
      <c r="C1174" s="34" t="s">
        <v>1824</v>
      </c>
      <c r="D1174" s="34" t="s">
        <v>1825</v>
      </c>
      <c r="E1174" s="66" t="s">
        <v>11</v>
      </c>
      <c r="F1174" s="36" t="s">
        <v>1826</v>
      </c>
      <c r="G1174" s="34" t="s">
        <v>83</v>
      </c>
    </row>
    <row r="1175" spans="2:7" ht="9.6" customHeight="1">
      <c r="B1175" s="35">
        <f t="shared" ref="B1175:B1190" si="68">B1174</f>
        <v>46221</v>
      </c>
      <c r="C1175" s="34" t="s">
        <v>1824</v>
      </c>
      <c r="D1175" s="34" t="s">
        <v>1827</v>
      </c>
      <c r="E1175" s="66" t="s">
        <v>11</v>
      </c>
      <c r="F1175" s="36" t="s">
        <v>1828</v>
      </c>
      <c r="G1175" s="34" t="s">
        <v>30</v>
      </c>
    </row>
    <row r="1176" spans="2:7" ht="9.6" customHeight="1">
      <c r="B1176" s="35">
        <f t="shared" si="68"/>
        <v>46221</v>
      </c>
      <c r="C1176" s="34" t="s">
        <v>1829</v>
      </c>
      <c r="D1176" s="34" t="s">
        <v>207</v>
      </c>
      <c r="E1176" s="66" t="s">
        <v>28</v>
      </c>
      <c r="F1176" s="34" t="s">
        <v>1830</v>
      </c>
      <c r="G1176" s="34" t="s">
        <v>83</v>
      </c>
    </row>
    <row r="1177" spans="2:7" ht="9.6" customHeight="1">
      <c r="B1177" s="35">
        <f t="shared" si="68"/>
        <v>46221</v>
      </c>
      <c r="C1177" s="34" t="s">
        <v>1081</v>
      </c>
      <c r="D1177" s="34" t="s">
        <v>42</v>
      </c>
      <c r="E1177" s="66" t="s">
        <v>28</v>
      </c>
      <c r="F1177" s="34" t="s">
        <v>1831</v>
      </c>
      <c r="G1177" s="34" t="s">
        <v>1832</v>
      </c>
    </row>
    <row r="1178" spans="2:7" ht="9.6" customHeight="1">
      <c r="B1178" s="35">
        <f t="shared" si="68"/>
        <v>46221</v>
      </c>
      <c r="C1178" s="34" t="s">
        <v>1081</v>
      </c>
      <c r="D1178" s="34" t="s">
        <v>42</v>
      </c>
      <c r="E1178" s="66" t="s">
        <v>28</v>
      </c>
      <c r="F1178" s="34" t="s">
        <v>1833</v>
      </c>
      <c r="G1178" s="34" t="s">
        <v>30</v>
      </c>
    </row>
    <row r="1179" spans="2:7" ht="9.6" customHeight="1">
      <c r="B1179" s="35">
        <f t="shared" si="68"/>
        <v>46221</v>
      </c>
      <c r="C1179" s="34" t="s">
        <v>1834</v>
      </c>
      <c r="D1179" s="34" t="s">
        <v>1835</v>
      </c>
      <c r="E1179" s="66" t="s">
        <v>28</v>
      </c>
      <c r="F1179" s="34" t="s">
        <v>1836</v>
      </c>
      <c r="G1179" s="34" t="s">
        <v>83</v>
      </c>
    </row>
    <row r="1180" spans="2:7" ht="9.6" customHeight="1">
      <c r="B1180" s="35">
        <f t="shared" si="68"/>
        <v>46221</v>
      </c>
      <c r="C1180" s="34" t="s">
        <v>1837</v>
      </c>
      <c r="D1180" s="34" t="s">
        <v>15</v>
      </c>
      <c r="E1180" s="66" t="s">
        <v>28</v>
      </c>
      <c r="F1180" s="34" t="s">
        <v>1838</v>
      </c>
      <c r="G1180" s="34" t="s">
        <v>83</v>
      </c>
    </row>
    <row r="1181" spans="2:7" ht="9.6" customHeight="1">
      <c r="B1181" s="35">
        <f t="shared" si="68"/>
        <v>46221</v>
      </c>
      <c r="C1181" s="34" t="s">
        <v>1839</v>
      </c>
      <c r="D1181" s="34" t="s">
        <v>1840</v>
      </c>
      <c r="E1181" s="66" t="s">
        <v>28</v>
      </c>
      <c r="F1181" s="34" t="s">
        <v>1841</v>
      </c>
      <c r="G1181" s="34" t="s">
        <v>83</v>
      </c>
    </row>
    <row r="1182" spans="2:7" ht="9.6" customHeight="1">
      <c r="B1182" s="35">
        <f t="shared" si="68"/>
        <v>46221</v>
      </c>
      <c r="C1182" s="34" t="s">
        <v>1842</v>
      </c>
      <c r="D1182" s="34" t="s">
        <v>716</v>
      </c>
      <c r="E1182" s="66" t="s">
        <v>11</v>
      </c>
      <c r="F1182" s="34" t="s">
        <v>1843</v>
      </c>
      <c r="G1182" s="34" t="s">
        <v>51</v>
      </c>
    </row>
    <row r="1183" spans="2:7" ht="9.6" customHeight="1">
      <c r="B1183" s="35">
        <f t="shared" si="68"/>
        <v>46221</v>
      </c>
      <c r="C1183" s="34" t="s">
        <v>1844</v>
      </c>
      <c r="D1183" s="34" t="s">
        <v>385</v>
      </c>
      <c r="E1183" s="66" t="s">
        <v>11</v>
      </c>
      <c r="F1183" s="34" t="s">
        <v>1845</v>
      </c>
      <c r="G1183" s="34" t="s">
        <v>51</v>
      </c>
    </row>
    <row r="1184" spans="2:7" ht="9.6" customHeight="1">
      <c r="B1184" s="35">
        <f t="shared" si="68"/>
        <v>46221</v>
      </c>
      <c r="C1184" s="34" t="s">
        <v>829</v>
      </c>
      <c r="D1184" s="34" t="s">
        <v>19</v>
      </c>
      <c r="E1184" s="66" t="s">
        <v>11</v>
      </c>
      <c r="F1184" s="34" t="s">
        <v>1846</v>
      </c>
      <c r="G1184" s="34" t="s">
        <v>21</v>
      </c>
    </row>
    <row r="1185" spans="2:7" ht="9.6" customHeight="1">
      <c r="B1185" s="35">
        <f t="shared" si="68"/>
        <v>46221</v>
      </c>
      <c r="C1185" s="34" t="s">
        <v>1847</v>
      </c>
      <c r="D1185" s="34" t="s">
        <v>385</v>
      </c>
      <c r="E1185" s="66" t="s">
        <v>11</v>
      </c>
      <c r="F1185" s="34" t="s">
        <v>1848</v>
      </c>
      <c r="G1185" s="34" t="s">
        <v>51</v>
      </c>
    </row>
    <row r="1186" spans="2:7" ht="9.6" customHeight="1">
      <c r="B1186" s="35">
        <f t="shared" si="68"/>
        <v>46221</v>
      </c>
      <c r="C1186" s="34" t="s">
        <v>1849</v>
      </c>
      <c r="D1186" s="34" t="s">
        <v>62</v>
      </c>
      <c r="E1186" s="66" t="s">
        <v>11</v>
      </c>
      <c r="F1186" s="34" t="s">
        <v>1850</v>
      </c>
      <c r="G1186" s="34" t="s">
        <v>51</v>
      </c>
    </row>
    <row r="1187" spans="2:7" ht="9.6" customHeight="1">
      <c r="B1187" s="35">
        <f t="shared" si="68"/>
        <v>46221</v>
      </c>
      <c r="C1187" s="34" t="s">
        <v>1851</v>
      </c>
      <c r="D1187" s="34" t="s">
        <v>62</v>
      </c>
      <c r="E1187" s="66" t="s">
        <v>11</v>
      </c>
      <c r="F1187" s="34" t="s">
        <v>1852</v>
      </c>
      <c r="G1187" s="34" t="s">
        <v>51</v>
      </c>
    </row>
    <row r="1188" spans="2:7" ht="9.6" customHeight="1">
      <c r="B1188" s="35">
        <f t="shared" si="68"/>
        <v>46221</v>
      </c>
      <c r="C1188" s="34" t="s">
        <v>1853</v>
      </c>
      <c r="D1188" s="34" t="s">
        <v>385</v>
      </c>
      <c r="E1188" s="66" t="s">
        <v>11</v>
      </c>
      <c r="F1188" s="34" t="s">
        <v>1854</v>
      </c>
      <c r="G1188" s="34" t="s">
        <v>51</v>
      </c>
    </row>
    <row r="1189" spans="2:7" ht="9.6" customHeight="1">
      <c r="B1189" s="35">
        <f t="shared" si="68"/>
        <v>46221</v>
      </c>
      <c r="C1189" s="34" t="s">
        <v>1855</v>
      </c>
      <c r="D1189" s="34" t="s">
        <v>385</v>
      </c>
      <c r="E1189" s="66" t="s">
        <v>11</v>
      </c>
      <c r="F1189" s="34" t="s">
        <v>1856</v>
      </c>
      <c r="G1189" s="34" t="s">
        <v>51</v>
      </c>
    </row>
    <row r="1190" spans="2:7" ht="9.6" customHeight="1">
      <c r="B1190" s="35">
        <f t="shared" si="68"/>
        <v>46221</v>
      </c>
      <c r="C1190" s="34" t="s">
        <v>1857</v>
      </c>
      <c r="D1190" s="34" t="s">
        <v>407</v>
      </c>
      <c r="E1190" s="66" t="s">
        <v>11</v>
      </c>
      <c r="F1190" s="34" t="s">
        <v>1858</v>
      </c>
      <c r="G1190" s="34" t="s">
        <v>51</v>
      </c>
    </row>
    <row r="1191" spans="2:7" ht="9.6" customHeight="1">
      <c r="B1191" s="32">
        <v>46222</v>
      </c>
      <c r="C1191" s="34" t="s">
        <v>1859</v>
      </c>
      <c r="D1191" s="34" t="s">
        <v>1860</v>
      </c>
      <c r="E1191" s="66" t="s">
        <v>11</v>
      </c>
      <c r="F1191" s="34" t="s">
        <v>1861</v>
      </c>
      <c r="G1191" s="34" t="s">
        <v>51</v>
      </c>
    </row>
    <row r="1192" spans="2:7" ht="9.6" customHeight="1">
      <c r="B1192" s="35">
        <f t="shared" ref="B1192:B1205" si="69">B1191</f>
        <v>46222</v>
      </c>
      <c r="C1192" s="34" t="s">
        <v>1862</v>
      </c>
      <c r="D1192" s="34" t="s">
        <v>1860</v>
      </c>
      <c r="E1192" s="66" t="s">
        <v>11</v>
      </c>
      <c r="F1192" s="34" t="s">
        <v>1863</v>
      </c>
      <c r="G1192" s="34" t="s">
        <v>51</v>
      </c>
    </row>
    <row r="1193" spans="2:7" ht="9.6" customHeight="1">
      <c r="B1193" s="35">
        <f t="shared" si="69"/>
        <v>46222</v>
      </c>
      <c r="C1193" s="34" t="s">
        <v>1864</v>
      </c>
      <c r="D1193" s="34" t="s">
        <v>1860</v>
      </c>
      <c r="E1193" s="66" t="s">
        <v>11</v>
      </c>
      <c r="F1193" s="34" t="s">
        <v>1865</v>
      </c>
      <c r="G1193" s="34" t="s">
        <v>51</v>
      </c>
    </row>
    <row r="1194" spans="2:7" ht="9.6" customHeight="1">
      <c r="B1194" s="35">
        <f t="shared" si="69"/>
        <v>46222</v>
      </c>
      <c r="C1194" s="34" t="s">
        <v>1866</v>
      </c>
      <c r="D1194" s="34" t="s">
        <v>1867</v>
      </c>
      <c r="E1194" s="66" t="s">
        <v>11</v>
      </c>
      <c r="F1194" s="34" t="s">
        <v>1540</v>
      </c>
      <c r="G1194" s="34" t="s">
        <v>51</v>
      </c>
    </row>
    <row r="1195" spans="2:7" ht="9.6" customHeight="1">
      <c r="B1195" s="35">
        <f t="shared" si="69"/>
        <v>46222</v>
      </c>
      <c r="C1195" s="34" t="s">
        <v>1868</v>
      </c>
      <c r="D1195" s="34" t="s">
        <v>132</v>
      </c>
      <c r="E1195" s="66" t="s">
        <v>11</v>
      </c>
      <c r="F1195" s="34" t="s">
        <v>1869</v>
      </c>
      <c r="G1195" s="34" t="s">
        <v>51</v>
      </c>
    </row>
    <row r="1196" spans="2:7" ht="9.6" customHeight="1">
      <c r="B1196" s="35">
        <f t="shared" si="69"/>
        <v>46222</v>
      </c>
      <c r="C1196" s="34" t="s">
        <v>1870</v>
      </c>
      <c r="D1196" s="34" t="s">
        <v>62</v>
      </c>
      <c r="E1196" s="66" t="s">
        <v>11</v>
      </c>
      <c r="F1196" s="34" t="s">
        <v>1871</v>
      </c>
      <c r="G1196" s="34" t="s">
        <v>51</v>
      </c>
    </row>
    <row r="1197" spans="2:7" ht="9.6" customHeight="1">
      <c r="B1197" s="35">
        <f t="shared" si="69"/>
        <v>46222</v>
      </c>
      <c r="C1197" s="34" t="s">
        <v>176</v>
      </c>
      <c r="D1197" s="34" t="s">
        <v>771</v>
      </c>
      <c r="E1197" s="66" t="s">
        <v>28</v>
      </c>
      <c r="F1197" s="34" t="s">
        <v>941</v>
      </c>
      <c r="G1197" s="34" t="s">
        <v>51</v>
      </c>
    </row>
    <row r="1198" spans="2:7" ht="9.6" customHeight="1">
      <c r="B1198" s="35">
        <f t="shared" si="69"/>
        <v>46222</v>
      </c>
      <c r="C1198" s="34" t="s">
        <v>1872</v>
      </c>
      <c r="D1198" s="34" t="s">
        <v>10</v>
      </c>
      <c r="E1198" s="66" t="s">
        <v>28</v>
      </c>
      <c r="F1198" s="34" t="s">
        <v>1873</v>
      </c>
      <c r="G1198" s="34" t="s">
        <v>51</v>
      </c>
    </row>
    <row r="1199" spans="2:7" ht="9.6" customHeight="1">
      <c r="B1199" s="35">
        <f t="shared" si="69"/>
        <v>46222</v>
      </c>
      <c r="C1199" s="34" t="s">
        <v>1874</v>
      </c>
      <c r="D1199" s="34" t="s">
        <v>1875</v>
      </c>
      <c r="E1199" s="66" t="s">
        <v>28</v>
      </c>
      <c r="F1199" s="34" t="s">
        <v>1876</v>
      </c>
      <c r="G1199" s="34" t="s">
        <v>1877</v>
      </c>
    </row>
    <row r="1200" spans="2:7" ht="9.6" customHeight="1">
      <c r="B1200" s="35">
        <f t="shared" si="69"/>
        <v>46222</v>
      </c>
      <c r="C1200" s="34" t="s">
        <v>1878</v>
      </c>
      <c r="D1200" s="34" t="s">
        <v>207</v>
      </c>
      <c r="E1200" s="66" t="s">
        <v>28</v>
      </c>
      <c r="F1200" s="34" t="s">
        <v>1879</v>
      </c>
      <c r="G1200" s="34" t="s">
        <v>1673</v>
      </c>
    </row>
    <row r="1201" spans="2:7" ht="9.6" customHeight="1">
      <c r="B1201" s="35">
        <f t="shared" si="69"/>
        <v>46222</v>
      </c>
      <c r="C1201" s="34" t="s">
        <v>1880</v>
      </c>
      <c r="D1201" s="34" t="s">
        <v>62</v>
      </c>
      <c r="E1201" s="66" t="s">
        <v>11</v>
      </c>
      <c r="F1201" s="34" t="s">
        <v>1881</v>
      </c>
      <c r="G1201" s="34" t="s">
        <v>51</v>
      </c>
    </row>
    <row r="1202" spans="2:7" ht="9.6" customHeight="1">
      <c r="B1202" s="35">
        <f t="shared" si="69"/>
        <v>46222</v>
      </c>
      <c r="C1202" s="34" t="s">
        <v>1882</v>
      </c>
      <c r="D1202" s="34" t="s">
        <v>1665</v>
      </c>
      <c r="E1202" s="66" t="s">
        <v>11</v>
      </c>
      <c r="F1202" s="34" t="s">
        <v>1883</v>
      </c>
      <c r="G1202" s="34" t="s">
        <v>1884</v>
      </c>
    </row>
    <row r="1203" spans="2:7" ht="9.6" customHeight="1">
      <c r="B1203" s="35">
        <f t="shared" si="69"/>
        <v>46222</v>
      </c>
      <c r="C1203" s="34" t="s">
        <v>35</v>
      </c>
      <c r="D1203" s="34" t="s">
        <v>62</v>
      </c>
      <c r="E1203" s="66" t="s">
        <v>11</v>
      </c>
      <c r="F1203" s="34" t="s">
        <v>1885</v>
      </c>
      <c r="G1203" s="34" t="s">
        <v>64</v>
      </c>
    </row>
    <row r="1204" spans="2:7" ht="9.6" customHeight="1">
      <c r="B1204" s="35">
        <f t="shared" si="69"/>
        <v>46222</v>
      </c>
      <c r="C1204" s="34" t="s">
        <v>35</v>
      </c>
      <c r="D1204" s="34" t="s">
        <v>1860</v>
      </c>
      <c r="E1204" s="66" t="s">
        <v>11</v>
      </c>
      <c r="F1204" s="34" t="s">
        <v>1886</v>
      </c>
      <c r="G1204" s="34" t="s">
        <v>30</v>
      </c>
    </row>
    <row r="1205" spans="2:7" ht="9.6" customHeight="1">
      <c r="B1205" s="35">
        <f t="shared" si="69"/>
        <v>46222</v>
      </c>
      <c r="C1205" s="34" t="s">
        <v>1887</v>
      </c>
      <c r="D1205" s="34" t="s">
        <v>62</v>
      </c>
      <c r="E1205" s="66" t="s">
        <v>11</v>
      </c>
      <c r="F1205" s="34" t="s">
        <v>1888</v>
      </c>
      <c r="G1205" s="34" t="s">
        <v>51</v>
      </c>
    </row>
    <row r="1206" spans="2:7" ht="9.6" customHeight="1">
      <c r="B1206" s="32">
        <v>46223</v>
      </c>
      <c r="C1206" s="34" t="s">
        <v>1889</v>
      </c>
      <c r="D1206" s="34" t="s">
        <v>256</v>
      </c>
      <c r="E1206" s="66" t="s">
        <v>11</v>
      </c>
      <c r="F1206" s="34" t="s">
        <v>1890</v>
      </c>
      <c r="G1206" s="34" t="s">
        <v>51</v>
      </c>
    </row>
    <row r="1207" spans="2:7" ht="9.6" customHeight="1">
      <c r="B1207" s="35">
        <f t="shared" ref="B1207:B1240" si="70">B1206</f>
        <v>46223</v>
      </c>
      <c r="C1207" s="34" t="s">
        <v>1891</v>
      </c>
      <c r="D1207" s="34" t="s">
        <v>1860</v>
      </c>
      <c r="E1207" s="66" t="s">
        <v>11</v>
      </c>
      <c r="F1207" s="34" t="s">
        <v>1892</v>
      </c>
      <c r="G1207" s="34" t="s">
        <v>51</v>
      </c>
    </row>
    <row r="1208" spans="2:7" ht="9.6" customHeight="1">
      <c r="B1208" s="35">
        <f t="shared" si="70"/>
        <v>46223</v>
      </c>
      <c r="C1208" s="34" t="s">
        <v>35</v>
      </c>
      <c r="D1208" s="34" t="s">
        <v>385</v>
      </c>
      <c r="E1208" s="66" t="s">
        <v>11</v>
      </c>
      <c r="F1208" s="34" t="s">
        <v>1893</v>
      </c>
      <c r="G1208" s="34" t="s">
        <v>64</v>
      </c>
    </row>
    <row r="1209" spans="2:7" ht="9.6" customHeight="1">
      <c r="B1209" s="35">
        <f t="shared" si="70"/>
        <v>46223</v>
      </c>
      <c r="C1209" s="34" t="s">
        <v>1894</v>
      </c>
      <c r="D1209" s="34" t="s">
        <v>132</v>
      </c>
      <c r="E1209" s="66" t="s">
        <v>11</v>
      </c>
      <c r="F1209" s="34" t="s">
        <v>1895</v>
      </c>
      <c r="G1209" s="34" t="s">
        <v>51</v>
      </c>
    </row>
    <row r="1210" spans="2:7" ht="9.6" customHeight="1">
      <c r="B1210" s="35">
        <f t="shared" si="70"/>
        <v>46223</v>
      </c>
      <c r="C1210" s="34" t="s">
        <v>1896</v>
      </c>
      <c r="D1210" s="34" t="s">
        <v>1897</v>
      </c>
      <c r="E1210" s="66" t="s">
        <v>11</v>
      </c>
      <c r="F1210" s="34" t="s">
        <v>1898</v>
      </c>
      <c r="G1210" s="34" t="s">
        <v>51</v>
      </c>
    </row>
    <row r="1211" spans="2:7" ht="9.6" customHeight="1">
      <c r="B1211" s="35">
        <f t="shared" si="70"/>
        <v>46223</v>
      </c>
      <c r="C1211" s="34" t="s">
        <v>83</v>
      </c>
      <c r="D1211" s="34" t="s">
        <v>42</v>
      </c>
      <c r="E1211" s="66" t="s">
        <v>28</v>
      </c>
      <c r="F1211" s="34" t="s">
        <v>1899</v>
      </c>
      <c r="G1211" s="34" t="s">
        <v>51</v>
      </c>
    </row>
    <row r="1212" spans="2:7" ht="9.6" customHeight="1">
      <c r="B1212" s="35">
        <f t="shared" si="70"/>
        <v>46223</v>
      </c>
      <c r="C1212" s="34" t="s">
        <v>83</v>
      </c>
      <c r="D1212" s="34" t="s">
        <v>514</v>
      </c>
      <c r="E1212" s="66" t="s">
        <v>28</v>
      </c>
      <c r="F1212" s="36" t="s">
        <v>1900</v>
      </c>
      <c r="G1212" s="34" t="s">
        <v>51</v>
      </c>
    </row>
    <row r="1213" spans="2:7" ht="9.6" customHeight="1">
      <c r="B1213" s="35">
        <f t="shared" si="70"/>
        <v>46223</v>
      </c>
      <c r="C1213" s="34" t="s">
        <v>1901</v>
      </c>
      <c r="D1213" s="34" t="s">
        <v>374</v>
      </c>
      <c r="E1213" s="66" t="s">
        <v>28</v>
      </c>
      <c r="F1213" s="36" t="s">
        <v>1902</v>
      </c>
      <c r="G1213" s="34" t="s">
        <v>237</v>
      </c>
    </row>
    <row r="1214" spans="2:7" ht="9.6" customHeight="1">
      <c r="B1214" s="35">
        <f t="shared" si="70"/>
        <v>46223</v>
      </c>
      <c r="C1214" s="34" t="s">
        <v>27</v>
      </c>
      <c r="D1214" s="34" t="s">
        <v>213</v>
      </c>
      <c r="E1214" s="66" t="s">
        <v>28</v>
      </c>
      <c r="F1214" s="36" t="s">
        <v>1903</v>
      </c>
      <c r="G1214" s="34" t="s">
        <v>51</v>
      </c>
    </row>
    <row r="1215" spans="2:7" ht="9.6" customHeight="1">
      <c r="B1215" s="35">
        <f t="shared" si="70"/>
        <v>46223</v>
      </c>
      <c r="C1215" s="34" t="s">
        <v>1904</v>
      </c>
      <c r="D1215" s="34" t="s">
        <v>94</v>
      </c>
      <c r="E1215" s="66" t="s">
        <v>28</v>
      </c>
      <c r="F1215" s="36" t="s">
        <v>1905</v>
      </c>
      <c r="G1215" s="34" t="s">
        <v>51</v>
      </c>
    </row>
    <row r="1216" spans="2:7" ht="9.6" customHeight="1">
      <c r="B1216" s="35">
        <f t="shared" si="70"/>
        <v>46223</v>
      </c>
      <c r="C1216" s="34" t="s">
        <v>1904</v>
      </c>
      <c r="D1216" s="34" t="s">
        <v>76</v>
      </c>
      <c r="E1216" s="66" t="s">
        <v>28</v>
      </c>
      <c r="F1216" s="36" t="s">
        <v>1906</v>
      </c>
      <c r="G1216" s="34" t="s">
        <v>51</v>
      </c>
    </row>
    <row r="1217" spans="2:7" ht="9.6" customHeight="1">
      <c r="B1217" s="35">
        <f t="shared" si="70"/>
        <v>46223</v>
      </c>
      <c r="C1217" s="34" t="s">
        <v>176</v>
      </c>
      <c r="D1217" s="34" t="s">
        <v>15</v>
      </c>
      <c r="E1217" s="66" t="s">
        <v>28</v>
      </c>
      <c r="F1217" s="34" t="s">
        <v>1520</v>
      </c>
      <c r="G1217" s="34" t="s">
        <v>30</v>
      </c>
    </row>
    <row r="1218" spans="2:7" ht="9.6" customHeight="1">
      <c r="B1218" s="35">
        <f t="shared" si="70"/>
        <v>46223</v>
      </c>
      <c r="C1218" s="34" t="s">
        <v>1904</v>
      </c>
      <c r="D1218" s="34" t="s">
        <v>1907</v>
      </c>
      <c r="E1218" s="66" t="s">
        <v>28</v>
      </c>
      <c r="F1218" s="36" t="s">
        <v>1908</v>
      </c>
      <c r="G1218" s="34" t="s">
        <v>51</v>
      </c>
    </row>
    <row r="1219" spans="2:7" ht="9.6" customHeight="1">
      <c r="B1219" s="35">
        <f t="shared" si="70"/>
        <v>46223</v>
      </c>
      <c r="C1219" s="34" t="s">
        <v>1901</v>
      </c>
      <c r="D1219" s="34" t="s">
        <v>385</v>
      </c>
      <c r="E1219" s="66" t="s">
        <v>28</v>
      </c>
      <c r="F1219" s="36" t="s">
        <v>1909</v>
      </c>
      <c r="G1219" s="34" t="s">
        <v>30</v>
      </c>
    </row>
    <row r="1220" spans="2:7" ht="9.6" customHeight="1">
      <c r="B1220" s="35">
        <f t="shared" si="70"/>
        <v>46223</v>
      </c>
      <c r="C1220" s="34" t="s">
        <v>1901</v>
      </c>
      <c r="D1220" s="34" t="s">
        <v>456</v>
      </c>
      <c r="E1220" s="66" t="s">
        <v>28</v>
      </c>
      <c r="F1220" s="36" t="s">
        <v>1910</v>
      </c>
      <c r="G1220" s="34" t="s">
        <v>30</v>
      </c>
    </row>
    <row r="1221" spans="2:7" ht="9.6" customHeight="1">
      <c r="B1221" s="35">
        <f t="shared" si="70"/>
        <v>46223</v>
      </c>
      <c r="C1221" s="34" t="s">
        <v>27</v>
      </c>
      <c r="D1221" s="34" t="s">
        <v>42</v>
      </c>
      <c r="E1221" s="66" t="s">
        <v>28</v>
      </c>
      <c r="F1221" s="36" t="s">
        <v>1911</v>
      </c>
      <c r="G1221" s="34" t="s">
        <v>30</v>
      </c>
    </row>
    <row r="1222" spans="2:7" ht="9.6" customHeight="1">
      <c r="B1222" s="35">
        <f t="shared" si="70"/>
        <v>46223</v>
      </c>
      <c r="C1222" s="34" t="s">
        <v>27</v>
      </c>
      <c r="D1222" s="34" t="s">
        <v>94</v>
      </c>
      <c r="E1222" s="66" t="s">
        <v>28</v>
      </c>
      <c r="F1222" s="36" t="s">
        <v>1912</v>
      </c>
      <c r="G1222" s="34" t="s">
        <v>51</v>
      </c>
    </row>
    <row r="1223" spans="2:7" ht="9.6" customHeight="1">
      <c r="B1223" s="35">
        <f t="shared" si="70"/>
        <v>46223</v>
      </c>
      <c r="C1223" s="34" t="s">
        <v>27</v>
      </c>
      <c r="D1223" s="34" t="s">
        <v>213</v>
      </c>
      <c r="E1223" s="66" t="s">
        <v>28</v>
      </c>
      <c r="F1223" s="43" t="s">
        <v>1913</v>
      </c>
      <c r="G1223" s="34" t="s">
        <v>371</v>
      </c>
    </row>
    <row r="1224" spans="2:7" ht="9.6" customHeight="1">
      <c r="B1224" s="35">
        <f t="shared" si="70"/>
        <v>46223</v>
      </c>
      <c r="C1224" s="34" t="s">
        <v>176</v>
      </c>
      <c r="D1224" s="34" t="s">
        <v>1914</v>
      </c>
      <c r="E1224" s="66" t="s">
        <v>28</v>
      </c>
      <c r="F1224" s="36" t="s">
        <v>1915</v>
      </c>
      <c r="G1224" s="34" t="s">
        <v>237</v>
      </c>
    </row>
    <row r="1225" spans="2:7" ht="9.6" customHeight="1">
      <c r="B1225" s="35">
        <f t="shared" si="70"/>
        <v>46223</v>
      </c>
      <c r="C1225" s="34" t="s">
        <v>1904</v>
      </c>
      <c r="D1225" s="34" t="s">
        <v>10</v>
      </c>
      <c r="E1225" s="66" t="s">
        <v>28</v>
      </c>
      <c r="F1225" s="36" t="s">
        <v>1916</v>
      </c>
      <c r="G1225" s="34" t="s">
        <v>70</v>
      </c>
    </row>
    <row r="1226" spans="2:7" ht="9.6" customHeight="1">
      <c r="B1226" s="35">
        <f t="shared" si="70"/>
        <v>46223</v>
      </c>
      <c r="C1226" s="34" t="s">
        <v>27</v>
      </c>
      <c r="D1226" s="34" t="s">
        <v>103</v>
      </c>
      <c r="E1226" s="66" t="s">
        <v>28</v>
      </c>
      <c r="F1226" s="36" t="s">
        <v>1917</v>
      </c>
      <c r="G1226" s="34" t="s">
        <v>234</v>
      </c>
    </row>
    <row r="1227" spans="2:7" ht="9.6" customHeight="1">
      <c r="B1227" s="35">
        <f t="shared" si="70"/>
        <v>46223</v>
      </c>
      <c r="C1227" s="34" t="s">
        <v>1904</v>
      </c>
      <c r="D1227" s="34" t="s">
        <v>10</v>
      </c>
      <c r="E1227" s="66" t="s">
        <v>28</v>
      </c>
      <c r="F1227" s="36" t="s">
        <v>1918</v>
      </c>
      <c r="G1227" s="34" t="s">
        <v>51</v>
      </c>
    </row>
    <row r="1228" spans="2:7" ht="9.6" customHeight="1">
      <c r="B1228" s="35">
        <f t="shared" si="70"/>
        <v>46223</v>
      </c>
      <c r="C1228" s="34" t="s">
        <v>1904</v>
      </c>
      <c r="D1228" s="34" t="s">
        <v>10</v>
      </c>
      <c r="E1228" s="66" t="s">
        <v>28</v>
      </c>
      <c r="F1228" s="36" t="s">
        <v>1919</v>
      </c>
      <c r="G1228" s="34" t="s">
        <v>70</v>
      </c>
    </row>
    <row r="1229" spans="2:7" ht="9.6" customHeight="1">
      <c r="B1229" s="35">
        <f t="shared" si="70"/>
        <v>46223</v>
      </c>
      <c r="C1229" s="34" t="s">
        <v>27</v>
      </c>
      <c r="D1229" s="34" t="s">
        <v>42</v>
      </c>
      <c r="E1229" s="66" t="s">
        <v>28</v>
      </c>
      <c r="F1229" s="36" t="s">
        <v>1920</v>
      </c>
      <c r="G1229" s="34" t="s">
        <v>51</v>
      </c>
    </row>
    <row r="1230" spans="2:7" ht="9.6" customHeight="1">
      <c r="B1230" s="35">
        <f t="shared" si="70"/>
        <v>46223</v>
      </c>
      <c r="C1230" s="34" t="s">
        <v>176</v>
      </c>
      <c r="D1230" s="34" t="s">
        <v>62</v>
      </c>
      <c r="E1230" s="66" t="s">
        <v>28</v>
      </c>
      <c r="F1230" s="36" t="s">
        <v>1921</v>
      </c>
      <c r="G1230" s="34" t="s">
        <v>30</v>
      </c>
    </row>
    <row r="1231" spans="2:7" ht="9.6" customHeight="1">
      <c r="B1231" s="35">
        <f t="shared" si="70"/>
        <v>46223</v>
      </c>
      <c r="C1231" s="34" t="s">
        <v>1904</v>
      </c>
      <c r="D1231" s="34" t="s">
        <v>385</v>
      </c>
      <c r="E1231" s="66" t="s">
        <v>28</v>
      </c>
      <c r="F1231" s="36" t="s">
        <v>1922</v>
      </c>
      <c r="G1231" s="34" t="s">
        <v>30</v>
      </c>
    </row>
    <row r="1232" spans="2:7" ht="9.6" customHeight="1">
      <c r="B1232" s="35">
        <f t="shared" si="70"/>
        <v>46223</v>
      </c>
      <c r="C1232" s="34" t="s">
        <v>1081</v>
      </c>
      <c r="D1232" s="34" t="s">
        <v>1923</v>
      </c>
      <c r="E1232" s="66" t="s">
        <v>28</v>
      </c>
      <c r="F1232" s="36" t="s">
        <v>1924</v>
      </c>
      <c r="G1232" s="34" t="s">
        <v>70</v>
      </c>
    </row>
    <row r="1233" spans="2:7" ht="9.6" customHeight="1">
      <c r="B1233" s="35">
        <f t="shared" si="70"/>
        <v>46223</v>
      </c>
      <c r="C1233" s="34" t="s">
        <v>27</v>
      </c>
      <c r="D1233" s="34" t="s">
        <v>885</v>
      </c>
      <c r="E1233" s="66" t="s">
        <v>28</v>
      </c>
      <c r="F1233" s="36" t="s">
        <v>1925</v>
      </c>
      <c r="G1233" s="34" t="s">
        <v>51</v>
      </c>
    </row>
    <row r="1234" spans="2:7" ht="9.6" customHeight="1">
      <c r="B1234" s="35">
        <f t="shared" si="70"/>
        <v>46223</v>
      </c>
      <c r="C1234" s="34" t="s">
        <v>27</v>
      </c>
      <c r="D1234" s="34" t="s">
        <v>19</v>
      </c>
      <c r="E1234" s="66" t="s">
        <v>28</v>
      </c>
      <c r="F1234" s="36" t="s">
        <v>1312</v>
      </c>
      <c r="G1234" s="34" t="s">
        <v>51</v>
      </c>
    </row>
    <row r="1235" spans="2:7" ht="9.6" customHeight="1">
      <c r="B1235" s="35">
        <f t="shared" si="70"/>
        <v>46223</v>
      </c>
      <c r="C1235" s="34" t="s">
        <v>83</v>
      </c>
      <c r="D1235" s="34" t="s">
        <v>1926</v>
      </c>
      <c r="E1235" s="66" t="s">
        <v>28</v>
      </c>
      <c r="F1235" s="36" t="s">
        <v>1927</v>
      </c>
      <c r="G1235" s="34" t="s">
        <v>51</v>
      </c>
    </row>
    <row r="1236" spans="2:7" ht="9.6" customHeight="1">
      <c r="B1236" s="35">
        <f t="shared" si="70"/>
        <v>46223</v>
      </c>
      <c r="C1236" s="34" t="s">
        <v>83</v>
      </c>
      <c r="D1236" s="34" t="s">
        <v>1928</v>
      </c>
      <c r="E1236" s="66" t="s">
        <v>28</v>
      </c>
      <c r="F1236" s="36" t="s">
        <v>1929</v>
      </c>
      <c r="G1236" s="34" t="s">
        <v>51</v>
      </c>
    </row>
    <row r="1237" spans="2:7" ht="9.6" customHeight="1">
      <c r="B1237" s="35">
        <f t="shared" si="70"/>
        <v>46223</v>
      </c>
      <c r="C1237" s="34" t="s">
        <v>27</v>
      </c>
      <c r="D1237" s="34" t="s">
        <v>1132</v>
      </c>
      <c r="E1237" s="66" t="s">
        <v>28</v>
      </c>
      <c r="F1237" s="36" t="s">
        <v>1930</v>
      </c>
      <c r="G1237" s="34" t="s">
        <v>51</v>
      </c>
    </row>
    <row r="1238" spans="2:7" ht="9.6" customHeight="1">
      <c r="B1238" s="35">
        <f t="shared" si="70"/>
        <v>46223</v>
      </c>
      <c r="C1238" s="34" t="s">
        <v>176</v>
      </c>
      <c r="D1238" s="34" t="s">
        <v>94</v>
      </c>
      <c r="E1238" s="66" t="s">
        <v>28</v>
      </c>
      <c r="F1238" s="34" t="s">
        <v>1931</v>
      </c>
      <c r="G1238" s="34" t="s">
        <v>1245</v>
      </c>
    </row>
    <row r="1239" spans="2:7" ht="9.6" customHeight="1">
      <c r="B1239" s="35">
        <f t="shared" si="70"/>
        <v>46223</v>
      </c>
      <c r="C1239" s="34" t="s">
        <v>176</v>
      </c>
      <c r="D1239" s="34" t="s">
        <v>209</v>
      </c>
      <c r="E1239" s="66" t="s">
        <v>11</v>
      </c>
      <c r="F1239" s="34" t="s">
        <v>1913</v>
      </c>
      <c r="G1239" s="34" t="s">
        <v>371</v>
      </c>
    </row>
    <row r="1240" spans="2:7" ht="9.6" customHeight="1">
      <c r="B1240" s="35">
        <f t="shared" si="70"/>
        <v>46223</v>
      </c>
      <c r="C1240" s="34" t="s">
        <v>1932</v>
      </c>
      <c r="D1240" s="34" t="s">
        <v>42</v>
      </c>
      <c r="E1240" s="66" t="s">
        <v>11</v>
      </c>
      <c r="F1240" s="36" t="s">
        <v>1933</v>
      </c>
      <c r="G1240" s="34" t="s">
        <v>237</v>
      </c>
    </row>
    <row r="1241" spans="2:7" ht="9.6" customHeight="1">
      <c r="B1241" s="32">
        <v>46224</v>
      </c>
      <c r="C1241" s="34" t="s">
        <v>1934</v>
      </c>
      <c r="D1241" s="34" t="s">
        <v>1935</v>
      </c>
      <c r="E1241" s="66" t="s">
        <v>28</v>
      </c>
      <c r="F1241" s="36" t="s">
        <v>1936</v>
      </c>
      <c r="G1241" s="34" t="s">
        <v>187</v>
      </c>
    </row>
    <row r="1242" spans="2:7" ht="9.6" customHeight="1">
      <c r="B1242" s="35">
        <f t="shared" ref="B1242:B1249" si="71">B1241</f>
        <v>46224</v>
      </c>
      <c r="C1242" s="34" t="s">
        <v>1937</v>
      </c>
      <c r="D1242" s="34" t="s">
        <v>719</v>
      </c>
      <c r="E1242" s="66" t="s">
        <v>28</v>
      </c>
      <c r="F1242" s="36" t="s">
        <v>1938</v>
      </c>
      <c r="G1242" s="34" t="s">
        <v>371</v>
      </c>
    </row>
    <row r="1243" spans="2:7" ht="9.6" customHeight="1">
      <c r="B1243" s="35">
        <f t="shared" si="71"/>
        <v>46224</v>
      </c>
      <c r="C1243" s="34" t="s">
        <v>1939</v>
      </c>
      <c r="D1243" s="34" t="s">
        <v>10</v>
      </c>
      <c r="E1243" s="66" t="s">
        <v>28</v>
      </c>
      <c r="F1243" s="36" t="s">
        <v>1940</v>
      </c>
      <c r="G1243" s="34" t="s">
        <v>187</v>
      </c>
    </row>
    <row r="1244" spans="2:7" ht="9.6" customHeight="1">
      <c r="B1244" s="35">
        <f t="shared" si="71"/>
        <v>46224</v>
      </c>
      <c r="C1244" s="34" t="s">
        <v>1941</v>
      </c>
      <c r="D1244" s="34" t="s">
        <v>716</v>
      </c>
      <c r="E1244" s="66" t="s">
        <v>28</v>
      </c>
      <c r="F1244" s="36" t="s">
        <v>1942</v>
      </c>
      <c r="G1244" s="34" t="s">
        <v>187</v>
      </c>
    </row>
    <row r="1245" spans="2:7" ht="9.6" customHeight="1">
      <c r="B1245" s="35">
        <f t="shared" si="71"/>
        <v>46224</v>
      </c>
      <c r="C1245" s="34" t="s">
        <v>1943</v>
      </c>
      <c r="D1245" s="34" t="s">
        <v>116</v>
      </c>
      <c r="E1245" s="66" t="s">
        <v>11</v>
      </c>
      <c r="F1245" s="34" t="s">
        <v>1944</v>
      </c>
      <c r="G1245" s="34" t="s">
        <v>187</v>
      </c>
    </row>
    <row r="1246" spans="2:7" ht="9.6" customHeight="1">
      <c r="B1246" s="35">
        <f t="shared" si="71"/>
        <v>46224</v>
      </c>
      <c r="C1246" s="34" t="s">
        <v>1945</v>
      </c>
      <c r="D1246" s="34" t="s">
        <v>42</v>
      </c>
      <c r="E1246" s="66" t="s">
        <v>11</v>
      </c>
      <c r="F1246" s="34" t="s">
        <v>1946</v>
      </c>
      <c r="G1246" s="34" t="s">
        <v>187</v>
      </c>
    </row>
    <row r="1247" spans="2:7" ht="9.6" customHeight="1">
      <c r="B1247" s="35">
        <f t="shared" si="71"/>
        <v>46224</v>
      </c>
      <c r="C1247" s="34" t="s">
        <v>1947</v>
      </c>
      <c r="D1247" s="34" t="s">
        <v>15</v>
      </c>
      <c r="E1247" s="66" t="s">
        <v>11</v>
      </c>
      <c r="F1247" s="34" t="s">
        <v>1948</v>
      </c>
      <c r="G1247" s="34" t="s">
        <v>187</v>
      </c>
    </row>
    <row r="1248" spans="2:7" ht="9.6" customHeight="1">
      <c r="B1248" s="35">
        <f t="shared" si="71"/>
        <v>46224</v>
      </c>
      <c r="C1248" s="34" t="s">
        <v>1949</v>
      </c>
      <c r="D1248" s="34" t="s">
        <v>42</v>
      </c>
      <c r="E1248" s="66" t="s">
        <v>11</v>
      </c>
      <c r="F1248" s="36" t="s">
        <v>1950</v>
      </c>
      <c r="G1248" s="34" t="s">
        <v>30</v>
      </c>
    </row>
    <row r="1249" spans="2:7" ht="9.6" customHeight="1">
      <c r="B1249" s="35">
        <f t="shared" si="71"/>
        <v>46224</v>
      </c>
      <c r="C1249" s="34" t="s">
        <v>1949</v>
      </c>
      <c r="D1249" s="34" t="s">
        <v>23</v>
      </c>
      <c r="E1249" s="66" t="s">
        <v>11</v>
      </c>
      <c r="F1249" s="36" t="s">
        <v>1951</v>
      </c>
      <c r="G1249" s="34" t="s">
        <v>30</v>
      </c>
    </row>
    <row r="1250" spans="2:7" ht="9.6" customHeight="1">
      <c r="B1250" s="32">
        <v>46225</v>
      </c>
      <c r="C1250" s="34" t="s">
        <v>1952</v>
      </c>
      <c r="D1250" s="34" t="s">
        <v>42</v>
      </c>
      <c r="E1250" s="66" t="s">
        <v>11</v>
      </c>
      <c r="F1250" s="36" t="s">
        <v>1953</v>
      </c>
      <c r="G1250" s="34" t="s">
        <v>83</v>
      </c>
    </row>
    <row r="1251" spans="2:7" ht="9.6" customHeight="1">
      <c r="B1251" s="35">
        <f t="shared" ref="B1251:B1263" si="72">B1250</f>
        <v>46225</v>
      </c>
      <c r="C1251" s="34" t="s">
        <v>840</v>
      </c>
      <c r="D1251" s="34" t="s">
        <v>1954</v>
      </c>
      <c r="E1251" s="66" t="s">
        <v>28</v>
      </c>
      <c r="F1251" s="34" t="s">
        <v>1955</v>
      </c>
      <c r="G1251" s="34" t="s">
        <v>1832</v>
      </c>
    </row>
    <row r="1252" spans="2:7" ht="9.6" customHeight="1">
      <c r="B1252" s="35">
        <f t="shared" si="72"/>
        <v>46225</v>
      </c>
      <c r="C1252" s="34" t="s">
        <v>176</v>
      </c>
      <c r="D1252" s="34" t="s">
        <v>1956</v>
      </c>
      <c r="E1252" s="66" t="s">
        <v>28</v>
      </c>
      <c r="F1252" s="34" t="s">
        <v>1957</v>
      </c>
      <c r="G1252" s="34" t="s">
        <v>1958</v>
      </c>
    </row>
    <row r="1253" spans="2:7" ht="9.6" customHeight="1">
      <c r="B1253" s="35">
        <f t="shared" si="72"/>
        <v>46225</v>
      </c>
      <c r="C1253" s="34" t="s">
        <v>176</v>
      </c>
      <c r="D1253" s="34" t="s">
        <v>278</v>
      </c>
      <c r="E1253" s="66" t="s">
        <v>28</v>
      </c>
      <c r="F1253" s="34" t="s">
        <v>1061</v>
      </c>
      <c r="G1253" s="34" t="s">
        <v>30</v>
      </c>
    </row>
    <row r="1254" spans="2:7" ht="9.6" customHeight="1">
      <c r="B1254" s="35">
        <f t="shared" si="72"/>
        <v>46225</v>
      </c>
      <c r="C1254" s="34" t="s">
        <v>176</v>
      </c>
      <c r="D1254" s="34" t="s">
        <v>1640</v>
      </c>
      <c r="E1254" s="66" t="s">
        <v>28</v>
      </c>
      <c r="F1254" s="34" t="s">
        <v>1520</v>
      </c>
      <c r="G1254" s="34" t="s">
        <v>30</v>
      </c>
    </row>
    <row r="1255" spans="2:7" ht="9.6" customHeight="1">
      <c r="B1255" s="35">
        <f t="shared" si="72"/>
        <v>46225</v>
      </c>
      <c r="C1255" s="34" t="s">
        <v>1874</v>
      </c>
      <c r="D1255" s="34" t="s">
        <v>1959</v>
      </c>
      <c r="E1255" s="66" t="s">
        <v>28</v>
      </c>
      <c r="F1255" s="34" t="s">
        <v>1960</v>
      </c>
      <c r="G1255" s="34" t="s">
        <v>1961</v>
      </c>
    </row>
    <row r="1256" spans="2:7" ht="9.6" customHeight="1">
      <c r="B1256" s="35">
        <f t="shared" si="72"/>
        <v>46225</v>
      </c>
      <c r="C1256" s="34" t="s">
        <v>176</v>
      </c>
      <c r="D1256" s="34" t="s">
        <v>1962</v>
      </c>
      <c r="E1256" s="66" t="s">
        <v>28</v>
      </c>
      <c r="F1256" s="34" t="s">
        <v>909</v>
      </c>
      <c r="G1256" s="34" t="s">
        <v>30</v>
      </c>
    </row>
    <row r="1257" spans="2:7" ht="9.6" customHeight="1">
      <c r="B1257" s="35">
        <f t="shared" si="72"/>
        <v>46225</v>
      </c>
      <c r="C1257" s="34" t="s">
        <v>1874</v>
      </c>
      <c r="D1257" s="34" t="s">
        <v>213</v>
      </c>
      <c r="E1257" s="66" t="s">
        <v>28</v>
      </c>
      <c r="F1257" s="34" t="s">
        <v>1963</v>
      </c>
      <c r="G1257" s="34" t="s">
        <v>1964</v>
      </c>
    </row>
    <row r="1258" spans="2:7" ht="9.6" customHeight="1">
      <c r="B1258" s="35">
        <f t="shared" si="72"/>
        <v>46225</v>
      </c>
      <c r="C1258" s="34" t="s">
        <v>1447</v>
      </c>
      <c r="D1258" s="34" t="s">
        <v>42</v>
      </c>
      <c r="E1258" s="66" t="s">
        <v>28</v>
      </c>
      <c r="F1258" s="34" t="s">
        <v>909</v>
      </c>
      <c r="G1258" s="34" t="s">
        <v>30</v>
      </c>
    </row>
    <row r="1259" spans="2:7" ht="9.6" customHeight="1">
      <c r="B1259" s="35">
        <f t="shared" si="72"/>
        <v>46225</v>
      </c>
      <c r="C1259" s="34" t="s">
        <v>1965</v>
      </c>
      <c r="D1259" s="34" t="s">
        <v>207</v>
      </c>
      <c r="E1259" s="66" t="s">
        <v>28</v>
      </c>
      <c r="F1259" s="34" t="s">
        <v>1966</v>
      </c>
      <c r="G1259" s="34" t="s">
        <v>30</v>
      </c>
    </row>
    <row r="1260" spans="2:7" ht="9.6" customHeight="1">
      <c r="B1260" s="35">
        <f t="shared" si="72"/>
        <v>46225</v>
      </c>
      <c r="C1260" s="34" t="s">
        <v>1967</v>
      </c>
      <c r="D1260" s="34" t="s">
        <v>207</v>
      </c>
      <c r="E1260" s="66" t="s">
        <v>11</v>
      </c>
      <c r="F1260" s="34" t="s">
        <v>1968</v>
      </c>
      <c r="G1260" s="34" t="s">
        <v>51</v>
      </c>
    </row>
    <row r="1261" spans="2:7" ht="9.6" customHeight="1">
      <c r="B1261" s="35">
        <f t="shared" si="72"/>
        <v>46225</v>
      </c>
      <c r="C1261" s="34" t="s">
        <v>1969</v>
      </c>
      <c r="D1261" s="34" t="s">
        <v>462</v>
      </c>
      <c r="E1261" s="66" t="s">
        <v>11</v>
      </c>
      <c r="F1261" s="34" t="s">
        <v>1970</v>
      </c>
      <c r="G1261" s="34" t="s">
        <v>51</v>
      </c>
    </row>
    <row r="1262" spans="2:7" ht="9.6" customHeight="1">
      <c r="B1262" s="35">
        <f t="shared" si="72"/>
        <v>46225</v>
      </c>
      <c r="C1262" s="34" t="s">
        <v>1971</v>
      </c>
      <c r="D1262" s="34" t="s">
        <v>1860</v>
      </c>
      <c r="E1262" s="66" t="s">
        <v>11</v>
      </c>
      <c r="F1262" s="34" t="s">
        <v>1972</v>
      </c>
      <c r="G1262" s="34" t="s">
        <v>51</v>
      </c>
    </row>
    <row r="1263" spans="2:7" ht="9.6" customHeight="1">
      <c r="B1263" s="35">
        <f t="shared" si="72"/>
        <v>46225</v>
      </c>
      <c r="C1263" s="34" t="s">
        <v>35</v>
      </c>
      <c r="D1263" s="34" t="s">
        <v>1860</v>
      </c>
      <c r="E1263" s="66" t="s">
        <v>11</v>
      </c>
      <c r="F1263" s="34" t="s">
        <v>1973</v>
      </c>
      <c r="G1263" s="34" t="s">
        <v>21</v>
      </c>
    </row>
    <row r="1264" spans="2:7" ht="9.6" customHeight="1">
      <c r="B1264" s="32">
        <v>46226</v>
      </c>
      <c r="C1264" s="34" t="s">
        <v>1974</v>
      </c>
      <c r="D1264" s="34" t="s">
        <v>1975</v>
      </c>
      <c r="E1264" s="66" t="s">
        <v>11</v>
      </c>
      <c r="F1264" s="34" t="s">
        <v>1976</v>
      </c>
      <c r="G1264" s="34" t="s">
        <v>51</v>
      </c>
    </row>
    <row r="1265" spans="2:7" ht="9.6" customHeight="1">
      <c r="B1265" s="35">
        <f t="shared" ref="B1265:B1280" si="73">B1264</f>
        <v>46226</v>
      </c>
      <c r="C1265" s="34" t="s">
        <v>1977</v>
      </c>
      <c r="D1265" s="34" t="s">
        <v>1935</v>
      </c>
      <c r="E1265" s="66" t="s">
        <v>11</v>
      </c>
      <c r="F1265" s="34" t="s">
        <v>1978</v>
      </c>
      <c r="G1265" s="34" t="s">
        <v>51</v>
      </c>
    </row>
    <row r="1266" spans="2:7" ht="9.6" customHeight="1">
      <c r="B1266" s="35">
        <f t="shared" si="73"/>
        <v>46226</v>
      </c>
      <c r="C1266" s="34" t="s">
        <v>1979</v>
      </c>
      <c r="D1266" s="34" t="s">
        <v>407</v>
      </c>
      <c r="E1266" s="66" t="s">
        <v>11</v>
      </c>
      <c r="F1266" s="34" t="s">
        <v>1893</v>
      </c>
      <c r="G1266" s="34" t="s">
        <v>51</v>
      </c>
    </row>
    <row r="1267" spans="2:7" ht="9.6" customHeight="1">
      <c r="B1267" s="35">
        <f t="shared" si="73"/>
        <v>46226</v>
      </c>
      <c r="C1267" s="34" t="s">
        <v>258</v>
      </c>
      <c r="D1267" s="34" t="s">
        <v>94</v>
      </c>
      <c r="E1267" s="66" t="s">
        <v>28</v>
      </c>
      <c r="F1267" s="36" t="s">
        <v>1980</v>
      </c>
      <c r="G1267" s="34" t="s">
        <v>51</v>
      </c>
    </row>
    <row r="1268" spans="2:7" ht="9.6" customHeight="1">
      <c r="B1268" s="35">
        <f t="shared" si="73"/>
        <v>46226</v>
      </c>
      <c r="C1268" s="34" t="s">
        <v>1904</v>
      </c>
      <c r="D1268" s="34" t="s">
        <v>36</v>
      </c>
      <c r="E1268" s="66" t="s">
        <v>28</v>
      </c>
      <c r="F1268" s="36" t="s">
        <v>1981</v>
      </c>
      <c r="G1268" s="34" t="s">
        <v>30</v>
      </c>
    </row>
    <row r="1269" spans="2:7" ht="9.6" customHeight="1">
      <c r="B1269" s="35">
        <f t="shared" si="73"/>
        <v>46226</v>
      </c>
      <c r="C1269" s="34" t="s">
        <v>1904</v>
      </c>
      <c r="D1269" s="34" t="s">
        <v>389</v>
      </c>
      <c r="E1269" s="66" t="s">
        <v>28</v>
      </c>
      <c r="F1269" s="36" t="s">
        <v>1982</v>
      </c>
      <c r="G1269" s="34" t="s">
        <v>30</v>
      </c>
    </row>
    <row r="1270" spans="2:7" ht="9.6" customHeight="1">
      <c r="B1270" s="35">
        <f t="shared" si="73"/>
        <v>46226</v>
      </c>
      <c r="C1270" s="34" t="s">
        <v>176</v>
      </c>
      <c r="D1270" s="34" t="s">
        <v>403</v>
      </c>
      <c r="E1270" s="66" t="s">
        <v>28</v>
      </c>
      <c r="F1270" s="36" t="s">
        <v>1983</v>
      </c>
      <c r="G1270" s="34" t="s">
        <v>30</v>
      </c>
    </row>
    <row r="1271" spans="2:7" ht="9.6" customHeight="1">
      <c r="B1271" s="35">
        <f t="shared" si="73"/>
        <v>46226</v>
      </c>
      <c r="C1271" s="34" t="s">
        <v>258</v>
      </c>
      <c r="D1271" s="34" t="s">
        <v>81</v>
      </c>
      <c r="E1271" s="66" t="s">
        <v>28</v>
      </c>
      <c r="F1271" s="36" t="s">
        <v>1984</v>
      </c>
      <c r="G1271" s="34" t="s">
        <v>51</v>
      </c>
    </row>
    <row r="1272" spans="2:7" ht="9.6" customHeight="1">
      <c r="B1272" s="35">
        <f t="shared" si="73"/>
        <v>46226</v>
      </c>
      <c r="C1272" s="34" t="s">
        <v>1904</v>
      </c>
      <c r="D1272" s="34" t="s">
        <v>94</v>
      </c>
      <c r="E1272" s="66" t="s">
        <v>28</v>
      </c>
      <c r="F1272" s="36" t="s">
        <v>1985</v>
      </c>
      <c r="G1272" s="34" t="s">
        <v>51</v>
      </c>
    </row>
    <row r="1273" spans="2:7" ht="9.6" customHeight="1">
      <c r="B1273" s="35">
        <f t="shared" si="73"/>
        <v>46226</v>
      </c>
      <c r="C1273" s="34" t="s">
        <v>1986</v>
      </c>
      <c r="D1273" s="34" t="s">
        <v>385</v>
      </c>
      <c r="E1273" s="66" t="s">
        <v>11</v>
      </c>
      <c r="F1273" s="34" t="s">
        <v>1987</v>
      </c>
      <c r="G1273" s="34" t="s">
        <v>51</v>
      </c>
    </row>
    <row r="1274" spans="2:7" ht="9.6" customHeight="1">
      <c r="B1274" s="35">
        <f t="shared" si="73"/>
        <v>46226</v>
      </c>
      <c r="C1274" s="34" t="s">
        <v>1988</v>
      </c>
      <c r="D1274" s="34" t="s">
        <v>1989</v>
      </c>
      <c r="E1274" s="66" t="s">
        <v>11</v>
      </c>
      <c r="F1274" s="34" t="s">
        <v>1845</v>
      </c>
      <c r="G1274" s="34" t="s">
        <v>51</v>
      </c>
    </row>
    <row r="1275" spans="2:7" ht="9.6" customHeight="1">
      <c r="B1275" s="35">
        <f t="shared" si="73"/>
        <v>46226</v>
      </c>
      <c r="C1275" s="34" t="s">
        <v>1990</v>
      </c>
      <c r="D1275" s="34" t="s">
        <v>1991</v>
      </c>
      <c r="E1275" s="66" t="s">
        <v>11</v>
      </c>
      <c r="F1275" s="34" t="s">
        <v>629</v>
      </c>
      <c r="G1275" s="34" t="s">
        <v>51</v>
      </c>
    </row>
    <row r="1276" spans="2:7" ht="9.6" customHeight="1">
      <c r="B1276" s="35">
        <f t="shared" si="73"/>
        <v>46226</v>
      </c>
      <c r="C1276" s="34" t="s">
        <v>35</v>
      </c>
      <c r="D1276" s="34" t="s">
        <v>142</v>
      </c>
      <c r="E1276" s="66" t="s">
        <v>11</v>
      </c>
      <c r="F1276" s="34" t="s">
        <v>1992</v>
      </c>
      <c r="G1276" s="34" t="s">
        <v>1531</v>
      </c>
    </row>
    <row r="1277" spans="2:7" ht="9.6" customHeight="1">
      <c r="B1277" s="35">
        <f t="shared" si="73"/>
        <v>46226</v>
      </c>
      <c r="C1277" s="34" t="s">
        <v>1993</v>
      </c>
      <c r="D1277" s="34" t="s">
        <v>570</v>
      </c>
      <c r="E1277" s="66" t="s">
        <v>11</v>
      </c>
      <c r="F1277" s="34" t="s">
        <v>1994</v>
      </c>
      <c r="G1277" s="34" t="s">
        <v>51</v>
      </c>
    </row>
    <row r="1278" spans="2:7" ht="9.6" customHeight="1">
      <c r="B1278" s="35">
        <f t="shared" si="73"/>
        <v>46226</v>
      </c>
      <c r="C1278" s="34" t="s">
        <v>1791</v>
      </c>
      <c r="D1278" s="34" t="s">
        <v>1529</v>
      </c>
      <c r="E1278" s="66" t="s">
        <v>11</v>
      </c>
      <c r="F1278" s="34" t="s">
        <v>1995</v>
      </c>
      <c r="G1278" s="34" t="s">
        <v>51</v>
      </c>
    </row>
    <row r="1279" spans="2:7" ht="9.6" customHeight="1">
      <c r="B1279" s="35">
        <f t="shared" si="73"/>
        <v>46226</v>
      </c>
      <c r="C1279" s="34" t="s">
        <v>1996</v>
      </c>
      <c r="D1279" s="34" t="s">
        <v>1991</v>
      </c>
      <c r="E1279" s="66" t="s">
        <v>11</v>
      </c>
      <c r="F1279" s="34" t="s">
        <v>1997</v>
      </c>
      <c r="G1279" s="34" t="s">
        <v>51</v>
      </c>
    </row>
    <row r="1280" spans="2:7" ht="9.6" customHeight="1">
      <c r="B1280" s="35">
        <f t="shared" si="73"/>
        <v>46226</v>
      </c>
      <c r="C1280" s="34" t="s">
        <v>1979</v>
      </c>
      <c r="D1280" s="34" t="s">
        <v>1991</v>
      </c>
      <c r="E1280" s="66" t="s">
        <v>11</v>
      </c>
      <c r="F1280" s="34" t="s">
        <v>1998</v>
      </c>
      <c r="G1280" s="34" t="s">
        <v>51</v>
      </c>
    </row>
    <row r="1281" spans="2:7" ht="9.6" customHeight="1">
      <c r="B1281" s="32">
        <v>46227</v>
      </c>
      <c r="C1281" s="34" t="s">
        <v>1999</v>
      </c>
      <c r="D1281" s="34" t="s">
        <v>385</v>
      </c>
      <c r="E1281" s="66" t="s">
        <v>11</v>
      </c>
      <c r="F1281" s="34" t="s">
        <v>2000</v>
      </c>
      <c r="G1281" s="34" t="s">
        <v>51</v>
      </c>
    </row>
    <row r="1282" spans="2:7" ht="9.6" customHeight="1">
      <c r="B1282" s="35">
        <f t="shared" ref="B1282:B1307" si="74">B1281</f>
        <v>46227</v>
      </c>
      <c r="C1282" s="34" t="s">
        <v>2001</v>
      </c>
      <c r="D1282" s="34" t="s">
        <v>1860</v>
      </c>
      <c r="E1282" s="66" t="s">
        <v>11</v>
      </c>
      <c r="F1282" s="34" t="s">
        <v>1865</v>
      </c>
      <c r="G1282" s="34" t="s">
        <v>51</v>
      </c>
    </row>
    <row r="1283" spans="2:7" ht="9.6" customHeight="1">
      <c r="B1283" s="35">
        <f t="shared" si="74"/>
        <v>46227</v>
      </c>
      <c r="C1283" s="34" t="s">
        <v>2002</v>
      </c>
      <c r="D1283" s="34" t="s">
        <v>407</v>
      </c>
      <c r="E1283" s="66" t="s">
        <v>11</v>
      </c>
      <c r="F1283" s="34" t="s">
        <v>1649</v>
      </c>
      <c r="G1283" s="34" t="s">
        <v>51</v>
      </c>
    </row>
    <row r="1284" spans="2:7" ht="9.6" customHeight="1">
      <c r="B1284" s="35">
        <f t="shared" si="74"/>
        <v>46227</v>
      </c>
      <c r="C1284" s="34" t="s">
        <v>2003</v>
      </c>
      <c r="D1284" s="34" t="s">
        <v>385</v>
      </c>
      <c r="E1284" s="66" t="s">
        <v>11</v>
      </c>
      <c r="F1284" s="34" t="s">
        <v>2004</v>
      </c>
      <c r="G1284" s="34" t="s">
        <v>51</v>
      </c>
    </row>
    <row r="1285" spans="2:7" ht="9.6" customHeight="1">
      <c r="B1285" s="35">
        <f t="shared" si="74"/>
        <v>46227</v>
      </c>
      <c r="C1285" s="34" t="s">
        <v>35</v>
      </c>
      <c r="D1285" s="34" t="s">
        <v>62</v>
      </c>
      <c r="E1285" s="66" t="s">
        <v>11</v>
      </c>
      <c r="F1285" s="34" t="s">
        <v>2005</v>
      </c>
      <c r="G1285" s="34" t="s">
        <v>21</v>
      </c>
    </row>
    <row r="1286" spans="2:7" ht="9.6" customHeight="1">
      <c r="B1286" s="35">
        <f t="shared" si="74"/>
        <v>46227</v>
      </c>
      <c r="C1286" s="34" t="s">
        <v>1979</v>
      </c>
      <c r="D1286" s="34" t="s">
        <v>52</v>
      </c>
      <c r="E1286" s="66" t="s">
        <v>11</v>
      </c>
      <c r="F1286" s="34" t="s">
        <v>2006</v>
      </c>
      <c r="G1286" s="34" t="s">
        <v>51</v>
      </c>
    </row>
    <row r="1287" spans="2:7" ht="9.6" customHeight="1">
      <c r="B1287" s="35">
        <f t="shared" si="74"/>
        <v>46227</v>
      </c>
      <c r="C1287" s="34" t="s">
        <v>2007</v>
      </c>
      <c r="D1287" s="34" t="s">
        <v>385</v>
      </c>
      <c r="E1287" s="66" t="s">
        <v>28</v>
      </c>
      <c r="F1287" s="36" t="s">
        <v>2008</v>
      </c>
      <c r="G1287" s="34" t="s">
        <v>51</v>
      </c>
    </row>
    <row r="1288" spans="2:7" ht="9.6" customHeight="1">
      <c r="B1288" s="35">
        <f t="shared" si="74"/>
        <v>46227</v>
      </c>
      <c r="C1288" s="34" t="s">
        <v>2009</v>
      </c>
      <c r="D1288" s="34" t="s">
        <v>76</v>
      </c>
      <c r="E1288" s="66" t="s">
        <v>28</v>
      </c>
      <c r="F1288" s="36" t="s">
        <v>2010</v>
      </c>
      <c r="G1288" s="34" t="s">
        <v>21</v>
      </c>
    </row>
    <row r="1289" spans="2:7" ht="9.6" customHeight="1">
      <c r="B1289" s="35">
        <f t="shared" si="74"/>
        <v>46227</v>
      </c>
      <c r="C1289" s="34" t="s">
        <v>1937</v>
      </c>
      <c r="D1289" s="34" t="s">
        <v>1163</v>
      </c>
      <c r="E1289" s="66" t="s">
        <v>28</v>
      </c>
      <c r="F1289" s="34" t="s">
        <v>2011</v>
      </c>
      <c r="G1289" s="34" t="s">
        <v>21</v>
      </c>
    </row>
    <row r="1290" spans="2:7" ht="9.6" customHeight="1">
      <c r="B1290" s="35">
        <f t="shared" si="74"/>
        <v>46227</v>
      </c>
      <c r="C1290" s="34" t="s">
        <v>2012</v>
      </c>
      <c r="D1290" s="34" t="s">
        <v>636</v>
      </c>
      <c r="E1290" s="66" t="s">
        <v>28</v>
      </c>
      <c r="F1290" s="36" t="s">
        <v>2013</v>
      </c>
      <c r="G1290" s="34" t="s">
        <v>21</v>
      </c>
    </row>
    <row r="1291" spans="2:7" ht="9.6" customHeight="1">
      <c r="B1291" s="35">
        <f t="shared" si="74"/>
        <v>46227</v>
      </c>
      <c r="C1291" s="34" t="s">
        <v>1937</v>
      </c>
      <c r="D1291" s="34" t="s">
        <v>385</v>
      </c>
      <c r="E1291" s="66" t="s">
        <v>28</v>
      </c>
      <c r="F1291" s="36" t="s">
        <v>2014</v>
      </c>
      <c r="G1291" s="34" t="s">
        <v>662</v>
      </c>
    </row>
    <row r="1292" spans="2:7" ht="9.6" customHeight="1">
      <c r="B1292" s="35">
        <f t="shared" si="74"/>
        <v>46227</v>
      </c>
      <c r="C1292" s="34" t="s">
        <v>2015</v>
      </c>
      <c r="D1292" s="34" t="s">
        <v>1860</v>
      </c>
      <c r="E1292" s="66" t="s">
        <v>28</v>
      </c>
      <c r="F1292" s="36" t="s">
        <v>1899</v>
      </c>
      <c r="G1292" s="34" t="s">
        <v>51</v>
      </c>
    </row>
    <row r="1293" spans="2:7" ht="9.6" customHeight="1">
      <c r="B1293" s="35">
        <f t="shared" si="74"/>
        <v>46227</v>
      </c>
      <c r="C1293" s="34" t="s">
        <v>2016</v>
      </c>
      <c r="D1293" s="34" t="s">
        <v>2017</v>
      </c>
      <c r="E1293" s="66" t="s">
        <v>28</v>
      </c>
      <c r="F1293" s="36" t="s">
        <v>2018</v>
      </c>
      <c r="G1293" s="34" t="s">
        <v>51</v>
      </c>
    </row>
    <row r="1294" spans="2:7" ht="9.6" customHeight="1">
      <c r="B1294" s="35">
        <f t="shared" si="74"/>
        <v>46227</v>
      </c>
      <c r="C1294" s="34" t="s">
        <v>2019</v>
      </c>
      <c r="D1294" s="34" t="s">
        <v>2020</v>
      </c>
      <c r="E1294" s="66" t="s">
        <v>28</v>
      </c>
      <c r="F1294" s="36" t="s">
        <v>2021</v>
      </c>
      <c r="G1294" s="34" t="s">
        <v>51</v>
      </c>
    </row>
    <row r="1295" spans="2:7" ht="9.6" customHeight="1">
      <c r="B1295" s="35">
        <f t="shared" si="74"/>
        <v>46227</v>
      </c>
      <c r="C1295" s="34" t="s">
        <v>1937</v>
      </c>
      <c r="D1295" s="34" t="s">
        <v>2020</v>
      </c>
      <c r="E1295" s="66" t="s">
        <v>28</v>
      </c>
      <c r="F1295" s="36" t="s">
        <v>2022</v>
      </c>
      <c r="G1295" s="34" t="s">
        <v>21</v>
      </c>
    </row>
    <row r="1296" spans="2:7" ht="9.6" customHeight="1">
      <c r="B1296" s="35">
        <f t="shared" si="74"/>
        <v>46227</v>
      </c>
      <c r="C1296" s="34" t="s">
        <v>1937</v>
      </c>
      <c r="D1296" s="34" t="s">
        <v>2023</v>
      </c>
      <c r="E1296" s="66" t="s">
        <v>28</v>
      </c>
      <c r="F1296" s="36" t="s">
        <v>2011</v>
      </c>
      <c r="G1296" s="34" t="s">
        <v>21</v>
      </c>
    </row>
    <row r="1297" spans="2:7" ht="9.6" customHeight="1">
      <c r="B1297" s="35">
        <f t="shared" si="74"/>
        <v>46227</v>
      </c>
      <c r="C1297" s="34" t="s">
        <v>2024</v>
      </c>
      <c r="D1297" s="34" t="s">
        <v>2020</v>
      </c>
      <c r="E1297" s="66" t="s">
        <v>28</v>
      </c>
      <c r="F1297" s="36" t="s">
        <v>2025</v>
      </c>
      <c r="G1297" s="34" t="s">
        <v>51</v>
      </c>
    </row>
    <row r="1298" spans="2:7" ht="9.6" customHeight="1">
      <c r="B1298" s="35">
        <f t="shared" si="74"/>
        <v>46227</v>
      </c>
      <c r="C1298" s="34" t="s">
        <v>1937</v>
      </c>
      <c r="D1298" s="34" t="s">
        <v>719</v>
      </c>
      <c r="E1298" s="66" t="s">
        <v>28</v>
      </c>
      <c r="F1298" s="43" t="s">
        <v>2026</v>
      </c>
      <c r="G1298" s="34" t="s">
        <v>2027</v>
      </c>
    </row>
    <row r="1299" spans="2:7" ht="9.6" customHeight="1">
      <c r="B1299" s="35">
        <f t="shared" si="74"/>
        <v>46227</v>
      </c>
      <c r="C1299" s="34" t="s">
        <v>2028</v>
      </c>
      <c r="D1299" s="34" t="s">
        <v>910</v>
      </c>
      <c r="E1299" s="66" t="s">
        <v>28</v>
      </c>
      <c r="F1299" s="36" t="s">
        <v>2029</v>
      </c>
      <c r="G1299" s="34" t="s">
        <v>662</v>
      </c>
    </row>
    <row r="1300" spans="2:7" ht="9.6" customHeight="1">
      <c r="B1300" s="35">
        <f t="shared" si="74"/>
        <v>46227</v>
      </c>
      <c r="C1300" s="34" t="s">
        <v>1937</v>
      </c>
      <c r="D1300" s="34" t="s">
        <v>52</v>
      </c>
      <c r="E1300" s="66" t="s">
        <v>28</v>
      </c>
      <c r="F1300" s="36" t="s">
        <v>1571</v>
      </c>
      <c r="G1300" s="34" t="s">
        <v>21</v>
      </c>
    </row>
    <row r="1301" spans="2:7" ht="9.6" customHeight="1">
      <c r="B1301" s="35">
        <f t="shared" si="74"/>
        <v>46227</v>
      </c>
      <c r="C1301" s="34" t="s">
        <v>2030</v>
      </c>
      <c r="D1301" s="34" t="s">
        <v>52</v>
      </c>
      <c r="E1301" s="66" t="s">
        <v>28</v>
      </c>
      <c r="F1301" s="36" t="s">
        <v>1314</v>
      </c>
      <c r="G1301" s="34" t="s">
        <v>21</v>
      </c>
    </row>
    <row r="1302" spans="2:7" ht="9.6" customHeight="1">
      <c r="B1302" s="35">
        <f t="shared" si="74"/>
        <v>46227</v>
      </c>
      <c r="C1302" s="34" t="s">
        <v>2031</v>
      </c>
      <c r="D1302" s="34" t="s">
        <v>407</v>
      </c>
      <c r="E1302" s="66" t="s">
        <v>28</v>
      </c>
      <c r="F1302" s="36" t="s">
        <v>1152</v>
      </c>
      <c r="G1302" s="34" t="s">
        <v>21</v>
      </c>
    </row>
    <row r="1303" spans="2:7" ht="9.6" customHeight="1">
      <c r="B1303" s="35">
        <f t="shared" si="74"/>
        <v>46227</v>
      </c>
      <c r="C1303" s="34" t="s">
        <v>1937</v>
      </c>
      <c r="D1303" s="34" t="s">
        <v>52</v>
      </c>
      <c r="E1303" s="66" t="s">
        <v>28</v>
      </c>
      <c r="F1303" s="36" t="s">
        <v>2032</v>
      </c>
      <c r="G1303" s="34" t="s">
        <v>21</v>
      </c>
    </row>
    <row r="1304" spans="2:7" ht="9.6" customHeight="1">
      <c r="B1304" s="35">
        <f t="shared" si="74"/>
        <v>46227</v>
      </c>
      <c r="C1304" s="34" t="s">
        <v>1937</v>
      </c>
      <c r="D1304" s="34" t="s">
        <v>385</v>
      </c>
      <c r="E1304" s="66" t="s">
        <v>11</v>
      </c>
      <c r="F1304" s="36" t="s">
        <v>2033</v>
      </c>
      <c r="G1304" s="34" t="s">
        <v>371</v>
      </c>
    </row>
    <row r="1305" spans="2:7" ht="9.6" customHeight="1">
      <c r="B1305" s="35">
        <f t="shared" si="74"/>
        <v>46227</v>
      </c>
      <c r="C1305" s="34" t="s">
        <v>1937</v>
      </c>
      <c r="D1305" s="34" t="s">
        <v>62</v>
      </c>
      <c r="E1305" s="66" t="s">
        <v>11</v>
      </c>
      <c r="F1305" s="34" t="s">
        <v>2034</v>
      </c>
      <c r="G1305" s="34" t="s">
        <v>371</v>
      </c>
    </row>
    <row r="1306" spans="2:7" ht="9.6" customHeight="1">
      <c r="B1306" s="35">
        <f t="shared" si="74"/>
        <v>46227</v>
      </c>
      <c r="C1306" s="34" t="s">
        <v>2002</v>
      </c>
      <c r="D1306" s="34" t="s">
        <v>583</v>
      </c>
      <c r="E1306" s="66" t="s">
        <v>11</v>
      </c>
      <c r="F1306" s="36" t="s">
        <v>2035</v>
      </c>
      <c r="G1306" s="34" t="s">
        <v>51</v>
      </c>
    </row>
    <row r="1307" spans="2:7" ht="9.6" customHeight="1">
      <c r="B1307" s="35">
        <f t="shared" si="74"/>
        <v>46227</v>
      </c>
      <c r="C1307" s="34" t="s">
        <v>2036</v>
      </c>
      <c r="D1307" s="34" t="s">
        <v>2037</v>
      </c>
      <c r="E1307" s="66" t="s">
        <v>11</v>
      </c>
      <c r="F1307" s="36" t="s">
        <v>2038</v>
      </c>
      <c r="G1307" s="34" t="s">
        <v>51</v>
      </c>
    </row>
    <row r="1308" spans="2:7" ht="9.6" customHeight="1">
      <c r="B1308" s="32">
        <v>46228</v>
      </c>
      <c r="C1308" s="34" t="s">
        <v>1937</v>
      </c>
      <c r="D1308" s="34" t="s">
        <v>385</v>
      </c>
      <c r="E1308" s="66" t="s">
        <v>28</v>
      </c>
      <c r="F1308" s="36" t="s">
        <v>578</v>
      </c>
      <c r="G1308" s="34" t="s">
        <v>30</v>
      </c>
    </row>
    <row r="1309" spans="2:7" ht="9.6" customHeight="1">
      <c r="B1309" s="35">
        <f t="shared" ref="B1309:B1329" si="75">B1308</f>
        <v>46228</v>
      </c>
      <c r="C1309" s="34" t="s">
        <v>1937</v>
      </c>
      <c r="D1309" s="34" t="s">
        <v>103</v>
      </c>
      <c r="E1309" s="66" t="s">
        <v>28</v>
      </c>
      <c r="F1309" s="36" t="s">
        <v>2039</v>
      </c>
      <c r="G1309" s="34" t="s">
        <v>30</v>
      </c>
    </row>
    <row r="1310" spans="2:7" ht="9.6" customHeight="1">
      <c r="B1310" s="35">
        <f t="shared" si="75"/>
        <v>46228</v>
      </c>
      <c r="C1310" s="34" t="s">
        <v>2040</v>
      </c>
      <c r="D1310" s="34" t="s">
        <v>2041</v>
      </c>
      <c r="E1310" s="66" t="s">
        <v>28</v>
      </c>
      <c r="F1310" s="36" t="s">
        <v>1458</v>
      </c>
      <c r="G1310" s="34" t="s">
        <v>30</v>
      </c>
    </row>
    <row r="1311" spans="2:7" ht="9.6" customHeight="1">
      <c r="B1311" s="35">
        <f t="shared" si="75"/>
        <v>46228</v>
      </c>
      <c r="C1311" s="34" t="s">
        <v>2042</v>
      </c>
      <c r="D1311" s="34" t="s">
        <v>2043</v>
      </c>
      <c r="E1311" s="66" t="s">
        <v>28</v>
      </c>
      <c r="F1311" s="36" t="s">
        <v>2044</v>
      </c>
      <c r="G1311" s="34" t="s">
        <v>30</v>
      </c>
    </row>
    <row r="1312" spans="2:7" ht="9.6" customHeight="1">
      <c r="B1312" s="35">
        <f t="shared" si="75"/>
        <v>46228</v>
      </c>
      <c r="C1312" s="34" t="s">
        <v>27</v>
      </c>
      <c r="D1312" s="34" t="s">
        <v>2045</v>
      </c>
      <c r="E1312" s="66" t="s">
        <v>28</v>
      </c>
      <c r="F1312" s="36" t="s">
        <v>2046</v>
      </c>
      <c r="G1312" s="34" t="s">
        <v>30</v>
      </c>
    </row>
    <row r="1313" spans="2:7" ht="9.6" customHeight="1">
      <c r="B1313" s="35">
        <f t="shared" si="75"/>
        <v>46228</v>
      </c>
      <c r="C1313" s="34" t="s">
        <v>27</v>
      </c>
      <c r="D1313" s="34" t="s">
        <v>42</v>
      </c>
      <c r="E1313" s="66" t="s">
        <v>28</v>
      </c>
      <c r="F1313" s="36" t="s">
        <v>2047</v>
      </c>
      <c r="G1313" s="34" t="s">
        <v>30</v>
      </c>
    </row>
    <row r="1314" spans="2:7" ht="9.6" customHeight="1">
      <c r="B1314" s="35">
        <f t="shared" si="75"/>
        <v>46228</v>
      </c>
      <c r="C1314" s="34" t="s">
        <v>1904</v>
      </c>
      <c r="D1314" s="34" t="s">
        <v>94</v>
      </c>
      <c r="E1314" s="66" t="s">
        <v>28</v>
      </c>
      <c r="F1314" s="36" t="s">
        <v>2048</v>
      </c>
      <c r="G1314" s="34" t="s">
        <v>34</v>
      </c>
    </row>
    <row r="1315" spans="2:7" ht="9.6" customHeight="1">
      <c r="B1315" s="35">
        <f t="shared" si="75"/>
        <v>46228</v>
      </c>
      <c r="C1315" s="34" t="s">
        <v>176</v>
      </c>
      <c r="D1315" s="34" t="s">
        <v>76</v>
      </c>
      <c r="E1315" s="66" t="s">
        <v>28</v>
      </c>
      <c r="F1315" s="36" t="s">
        <v>2049</v>
      </c>
      <c r="G1315" s="34" t="s">
        <v>371</v>
      </c>
    </row>
    <row r="1316" spans="2:7" ht="9.6" customHeight="1">
      <c r="B1316" s="35">
        <f t="shared" si="75"/>
        <v>46228</v>
      </c>
      <c r="C1316" s="34" t="s">
        <v>1904</v>
      </c>
      <c r="D1316" s="34" t="s">
        <v>385</v>
      </c>
      <c r="E1316" s="66" t="s">
        <v>28</v>
      </c>
      <c r="F1316" s="36" t="s">
        <v>2050</v>
      </c>
      <c r="G1316" s="34" t="s">
        <v>34</v>
      </c>
    </row>
    <row r="1317" spans="2:7" ht="9.6" customHeight="1">
      <c r="B1317" s="35">
        <f t="shared" si="75"/>
        <v>46228</v>
      </c>
      <c r="C1317" s="34" t="s">
        <v>27</v>
      </c>
      <c r="D1317" s="34" t="s">
        <v>81</v>
      </c>
      <c r="E1317" s="66" t="s">
        <v>28</v>
      </c>
      <c r="F1317" s="36" t="s">
        <v>1434</v>
      </c>
      <c r="G1317" s="34" t="s">
        <v>34</v>
      </c>
    </row>
    <row r="1318" spans="2:7" ht="9.6" customHeight="1">
      <c r="B1318" s="35">
        <f t="shared" si="75"/>
        <v>46228</v>
      </c>
      <c r="C1318" s="34" t="s">
        <v>83</v>
      </c>
      <c r="D1318" s="34" t="s">
        <v>2043</v>
      </c>
      <c r="E1318" s="66" t="s">
        <v>28</v>
      </c>
      <c r="F1318" s="36" t="s">
        <v>2051</v>
      </c>
      <c r="G1318" s="34" t="s">
        <v>34</v>
      </c>
    </row>
    <row r="1319" spans="2:7" ht="9.6" customHeight="1">
      <c r="B1319" s="35">
        <f t="shared" si="75"/>
        <v>46228</v>
      </c>
      <c r="C1319" s="34" t="s">
        <v>27</v>
      </c>
      <c r="D1319" s="34" t="s">
        <v>32</v>
      </c>
      <c r="E1319" s="66" t="s">
        <v>28</v>
      </c>
      <c r="F1319" s="36" t="s">
        <v>2052</v>
      </c>
      <c r="G1319" s="34" t="s">
        <v>30</v>
      </c>
    </row>
    <row r="1320" spans="2:7" ht="9.6" customHeight="1">
      <c r="B1320" s="35">
        <f t="shared" si="75"/>
        <v>46228</v>
      </c>
      <c r="C1320" s="34" t="s">
        <v>27</v>
      </c>
      <c r="D1320" s="34" t="s">
        <v>352</v>
      </c>
      <c r="E1320" s="66" t="s">
        <v>28</v>
      </c>
      <c r="F1320" s="36" t="s">
        <v>2053</v>
      </c>
      <c r="G1320" s="34" t="s">
        <v>30</v>
      </c>
    </row>
    <row r="1321" spans="2:7" ht="9.6" customHeight="1">
      <c r="B1321" s="35">
        <f t="shared" si="75"/>
        <v>46228</v>
      </c>
      <c r="C1321" s="34" t="s">
        <v>1904</v>
      </c>
      <c r="D1321" s="34" t="s">
        <v>23</v>
      </c>
      <c r="E1321" s="66" t="s">
        <v>28</v>
      </c>
      <c r="F1321" s="36" t="s">
        <v>2054</v>
      </c>
      <c r="G1321" s="34" t="s">
        <v>34</v>
      </c>
    </row>
    <row r="1322" spans="2:7" ht="9.6" customHeight="1">
      <c r="B1322" s="35">
        <f t="shared" si="75"/>
        <v>46228</v>
      </c>
      <c r="C1322" s="34" t="s">
        <v>2055</v>
      </c>
      <c r="D1322" s="34" t="s">
        <v>42</v>
      </c>
      <c r="E1322" s="66" t="s">
        <v>11</v>
      </c>
      <c r="F1322" s="36" t="s">
        <v>2056</v>
      </c>
      <c r="G1322" s="34" t="s">
        <v>34</v>
      </c>
    </row>
    <row r="1323" spans="2:7" ht="9.6" customHeight="1">
      <c r="B1323" s="35">
        <f t="shared" si="75"/>
        <v>46228</v>
      </c>
      <c r="C1323" s="34" t="s">
        <v>176</v>
      </c>
      <c r="D1323" s="34" t="s">
        <v>42</v>
      </c>
      <c r="E1323" s="66" t="s">
        <v>11</v>
      </c>
      <c r="F1323" s="36" t="s">
        <v>908</v>
      </c>
      <c r="G1323" s="34" t="s">
        <v>30</v>
      </c>
    </row>
    <row r="1324" spans="2:7" ht="9.6" customHeight="1">
      <c r="B1324" s="35">
        <f t="shared" si="75"/>
        <v>46228</v>
      </c>
      <c r="C1324" s="34" t="s">
        <v>2057</v>
      </c>
      <c r="D1324" s="34" t="s">
        <v>42</v>
      </c>
      <c r="E1324" s="66" t="s">
        <v>11</v>
      </c>
      <c r="F1324" s="36" t="s">
        <v>1426</v>
      </c>
      <c r="G1324" s="34" t="s">
        <v>34</v>
      </c>
    </row>
    <row r="1325" spans="2:7" ht="9.6" customHeight="1">
      <c r="B1325" s="35">
        <f t="shared" si="75"/>
        <v>46228</v>
      </c>
      <c r="C1325" s="34" t="s">
        <v>2058</v>
      </c>
      <c r="D1325" s="34" t="s">
        <v>42</v>
      </c>
      <c r="E1325" s="66" t="s">
        <v>11</v>
      </c>
      <c r="F1325" s="43" t="s">
        <v>908</v>
      </c>
      <c r="G1325" s="34" t="s">
        <v>34</v>
      </c>
    </row>
    <row r="1326" spans="2:7" ht="9.6" customHeight="1">
      <c r="B1326" s="35">
        <f t="shared" si="75"/>
        <v>46228</v>
      </c>
      <c r="C1326" s="34" t="s">
        <v>2059</v>
      </c>
      <c r="D1326" s="34" t="s">
        <v>796</v>
      </c>
      <c r="E1326" s="66" t="s">
        <v>11</v>
      </c>
      <c r="F1326" s="36" t="s">
        <v>2060</v>
      </c>
      <c r="G1326" s="34" t="s">
        <v>34</v>
      </c>
    </row>
    <row r="1327" spans="2:7" ht="9.6" customHeight="1">
      <c r="B1327" s="35">
        <f t="shared" si="75"/>
        <v>46228</v>
      </c>
      <c r="C1327" s="34" t="s">
        <v>2061</v>
      </c>
      <c r="D1327" s="34" t="s">
        <v>2062</v>
      </c>
      <c r="E1327" s="66" t="s">
        <v>11</v>
      </c>
      <c r="F1327" s="34" t="s">
        <v>2063</v>
      </c>
      <c r="G1327" s="34" t="s">
        <v>34</v>
      </c>
    </row>
    <row r="1328" spans="2:7" ht="9.6" customHeight="1">
      <c r="B1328" s="35">
        <f t="shared" si="75"/>
        <v>46228</v>
      </c>
      <c r="C1328" s="34" t="s">
        <v>2064</v>
      </c>
      <c r="D1328" s="34" t="s">
        <v>142</v>
      </c>
      <c r="E1328" s="66" t="s">
        <v>11</v>
      </c>
      <c r="F1328" s="36" t="s">
        <v>2065</v>
      </c>
      <c r="G1328" s="34" t="s">
        <v>34</v>
      </c>
    </row>
    <row r="1329" spans="2:7" ht="9.6" customHeight="1">
      <c r="B1329" s="35">
        <f t="shared" si="75"/>
        <v>46228</v>
      </c>
      <c r="C1329" s="34" t="s">
        <v>2066</v>
      </c>
      <c r="D1329" s="34" t="s">
        <v>2067</v>
      </c>
      <c r="E1329" s="66" t="s">
        <v>11</v>
      </c>
      <c r="F1329" s="36" t="s">
        <v>2068</v>
      </c>
      <c r="G1329" s="34" t="s">
        <v>34</v>
      </c>
    </row>
    <row r="1330" spans="2:7" ht="9.6" customHeight="1">
      <c r="B1330" s="32">
        <v>46229</v>
      </c>
      <c r="C1330" s="34" t="s">
        <v>2069</v>
      </c>
      <c r="D1330" s="34" t="s">
        <v>1860</v>
      </c>
      <c r="E1330" s="66" t="s">
        <v>11</v>
      </c>
      <c r="F1330" s="34" t="s">
        <v>2070</v>
      </c>
      <c r="G1330" s="34" t="s">
        <v>51</v>
      </c>
    </row>
    <row r="1331" spans="2:7" ht="9.6" customHeight="1">
      <c r="B1331" s="35">
        <f t="shared" ref="B1331:B1334" si="76">B1330</f>
        <v>46229</v>
      </c>
      <c r="C1331" s="34" t="s">
        <v>2071</v>
      </c>
      <c r="D1331" s="34" t="s">
        <v>385</v>
      </c>
      <c r="E1331" s="66" t="s">
        <v>11</v>
      </c>
      <c r="F1331" s="34" t="s">
        <v>2072</v>
      </c>
      <c r="G1331" s="34" t="s">
        <v>51</v>
      </c>
    </row>
    <row r="1332" spans="2:7" ht="9.6" customHeight="1">
      <c r="B1332" s="35">
        <f t="shared" si="76"/>
        <v>46229</v>
      </c>
      <c r="C1332" s="34" t="s">
        <v>35</v>
      </c>
      <c r="D1332" s="34" t="s">
        <v>462</v>
      </c>
      <c r="E1332" s="66" t="s">
        <v>11</v>
      </c>
      <c r="F1332" s="34" t="s">
        <v>2073</v>
      </c>
      <c r="G1332" s="34" t="s">
        <v>54</v>
      </c>
    </row>
    <row r="1333" spans="2:7" ht="9.6" customHeight="1">
      <c r="B1333" s="35">
        <f t="shared" si="76"/>
        <v>46229</v>
      </c>
      <c r="C1333" s="34" t="s">
        <v>35</v>
      </c>
      <c r="D1333" s="34" t="s">
        <v>1860</v>
      </c>
      <c r="E1333" s="66" t="s">
        <v>11</v>
      </c>
      <c r="F1333" s="34" t="s">
        <v>2074</v>
      </c>
      <c r="G1333" s="34" t="s">
        <v>21</v>
      </c>
    </row>
    <row r="1334" spans="2:7" ht="9.6" customHeight="1">
      <c r="B1334" s="35">
        <f t="shared" si="76"/>
        <v>46229</v>
      </c>
      <c r="C1334" s="34" t="s">
        <v>1977</v>
      </c>
      <c r="D1334" s="34" t="s">
        <v>462</v>
      </c>
      <c r="E1334" s="66" t="s">
        <v>11</v>
      </c>
      <c r="F1334" s="34" t="s">
        <v>2075</v>
      </c>
      <c r="G1334" s="34" t="s">
        <v>51</v>
      </c>
    </row>
    <row r="1335" spans="2:7" ht="9.6" customHeight="1">
      <c r="B1335" s="32">
        <v>46230</v>
      </c>
      <c r="C1335" s="34" t="s">
        <v>2076</v>
      </c>
      <c r="D1335" s="34" t="s">
        <v>132</v>
      </c>
      <c r="E1335" s="66" t="s">
        <v>11</v>
      </c>
      <c r="F1335" s="34" t="s">
        <v>2077</v>
      </c>
      <c r="G1335" s="34" t="s">
        <v>51</v>
      </c>
    </row>
    <row r="1336" spans="2:7" ht="9.6" customHeight="1">
      <c r="B1336" s="35">
        <f t="shared" ref="B1336:B1345" si="77">B1335</f>
        <v>46230</v>
      </c>
      <c r="C1336" s="34" t="s">
        <v>2078</v>
      </c>
      <c r="D1336" s="34" t="s">
        <v>385</v>
      </c>
      <c r="E1336" s="66" t="s">
        <v>11</v>
      </c>
      <c r="F1336" s="34" t="s">
        <v>2079</v>
      </c>
      <c r="G1336" s="34" t="s">
        <v>51</v>
      </c>
    </row>
    <row r="1337" spans="2:7" ht="9.6" customHeight="1">
      <c r="B1337" s="35">
        <f t="shared" si="77"/>
        <v>46230</v>
      </c>
      <c r="C1337" s="34" t="s">
        <v>2080</v>
      </c>
      <c r="D1337" s="34" t="s">
        <v>2081</v>
      </c>
      <c r="E1337" s="66" t="s">
        <v>11</v>
      </c>
      <c r="F1337" s="34" t="s">
        <v>2082</v>
      </c>
      <c r="G1337" s="34" t="s">
        <v>51</v>
      </c>
    </row>
    <row r="1338" spans="2:7" ht="9.6" customHeight="1">
      <c r="B1338" s="35">
        <f t="shared" si="77"/>
        <v>46230</v>
      </c>
      <c r="C1338" s="34" t="s">
        <v>2083</v>
      </c>
      <c r="D1338" s="34" t="s">
        <v>52</v>
      </c>
      <c r="E1338" s="66" t="s">
        <v>11</v>
      </c>
      <c r="F1338" s="34" t="s">
        <v>2084</v>
      </c>
      <c r="G1338" s="34" t="s">
        <v>51</v>
      </c>
    </row>
    <row r="1339" spans="2:7" ht="9.6" customHeight="1">
      <c r="B1339" s="35">
        <f t="shared" si="77"/>
        <v>46230</v>
      </c>
      <c r="C1339" s="34" t="s">
        <v>35</v>
      </c>
      <c r="D1339" s="34" t="s">
        <v>733</v>
      </c>
      <c r="E1339" s="66" t="s">
        <v>11</v>
      </c>
      <c r="F1339" s="34" t="s">
        <v>2085</v>
      </c>
      <c r="G1339" s="34" t="s">
        <v>30</v>
      </c>
    </row>
    <row r="1340" spans="2:7" ht="9.6" customHeight="1">
      <c r="B1340" s="35">
        <f t="shared" si="77"/>
        <v>46230</v>
      </c>
      <c r="C1340" s="34" t="s">
        <v>2086</v>
      </c>
      <c r="D1340" s="34" t="s">
        <v>385</v>
      </c>
      <c r="E1340" s="66" t="s">
        <v>11</v>
      </c>
      <c r="F1340" s="34" t="s">
        <v>2087</v>
      </c>
      <c r="G1340" s="34" t="s">
        <v>51</v>
      </c>
    </row>
    <row r="1341" spans="2:7" ht="9.6" customHeight="1">
      <c r="B1341" s="35">
        <f t="shared" si="77"/>
        <v>46230</v>
      </c>
      <c r="C1341" s="34" t="s">
        <v>2088</v>
      </c>
      <c r="D1341" s="34" t="s">
        <v>52</v>
      </c>
      <c r="E1341" s="66" t="s">
        <v>11</v>
      </c>
      <c r="F1341" s="34" t="s">
        <v>2089</v>
      </c>
      <c r="G1341" s="34" t="s">
        <v>51</v>
      </c>
    </row>
    <row r="1342" spans="2:7" ht="9.6" customHeight="1">
      <c r="B1342" s="35">
        <f t="shared" si="77"/>
        <v>46230</v>
      </c>
      <c r="C1342" s="34" t="s">
        <v>2090</v>
      </c>
      <c r="D1342" s="34" t="s">
        <v>1860</v>
      </c>
      <c r="E1342" s="66" t="s">
        <v>11</v>
      </c>
      <c r="F1342" s="34" t="s">
        <v>1761</v>
      </c>
      <c r="G1342" s="34" t="s">
        <v>51</v>
      </c>
    </row>
    <row r="1343" spans="2:7" ht="9.6" customHeight="1">
      <c r="B1343" s="35">
        <f t="shared" si="77"/>
        <v>46230</v>
      </c>
      <c r="C1343" s="34" t="s">
        <v>2091</v>
      </c>
      <c r="D1343" s="34" t="s">
        <v>1860</v>
      </c>
      <c r="E1343" s="66" t="s">
        <v>11</v>
      </c>
      <c r="F1343" s="34" t="s">
        <v>2092</v>
      </c>
      <c r="G1343" s="34" t="s">
        <v>51</v>
      </c>
    </row>
    <row r="1344" spans="2:7" ht="9.6" customHeight="1">
      <c r="B1344" s="35">
        <f t="shared" si="77"/>
        <v>46230</v>
      </c>
      <c r="C1344" s="34" t="s">
        <v>2093</v>
      </c>
      <c r="D1344" s="34" t="s">
        <v>741</v>
      </c>
      <c r="E1344" s="66" t="s">
        <v>11</v>
      </c>
      <c r="F1344" s="34" t="s">
        <v>2094</v>
      </c>
      <c r="G1344" s="34" t="s">
        <v>51</v>
      </c>
    </row>
    <row r="1345" spans="2:7" ht="9.6" customHeight="1">
      <c r="B1345" s="35">
        <f t="shared" si="77"/>
        <v>46230</v>
      </c>
      <c r="C1345" s="34" t="s">
        <v>2095</v>
      </c>
      <c r="D1345" s="34" t="s">
        <v>1860</v>
      </c>
      <c r="E1345" s="66" t="s">
        <v>11</v>
      </c>
      <c r="F1345" s="34" t="s">
        <v>2096</v>
      </c>
      <c r="G1345" s="34" t="s">
        <v>51</v>
      </c>
    </row>
    <row r="1346" spans="2:7" ht="9.6" customHeight="1">
      <c r="B1346" s="32">
        <v>46231</v>
      </c>
      <c r="C1346" s="34" t="s">
        <v>2097</v>
      </c>
      <c r="D1346" s="34" t="s">
        <v>60</v>
      </c>
      <c r="E1346" s="66" t="s">
        <v>11</v>
      </c>
      <c r="F1346" s="34" t="s">
        <v>2098</v>
      </c>
      <c r="G1346" s="34" t="s">
        <v>51</v>
      </c>
    </row>
    <row r="1347" spans="2:7" ht="9.6" customHeight="1">
      <c r="B1347" s="35">
        <f t="shared" ref="B1347:B1363" si="78">B1346</f>
        <v>46231</v>
      </c>
      <c r="C1347" s="34" t="s">
        <v>2001</v>
      </c>
      <c r="D1347" s="34" t="s">
        <v>1860</v>
      </c>
      <c r="E1347" s="66" t="s">
        <v>11</v>
      </c>
      <c r="F1347" s="34" t="s">
        <v>1865</v>
      </c>
      <c r="G1347" s="34" t="s">
        <v>51</v>
      </c>
    </row>
    <row r="1348" spans="2:7" ht="9.6" customHeight="1">
      <c r="B1348" s="35">
        <f t="shared" si="78"/>
        <v>46231</v>
      </c>
      <c r="C1348" s="34" t="s">
        <v>2099</v>
      </c>
      <c r="D1348" s="34" t="s">
        <v>456</v>
      </c>
      <c r="E1348" s="66" t="s">
        <v>11</v>
      </c>
      <c r="F1348" s="34" t="s">
        <v>2100</v>
      </c>
      <c r="G1348" s="34" t="s">
        <v>51</v>
      </c>
    </row>
    <row r="1349" spans="2:7" ht="9.6" customHeight="1">
      <c r="B1349" s="35">
        <f t="shared" si="78"/>
        <v>46231</v>
      </c>
      <c r="C1349" s="34" t="s">
        <v>2101</v>
      </c>
      <c r="D1349" s="34" t="s">
        <v>52</v>
      </c>
      <c r="E1349" s="66" t="s">
        <v>11</v>
      </c>
      <c r="F1349" s="34" t="s">
        <v>2102</v>
      </c>
      <c r="G1349" s="34" t="s">
        <v>51</v>
      </c>
    </row>
    <row r="1350" spans="2:7" ht="9.6" customHeight="1">
      <c r="B1350" s="35">
        <f t="shared" si="78"/>
        <v>46231</v>
      </c>
      <c r="C1350" s="34" t="s">
        <v>176</v>
      </c>
      <c r="D1350" s="34" t="s">
        <v>2103</v>
      </c>
      <c r="E1350" s="66" t="s">
        <v>11</v>
      </c>
      <c r="F1350" s="34" t="s">
        <v>2104</v>
      </c>
      <c r="G1350" s="34" t="s">
        <v>64</v>
      </c>
    </row>
    <row r="1351" spans="2:7" ht="9.6" customHeight="1">
      <c r="B1351" s="35">
        <f t="shared" si="78"/>
        <v>46231</v>
      </c>
      <c r="C1351" s="34" t="s">
        <v>35</v>
      </c>
      <c r="D1351" s="34" t="s">
        <v>2105</v>
      </c>
      <c r="E1351" s="66" t="s">
        <v>11</v>
      </c>
      <c r="F1351" s="34" t="s">
        <v>2106</v>
      </c>
      <c r="G1351" s="34" t="s">
        <v>30</v>
      </c>
    </row>
    <row r="1352" spans="2:7" ht="9.6" customHeight="1">
      <c r="B1352" s="35">
        <f t="shared" si="78"/>
        <v>46231</v>
      </c>
      <c r="C1352" s="34" t="s">
        <v>2030</v>
      </c>
      <c r="D1352" s="34" t="s">
        <v>76</v>
      </c>
      <c r="E1352" s="66" t="s">
        <v>28</v>
      </c>
      <c r="F1352" s="36" t="s">
        <v>2107</v>
      </c>
      <c r="G1352" s="34" t="s">
        <v>30</v>
      </c>
    </row>
    <row r="1353" spans="2:7" ht="9.6" customHeight="1">
      <c r="B1353" s="35">
        <f t="shared" si="78"/>
        <v>46231</v>
      </c>
      <c r="C1353" s="34" t="s">
        <v>2108</v>
      </c>
      <c r="D1353" s="34" t="s">
        <v>224</v>
      </c>
      <c r="E1353" s="66" t="s">
        <v>28</v>
      </c>
      <c r="F1353" s="36" t="s">
        <v>2109</v>
      </c>
      <c r="G1353" s="34" t="s">
        <v>51</v>
      </c>
    </row>
    <row r="1354" spans="2:7" ht="9.6" customHeight="1">
      <c r="B1354" s="35">
        <f t="shared" si="78"/>
        <v>46231</v>
      </c>
      <c r="C1354" s="34" t="s">
        <v>1937</v>
      </c>
      <c r="D1354" s="34" t="s">
        <v>385</v>
      </c>
      <c r="E1354" s="66" t="s">
        <v>28</v>
      </c>
      <c r="F1354" s="36" t="s">
        <v>2110</v>
      </c>
      <c r="G1354" s="34" t="s">
        <v>70</v>
      </c>
    </row>
    <row r="1355" spans="2:7" ht="9.6" customHeight="1">
      <c r="B1355" s="35">
        <f t="shared" si="78"/>
        <v>46231</v>
      </c>
      <c r="C1355" s="34" t="s">
        <v>1937</v>
      </c>
      <c r="D1355" s="34" t="s">
        <v>19</v>
      </c>
      <c r="E1355" s="66" t="s">
        <v>28</v>
      </c>
      <c r="F1355" s="36" t="s">
        <v>2111</v>
      </c>
      <c r="G1355" s="34" t="s">
        <v>30</v>
      </c>
    </row>
    <row r="1356" spans="2:7" ht="9.6" customHeight="1">
      <c r="B1356" s="35">
        <f t="shared" si="78"/>
        <v>46231</v>
      </c>
      <c r="C1356" s="34" t="s">
        <v>2112</v>
      </c>
      <c r="D1356" s="34" t="s">
        <v>456</v>
      </c>
      <c r="E1356" s="66" t="s">
        <v>28</v>
      </c>
      <c r="F1356" s="36" t="s">
        <v>2113</v>
      </c>
      <c r="G1356" s="34" t="s">
        <v>30</v>
      </c>
    </row>
    <row r="1357" spans="2:7" ht="9.6" customHeight="1">
      <c r="B1357" s="35">
        <f t="shared" si="78"/>
        <v>46231</v>
      </c>
      <c r="C1357" s="34" t="s">
        <v>2009</v>
      </c>
      <c r="D1357" s="34" t="s">
        <v>232</v>
      </c>
      <c r="E1357" s="66" t="s">
        <v>28</v>
      </c>
      <c r="F1357" s="36" t="s">
        <v>2114</v>
      </c>
      <c r="G1357" s="34" t="s">
        <v>51</v>
      </c>
    </row>
    <row r="1358" spans="2:7" ht="9.6" customHeight="1">
      <c r="B1358" s="35">
        <f t="shared" si="78"/>
        <v>46231</v>
      </c>
      <c r="C1358" s="34" t="s">
        <v>2115</v>
      </c>
      <c r="D1358" s="34" t="s">
        <v>52</v>
      </c>
      <c r="E1358" s="66" t="s">
        <v>28</v>
      </c>
      <c r="F1358" s="36" t="s">
        <v>1718</v>
      </c>
      <c r="G1358" s="34" t="s">
        <v>51</v>
      </c>
    </row>
    <row r="1359" spans="2:7" ht="9.6" customHeight="1">
      <c r="B1359" s="35">
        <f t="shared" si="78"/>
        <v>46231</v>
      </c>
      <c r="C1359" s="34" t="s">
        <v>176</v>
      </c>
      <c r="D1359" s="34" t="s">
        <v>52</v>
      </c>
      <c r="E1359" s="66" t="s">
        <v>28</v>
      </c>
      <c r="F1359" s="36" t="s">
        <v>2116</v>
      </c>
      <c r="G1359" s="34" t="s">
        <v>30</v>
      </c>
    </row>
    <row r="1360" spans="2:7" ht="9.6" customHeight="1">
      <c r="B1360" s="35">
        <f t="shared" si="78"/>
        <v>46231</v>
      </c>
      <c r="C1360" s="34" t="s">
        <v>176</v>
      </c>
      <c r="D1360" s="34" t="s">
        <v>62</v>
      </c>
      <c r="E1360" s="66" t="s">
        <v>28</v>
      </c>
      <c r="F1360" s="36" t="s">
        <v>1903</v>
      </c>
      <c r="G1360" s="34" t="s">
        <v>30</v>
      </c>
    </row>
    <row r="1361" spans="2:7" ht="9.6" customHeight="1">
      <c r="B1361" s="35">
        <f t="shared" si="78"/>
        <v>46231</v>
      </c>
      <c r="C1361" s="34" t="s">
        <v>1937</v>
      </c>
      <c r="D1361" s="34" t="s">
        <v>94</v>
      </c>
      <c r="E1361" s="66" t="s">
        <v>28</v>
      </c>
      <c r="F1361" s="36" t="s">
        <v>1310</v>
      </c>
      <c r="G1361" s="34" t="s">
        <v>30</v>
      </c>
    </row>
    <row r="1362" spans="2:7" ht="9.6" customHeight="1">
      <c r="B1362" s="35">
        <f t="shared" si="78"/>
        <v>46231</v>
      </c>
      <c r="C1362" s="34" t="s">
        <v>2117</v>
      </c>
      <c r="D1362" s="34" t="s">
        <v>52</v>
      </c>
      <c r="E1362" s="66" t="s">
        <v>11</v>
      </c>
      <c r="F1362" s="36" t="s">
        <v>2118</v>
      </c>
      <c r="G1362" s="34" t="s">
        <v>51</v>
      </c>
    </row>
    <row r="1363" spans="2:7" ht="9.6" customHeight="1">
      <c r="B1363" s="35">
        <f t="shared" si="78"/>
        <v>46231</v>
      </c>
      <c r="C1363" s="34" t="s">
        <v>2119</v>
      </c>
      <c r="D1363" s="34" t="s">
        <v>52</v>
      </c>
      <c r="E1363" s="66" t="s">
        <v>11</v>
      </c>
      <c r="F1363" s="43" t="s">
        <v>1476</v>
      </c>
      <c r="G1363" s="34" t="s">
        <v>51</v>
      </c>
    </row>
    <row r="1364" spans="2:7" ht="9.6" customHeight="1">
      <c r="B1364" s="32">
        <v>46232</v>
      </c>
      <c r="C1364" s="34" t="s">
        <v>840</v>
      </c>
      <c r="D1364" s="34" t="s">
        <v>1756</v>
      </c>
      <c r="E1364" s="66" t="s">
        <v>11</v>
      </c>
      <c r="F1364" s="36" t="s">
        <v>2120</v>
      </c>
      <c r="G1364" s="34" t="s">
        <v>41</v>
      </c>
    </row>
    <row r="1365" spans="2:7" ht="9.6" customHeight="1">
      <c r="B1365" s="35">
        <f t="shared" ref="B1365:B1377" si="79">B1364</f>
        <v>46232</v>
      </c>
      <c r="C1365" s="34" t="s">
        <v>2121</v>
      </c>
      <c r="D1365" s="34" t="s">
        <v>922</v>
      </c>
      <c r="E1365" s="66" t="s">
        <v>11</v>
      </c>
      <c r="F1365" s="36" t="s">
        <v>2122</v>
      </c>
      <c r="G1365" s="34" t="s">
        <v>34</v>
      </c>
    </row>
    <row r="1366" spans="2:7" ht="9.6" customHeight="1">
      <c r="B1366" s="35">
        <f t="shared" si="79"/>
        <v>46232</v>
      </c>
      <c r="C1366" s="34" t="s">
        <v>1937</v>
      </c>
      <c r="D1366" s="34" t="s">
        <v>213</v>
      </c>
      <c r="E1366" s="66" t="s">
        <v>28</v>
      </c>
      <c r="F1366" s="36" t="s">
        <v>2123</v>
      </c>
      <c r="G1366" s="34" t="s">
        <v>217</v>
      </c>
    </row>
    <row r="1367" spans="2:7" ht="9.6" customHeight="1">
      <c r="B1367" s="35">
        <f t="shared" si="79"/>
        <v>46232</v>
      </c>
      <c r="C1367" s="34" t="s">
        <v>1937</v>
      </c>
      <c r="D1367" s="34" t="s">
        <v>2124</v>
      </c>
      <c r="E1367" s="66" t="s">
        <v>28</v>
      </c>
      <c r="F1367" s="36" t="s">
        <v>2125</v>
      </c>
      <c r="G1367" s="34" t="s">
        <v>371</v>
      </c>
    </row>
    <row r="1368" spans="2:7" ht="9.6" customHeight="1">
      <c r="B1368" s="35">
        <f t="shared" si="79"/>
        <v>46232</v>
      </c>
      <c r="C1368" s="34" t="s">
        <v>176</v>
      </c>
      <c r="D1368" s="34" t="s">
        <v>612</v>
      </c>
      <c r="E1368" s="66" t="s">
        <v>28</v>
      </c>
      <c r="F1368" s="36" t="s">
        <v>109</v>
      </c>
      <c r="G1368" s="34" t="s">
        <v>30</v>
      </c>
    </row>
    <row r="1369" spans="2:7" ht="9.6" customHeight="1">
      <c r="B1369" s="35">
        <f t="shared" si="79"/>
        <v>46232</v>
      </c>
      <c r="C1369" s="34" t="s">
        <v>1937</v>
      </c>
      <c r="D1369" s="34" t="s">
        <v>456</v>
      </c>
      <c r="E1369" s="66" t="s">
        <v>28</v>
      </c>
      <c r="F1369" s="36" t="s">
        <v>578</v>
      </c>
      <c r="G1369" s="34" t="s">
        <v>30</v>
      </c>
    </row>
    <row r="1370" spans="2:7" ht="9.6" customHeight="1">
      <c r="B1370" s="35">
        <f t="shared" si="79"/>
        <v>46232</v>
      </c>
      <c r="C1370" s="34" t="s">
        <v>1937</v>
      </c>
      <c r="D1370" s="34" t="s">
        <v>2126</v>
      </c>
      <c r="E1370" s="66" t="s">
        <v>28</v>
      </c>
      <c r="F1370" s="36" t="s">
        <v>2127</v>
      </c>
      <c r="G1370" s="34" t="s">
        <v>30</v>
      </c>
    </row>
    <row r="1371" spans="2:7" ht="9.6" customHeight="1">
      <c r="B1371" s="35">
        <f t="shared" si="79"/>
        <v>46232</v>
      </c>
      <c r="C1371" s="34" t="s">
        <v>2128</v>
      </c>
      <c r="D1371" s="34" t="s">
        <v>42</v>
      </c>
      <c r="E1371" s="66" t="s">
        <v>28</v>
      </c>
      <c r="F1371" s="36" t="s">
        <v>2129</v>
      </c>
      <c r="G1371" s="34" t="s">
        <v>34</v>
      </c>
    </row>
    <row r="1372" spans="2:7" ht="9.6" customHeight="1">
      <c r="B1372" s="35">
        <f t="shared" si="79"/>
        <v>46232</v>
      </c>
      <c r="C1372" s="34" t="s">
        <v>2130</v>
      </c>
      <c r="D1372" s="34" t="s">
        <v>1132</v>
      </c>
      <c r="E1372" s="66" t="s">
        <v>28</v>
      </c>
      <c r="F1372" s="36" t="s">
        <v>2131</v>
      </c>
      <c r="G1372" s="34" t="s">
        <v>34</v>
      </c>
    </row>
    <row r="1373" spans="2:7" ht="9.6" customHeight="1">
      <c r="B1373" s="35">
        <f t="shared" si="79"/>
        <v>46232</v>
      </c>
      <c r="C1373" s="34" t="s">
        <v>2132</v>
      </c>
      <c r="D1373" s="34" t="s">
        <v>81</v>
      </c>
      <c r="E1373" s="66" t="s">
        <v>28</v>
      </c>
      <c r="F1373" s="36" t="s">
        <v>2133</v>
      </c>
      <c r="G1373" s="34" t="s">
        <v>34</v>
      </c>
    </row>
    <row r="1374" spans="2:7" ht="9.6" customHeight="1">
      <c r="B1374" s="35">
        <f t="shared" si="79"/>
        <v>46232</v>
      </c>
      <c r="C1374" s="34" t="s">
        <v>2134</v>
      </c>
      <c r="D1374" s="34" t="s">
        <v>253</v>
      </c>
      <c r="E1374" s="66" t="s">
        <v>28</v>
      </c>
      <c r="F1374" s="36" t="s">
        <v>2135</v>
      </c>
      <c r="G1374" s="34" t="s">
        <v>34</v>
      </c>
    </row>
    <row r="1375" spans="2:7" ht="9.6" customHeight="1">
      <c r="B1375" s="35">
        <f t="shared" si="79"/>
        <v>46232</v>
      </c>
      <c r="C1375" s="34" t="s">
        <v>2136</v>
      </c>
      <c r="D1375" s="34" t="s">
        <v>403</v>
      </c>
      <c r="E1375" s="66" t="s">
        <v>28</v>
      </c>
      <c r="F1375" s="34" t="s">
        <v>2137</v>
      </c>
      <c r="G1375" s="34" t="s">
        <v>34</v>
      </c>
    </row>
    <row r="1376" spans="2:7" ht="9.6" customHeight="1">
      <c r="B1376" s="35">
        <f t="shared" si="79"/>
        <v>46232</v>
      </c>
      <c r="C1376" s="34" t="s">
        <v>2138</v>
      </c>
      <c r="D1376" s="34" t="s">
        <v>1132</v>
      </c>
      <c r="E1376" s="66" t="s">
        <v>28</v>
      </c>
      <c r="F1376" s="36" t="s">
        <v>2139</v>
      </c>
      <c r="G1376" s="34" t="s">
        <v>34</v>
      </c>
    </row>
    <row r="1377" spans="2:7" ht="9.6" customHeight="1">
      <c r="B1377" s="35">
        <f t="shared" si="79"/>
        <v>46232</v>
      </c>
      <c r="C1377" s="34" t="s">
        <v>2140</v>
      </c>
      <c r="D1377" s="34" t="s">
        <v>81</v>
      </c>
      <c r="E1377" s="66" t="s">
        <v>28</v>
      </c>
      <c r="F1377" s="36" t="s">
        <v>2133</v>
      </c>
      <c r="G1377" s="34" t="s">
        <v>34</v>
      </c>
    </row>
    <row r="1378" spans="2:7" ht="9.6" customHeight="1">
      <c r="B1378" s="32">
        <v>46235</v>
      </c>
      <c r="C1378" s="34" t="s">
        <v>2142</v>
      </c>
      <c r="D1378" s="34" t="s">
        <v>19</v>
      </c>
      <c r="E1378" s="66" t="s">
        <v>28</v>
      </c>
      <c r="F1378" s="34" t="s">
        <v>1049</v>
      </c>
      <c r="G1378" s="34" t="s">
        <v>30</v>
      </c>
    </row>
    <row r="1379" spans="2:7" ht="9.6" customHeight="1">
      <c r="B1379" s="32">
        <v>46235</v>
      </c>
      <c r="C1379" s="34" t="s">
        <v>2143</v>
      </c>
      <c r="D1379" s="34" t="s">
        <v>23</v>
      </c>
      <c r="E1379" s="66" t="s">
        <v>28</v>
      </c>
      <c r="F1379" s="34" t="s">
        <v>2144</v>
      </c>
      <c r="G1379" s="34" t="s">
        <v>83</v>
      </c>
    </row>
    <row r="1380" spans="2:7" ht="9.6" customHeight="1">
      <c r="B1380" s="32">
        <v>46235</v>
      </c>
      <c r="C1380" s="34" t="s">
        <v>2142</v>
      </c>
      <c r="D1380" s="34" t="s">
        <v>52</v>
      </c>
      <c r="E1380" s="66" t="s">
        <v>28</v>
      </c>
      <c r="F1380" s="34" t="s">
        <v>2145</v>
      </c>
      <c r="G1380" s="34" t="s">
        <v>30</v>
      </c>
    </row>
    <row r="1381" spans="2:7" ht="9.6" customHeight="1">
      <c r="B1381" s="32">
        <v>46235</v>
      </c>
      <c r="C1381" s="34" t="s">
        <v>2142</v>
      </c>
      <c r="D1381" s="34" t="s">
        <v>456</v>
      </c>
      <c r="E1381" s="66" t="s">
        <v>28</v>
      </c>
      <c r="F1381" s="34" t="s">
        <v>2146</v>
      </c>
      <c r="G1381" s="34" t="s">
        <v>113</v>
      </c>
    </row>
    <row r="1382" spans="2:7" ht="9.6" customHeight="1">
      <c r="B1382" s="32">
        <v>46235</v>
      </c>
      <c r="C1382" s="34" t="s">
        <v>2147</v>
      </c>
      <c r="D1382" s="34" t="s">
        <v>23</v>
      </c>
      <c r="E1382" s="66" t="s">
        <v>28</v>
      </c>
      <c r="F1382" s="34" t="s">
        <v>2148</v>
      </c>
      <c r="G1382" s="34" t="s">
        <v>83</v>
      </c>
    </row>
    <row r="1383" spans="2:7" ht="9.6" customHeight="1">
      <c r="B1383" s="32">
        <v>46235</v>
      </c>
      <c r="C1383" s="34" t="s">
        <v>2149</v>
      </c>
      <c r="D1383" s="34" t="s">
        <v>23</v>
      </c>
      <c r="E1383" s="66" t="s">
        <v>28</v>
      </c>
      <c r="F1383" s="34" t="s">
        <v>353</v>
      </c>
      <c r="G1383" s="34" t="s">
        <v>30</v>
      </c>
    </row>
    <row r="1384" spans="2:7" ht="9.6" customHeight="1">
      <c r="B1384" s="32">
        <v>46235</v>
      </c>
      <c r="C1384" s="34" t="s">
        <v>2142</v>
      </c>
      <c r="D1384" s="34" t="s">
        <v>52</v>
      </c>
      <c r="E1384" s="66" t="s">
        <v>28</v>
      </c>
      <c r="F1384" s="34" t="s">
        <v>2150</v>
      </c>
      <c r="G1384" s="34" t="s">
        <v>2027</v>
      </c>
    </row>
    <row r="1385" spans="2:7" ht="9.6" customHeight="1">
      <c r="B1385" s="32">
        <v>46235</v>
      </c>
      <c r="C1385" s="34" t="s">
        <v>2142</v>
      </c>
      <c r="D1385" s="34" t="s">
        <v>52</v>
      </c>
      <c r="E1385" s="66" t="s">
        <v>28</v>
      </c>
      <c r="F1385" s="34" t="s">
        <v>578</v>
      </c>
      <c r="G1385" s="34" t="s">
        <v>30</v>
      </c>
    </row>
    <row r="1386" spans="2:7" ht="9.6" customHeight="1">
      <c r="B1386" s="32">
        <v>46235</v>
      </c>
      <c r="C1386" s="34" t="s">
        <v>2151</v>
      </c>
      <c r="D1386" s="34" t="s">
        <v>885</v>
      </c>
      <c r="E1386" s="66" t="s">
        <v>28</v>
      </c>
      <c r="F1386" s="34" t="s">
        <v>2152</v>
      </c>
      <c r="G1386" s="34" t="s">
        <v>83</v>
      </c>
    </row>
    <row r="1387" spans="2:7" ht="9.6" customHeight="1">
      <c r="B1387" s="32">
        <v>46235</v>
      </c>
      <c r="C1387" s="34" t="s">
        <v>2142</v>
      </c>
      <c r="D1387" s="34" t="s">
        <v>394</v>
      </c>
      <c r="E1387" s="66" t="s">
        <v>28</v>
      </c>
      <c r="F1387" s="36" t="s">
        <v>1501</v>
      </c>
      <c r="G1387" s="34" t="s">
        <v>30</v>
      </c>
    </row>
    <row r="1388" spans="2:7" ht="9.6" customHeight="1">
      <c r="B1388" s="32">
        <v>46235</v>
      </c>
      <c r="C1388" s="34" t="s">
        <v>2153</v>
      </c>
      <c r="D1388" s="34" t="s">
        <v>2154</v>
      </c>
      <c r="E1388" s="66" t="s">
        <v>28</v>
      </c>
      <c r="F1388" s="36" t="s">
        <v>2155</v>
      </c>
      <c r="G1388" s="34" t="s">
        <v>83</v>
      </c>
    </row>
    <row r="1389" spans="2:7" ht="9.6" customHeight="1">
      <c r="B1389" s="32">
        <v>46235</v>
      </c>
      <c r="C1389" s="34" t="s">
        <v>2156</v>
      </c>
      <c r="D1389" s="34" t="s">
        <v>52</v>
      </c>
      <c r="E1389" s="66" t="s">
        <v>28</v>
      </c>
      <c r="F1389" s="36" t="s">
        <v>578</v>
      </c>
      <c r="G1389" s="34" t="s">
        <v>83</v>
      </c>
    </row>
    <row r="1390" spans="2:7" ht="9.6" customHeight="1">
      <c r="B1390" s="44">
        <v>46236</v>
      </c>
      <c r="C1390" s="45" t="s">
        <v>2157</v>
      </c>
      <c r="D1390" s="45" t="s">
        <v>23</v>
      </c>
      <c r="E1390" s="68" t="s">
        <v>11</v>
      </c>
      <c r="F1390" s="45" t="s">
        <v>2158</v>
      </c>
      <c r="G1390" s="45" t="s">
        <v>83</v>
      </c>
    </row>
    <row r="1391" spans="2:7" ht="9.6" customHeight="1">
      <c r="B1391" s="44">
        <v>46236</v>
      </c>
      <c r="C1391" s="45" t="s">
        <v>2159</v>
      </c>
      <c r="D1391" s="45" t="s">
        <v>42</v>
      </c>
      <c r="E1391" s="68" t="s">
        <v>11</v>
      </c>
      <c r="F1391" s="45" t="s">
        <v>2160</v>
      </c>
      <c r="G1391" s="45" t="s">
        <v>83</v>
      </c>
    </row>
    <row r="1392" spans="2:7" ht="9.6" customHeight="1">
      <c r="B1392" s="44">
        <v>46236</v>
      </c>
      <c r="C1392" s="45" t="s">
        <v>2161</v>
      </c>
      <c r="D1392" s="45" t="s">
        <v>42</v>
      </c>
      <c r="E1392" s="68" t="s">
        <v>11</v>
      </c>
      <c r="F1392" s="45" t="s">
        <v>2162</v>
      </c>
      <c r="G1392" s="45" t="s">
        <v>83</v>
      </c>
    </row>
    <row r="1393" spans="2:7" ht="9.6" customHeight="1">
      <c r="B1393" s="44">
        <v>46236</v>
      </c>
      <c r="C1393" s="45" t="s">
        <v>2163</v>
      </c>
      <c r="D1393" s="45" t="s">
        <v>23</v>
      </c>
      <c r="E1393" s="68" t="s">
        <v>11</v>
      </c>
      <c r="F1393" s="45" t="s">
        <v>2164</v>
      </c>
      <c r="G1393" s="45" t="s">
        <v>83</v>
      </c>
    </row>
    <row r="1394" spans="2:7" ht="9.6" customHeight="1">
      <c r="B1394" s="44">
        <v>46237</v>
      </c>
      <c r="C1394" s="45" t="s">
        <v>2165</v>
      </c>
      <c r="D1394" s="45" t="s">
        <v>142</v>
      </c>
      <c r="E1394" s="68" t="s">
        <v>11</v>
      </c>
      <c r="F1394" s="45" t="s">
        <v>2166</v>
      </c>
      <c r="G1394" s="45" t="s">
        <v>83</v>
      </c>
    </row>
    <row r="1395" spans="2:7" ht="9.6" customHeight="1">
      <c r="B1395" s="44">
        <f>B1394</f>
        <v>46237</v>
      </c>
      <c r="C1395" s="45" t="s">
        <v>2167</v>
      </c>
      <c r="D1395" s="45" t="s">
        <v>52</v>
      </c>
      <c r="E1395" s="68" t="s">
        <v>11</v>
      </c>
      <c r="F1395" s="45" t="s">
        <v>963</v>
      </c>
      <c r="G1395" s="45" t="s">
        <v>21</v>
      </c>
    </row>
    <row r="1396" spans="2:7" ht="9.6" customHeight="1">
      <c r="B1396" s="44">
        <f>B1394</f>
        <v>46237</v>
      </c>
      <c r="C1396" s="45" t="s">
        <v>2168</v>
      </c>
      <c r="D1396" s="45" t="s">
        <v>385</v>
      </c>
      <c r="E1396" s="68" t="s">
        <v>11</v>
      </c>
      <c r="F1396" s="45" t="s">
        <v>2169</v>
      </c>
      <c r="G1396" s="45" t="s">
        <v>64</v>
      </c>
    </row>
    <row r="1397" spans="2:7" ht="9.6" customHeight="1">
      <c r="B1397" s="44">
        <f>B1394</f>
        <v>46237</v>
      </c>
      <c r="C1397" s="45" t="s">
        <v>2170</v>
      </c>
      <c r="D1397" s="45" t="s">
        <v>52</v>
      </c>
      <c r="E1397" s="68" t="s">
        <v>11</v>
      </c>
      <c r="F1397" s="45" t="s">
        <v>2171</v>
      </c>
      <c r="G1397" s="45" t="s">
        <v>51</v>
      </c>
    </row>
    <row r="1398" spans="2:7" ht="9.6" customHeight="1">
      <c r="B1398" s="44">
        <f>B1397</f>
        <v>46237</v>
      </c>
      <c r="C1398" s="46" t="s">
        <v>2170</v>
      </c>
      <c r="D1398" s="45" t="s">
        <v>352</v>
      </c>
      <c r="E1398" s="68" t="s">
        <v>11</v>
      </c>
      <c r="F1398" s="45" t="s">
        <v>2171</v>
      </c>
      <c r="G1398" s="45" t="s">
        <v>51</v>
      </c>
    </row>
    <row r="1399" spans="2:7" ht="9.6" customHeight="1">
      <c r="B1399" s="44">
        <f>B1397</f>
        <v>46237</v>
      </c>
      <c r="C1399" s="45" t="s">
        <v>2172</v>
      </c>
      <c r="D1399" s="45" t="s">
        <v>2173</v>
      </c>
      <c r="E1399" s="68" t="s">
        <v>11</v>
      </c>
      <c r="F1399" s="45" t="s">
        <v>2174</v>
      </c>
      <c r="G1399" s="45" t="s">
        <v>51</v>
      </c>
    </row>
    <row r="1400" spans="2:7" ht="9.6" customHeight="1">
      <c r="B1400" s="44">
        <f>B1397</f>
        <v>46237</v>
      </c>
      <c r="C1400" s="45" t="s">
        <v>2175</v>
      </c>
      <c r="D1400" s="45" t="s">
        <v>2176</v>
      </c>
      <c r="E1400" s="68" t="s">
        <v>11</v>
      </c>
      <c r="F1400" s="45" t="s">
        <v>2177</v>
      </c>
      <c r="G1400" s="45" t="s">
        <v>51</v>
      </c>
    </row>
    <row r="1401" spans="2:7" ht="9.6" customHeight="1">
      <c r="B1401" s="44">
        <f>B1400</f>
        <v>46237</v>
      </c>
      <c r="C1401" s="45" t="s">
        <v>2178</v>
      </c>
      <c r="D1401" s="45" t="s">
        <v>570</v>
      </c>
      <c r="E1401" s="68" t="s">
        <v>11</v>
      </c>
      <c r="F1401" s="45" t="s">
        <v>2179</v>
      </c>
      <c r="G1401" s="45" t="s">
        <v>51</v>
      </c>
    </row>
    <row r="1402" spans="2:7" ht="9.6" customHeight="1">
      <c r="B1402" s="44">
        <v>46238</v>
      </c>
      <c r="C1402" s="45" t="s">
        <v>2180</v>
      </c>
      <c r="D1402" s="45" t="s">
        <v>407</v>
      </c>
      <c r="E1402" s="68" t="s">
        <v>11</v>
      </c>
      <c r="F1402" s="45" t="s">
        <v>2181</v>
      </c>
      <c r="G1402" s="45" t="s">
        <v>51</v>
      </c>
    </row>
    <row r="1403" spans="2:7" ht="9.6" customHeight="1">
      <c r="B1403" s="44">
        <f>B1402</f>
        <v>46238</v>
      </c>
      <c r="C1403" s="45" t="s">
        <v>35</v>
      </c>
      <c r="D1403" s="45" t="s">
        <v>261</v>
      </c>
      <c r="E1403" s="68" t="s">
        <v>11</v>
      </c>
      <c r="F1403" s="45" t="s">
        <v>2182</v>
      </c>
      <c r="G1403" s="45" t="s">
        <v>30</v>
      </c>
    </row>
    <row r="1404" spans="2:7" ht="9.6" customHeight="1">
      <c r="B1404" s="44">
        <f>B1402</f>
        <v>46238</v>
      </c>
      <c r="C1404" s="45" t="s">
        <v>35</v>
      </c>
      <c r="D1404" s="45" t="s">
        <v>2183</v>
      </c>
      <c r="E1404" s="68" t="s">
        <v>11</v>
      </c>
      <c r="F1404" s="45" t="s">
        <v>2184</v>
      </c>
      <c r="G1404" s="45" t="s">
        <v>30</v>
      </c>
    </row>
    <row r="1405" spans="2:7" ht="9.6" customHeight="1">
      <c r="B1405" s="44">
        <f>B1402</f>
        <v>46238</v>
      </c>
      <c r="C1405" s="45" t="s">
        <v>35</v>
      </c>
      <c r="D1405" s="45" t="s">
        <v>910</v>
      </c>
      <c r="E1405" s="68" t="s">
        <v>11</v>
      </c>
      <c r="F1405" s="45" t="s">
        <v>2185</v>
      </c>
      <c r="G1405" s="45" t="s">
        <v>70</v>
      </c>
    </row>
    <row r="1406" spans="2:7" ht="9.6" customHeight="1">
      <c r="B1406" s="44">
        <f>B1405</f>
        <v>46238</v>
      </c>
      <c r="C1406" s="46" t="s">
        <v>1874</v>
      </c>
      <c r="D1406" s="45" t="s">
        <v>2186</v>
      </c>
      <c r="E1406" s="68" t="s">
        <v>11</v>
      </c>
      <c r="F1406" s="45" t="s">
        <v>2187</v>
      </c>
      <c r="G1406" s="45" t="s">
        <v>2188</v>
      </c>
    </row>
    <row r="1407" spans="2:7" ht="9.6" customHeight="1">
      <c r="B1407" s="44">
        <f>B1405</f>
        <v>46238</v>
      </c>
      <c r="C1407" s="45" t="s">
        <v>35</v>
      </c>
      <c r="D1407" s="45" t="s">
        <v>2189</v>
      </c>
      <c r="E1407" s="68" t="s">
        <v>11</v>
      </c>
      <c r="F1407" s="45" t="s">
        <v>2190</v>
      </c>
      <c r="G1407" s="45" t="s">
        <v>83</v>
      </c>
    </row>
    <row r="1408" spans="2:7" ht="9.6" customHeight="1">
      <c r="B1408" s="44">
        <f>B1405</f>
        <v>46238</v>
      </c>
      <c r="C1408" s="45" t="s">
        <v>35</v>
      </c>
      <c r="D1408" s="45" t="s">
        <v>94</v>
      </c>
      <c r="E1408" s="68" t="s">
        <v>11</v>
      </c>
      <c r="F1408" s="45" t="s">
        <v>2191</v>
      </c>
      <c r="G1408" s="45" t="s">
        <v>371</v>
      </c>
    </row>
    <row r="1409" spans="2:7" ht="9.6" customHeight="1">
      <c r="B1409" s="44">
        <f>B1408</f>
        <v>46238</v>
      </c>
      <c r="C1409" s="45" t="s">
        <v>1874</v>
      </c>
      <c r="D1409" s="45" t="s">
        <v>374</v>
      </c>
      <c r="E1409" s="68" t="s">
        <v>11</v>
      </c>
      <c r="F1409" s="45" t="s">
        <v>2185</v>
      </c>
      <c r="G1409" s="45" t="s">
        <v>83</v>
      </c>
    </row>
    <row r="1410" spans="2:7" ht="9.6" customHeight="1">
      <c r="B1410" s="44">
        <f>B1408</f>
        <v>46238</v>
      </c>
      <c r="C1410" s="45" t="s">
        <v>35</v>
      </c>
      <c r="D1410" s="45" t="s">
        <v>1484</v>
      </c>
      <c r="E1410" s="68" t="s">
        <v>11</v>
      </c>
      <c r="F1410" s="45" t="s">
        <v>2192</v>
      </c>
      <c r="G1410" s="45" t="s">
        <v>30</v>
      </c>
    </row>
    <row r="1411" spans="2:7" ht="9.6" customHeight="1">
      <c r="B1411" s="44">
        <f>B1408</f>
        <v>46238</v>
      </c>
      <c r="C1411" s="45" t="s">
        <v>35</v>
      </c>
      <c r="D1411" s="45" t="s">
        <v>44</v>
      </c>
      <c r="E1411" s="68" t="s">
        <v>11</v>
      </c>
      <c r="F1411" s="45" t="s">
        <v>2193</v>
      </c>
      <c r="G1411" s="45"/>
    </row>
    <row r="1412" spans="2:7" ht="9.6" customHeight="1">
      <c r="B1412" s="44">
        <f>B1411</f>
        <v>46238</v>
      </c>
      <c r="C1412" s="45" t="s">
        <v>2194</v>
      </c>
      <c r="D1412" s="45" t="s">
        <v>213</v>
      </c>
      <c r="E1412" s="68" t="s">
        <v>11</v>
      </c>
      <c r="F1412" s="45" t="s">
        <v>2195</v>
      </c>
      <c r="G1412" s="45" t="s">
        <v>34</v>
      </c>
    </row>
    <row r="1413" spans="2:7" ht="9.6" customHeight="1">
      <c r="B1413" s="44">
        <f>B1411</f>
        <v>46238</v>
      </c>
      <c r="C1413" s="45" t="s">
        <v>2196</v>
      </c>
      <c r="D1413" s="45" t="s">
        <v>44</v>
      </c>
      <c r="E1413" s="68" t="s">
        <v>11</v>
      </c>
      <c r="F1413" s="45" t="s">
        <v>2197</v>
      </c>
      <c r="G1413" s="45" t="s">
        <v>34</v>
      </c>
    </row>
    <row r="1414" spans="2:7" ht="9.6" customHeight="1">
      <c r="B1414" s="44">
        <f>B1411</f>
        <v>46238</v>
      </c>
      <c r="C1414" s="45" t="s">
        <v>2180</v>
      </c>
      <c r="D1414" s="45" t="s">
        <v>213</v>
      </c>
      <c r="E1414" s="68" t="s">
        <v>11</v>
      </c>
      <c r="F1414" s="45" t="s">
        <v>2198</v>
      </c>
      <c r="G1414" s="45" t="s">
        <v>51</v>
      </c>
    </row>
    <row r="1415" spans="2:7" ht="9.6" customHeight="1">
      <c r="B1415" s="44">
        <f>B1414</f>
        <v>46238</v>
      </c>
      <c r="C1415" s="45" t="s">
        <v>2199</v>
      </c>
      <c r="D1415" s="45" t="s">
        <v>1860</v>
      </c>
      <c r="E1415" s="68" t="s">
        <v>11</v>
      </c>
      <c r="F1415" s="45" t="s">
        <v>2200</v>
      </c>
      <c r="G1415" s="45" t="s">
        <v>51</v>
      </c>
    </row>
    <row r="1416" spans="2:7" ht="9.6" customHeight="1">
      <c r="B1416" s="44">
        <f>B1414</f>
        <v>46238</v>
      </c>
      <c r="C1416" s="45" t="s">
        <v>35</v>
      </c>
      <c r="D1416" s="45" t="s">
        <v>385</v>
      </c>
      <c r="E1416" s="68" t="s">
        <v>11</v>
      </c>
      <c r="F1416" s="45" t="s">
        <v>2201</v>
      </c>
      <c r="G1416" s="45" t="s">
        <v>41</v>
      </c>
    </row>
    <row r="1417" spans="2:7" ht="9.6" customHeight="1">
      <c r="B1417" s="44">
        <f>B1414</f>
        <v>46238</v>
      </c>
      <c r="C1417" s="45" t="s">
        <v>2202</v>
      </c>
      <c r="D1417" s="45" t="s">
        <v>1860</v>
      </c>
      <c r="E1417" s="68" t="s">
        <v>11</v>
      </c>
      <c r="F1417" s="45" t="s">
        <v>2203</v>
      </c>
      <c r="G1417" s="45" t="s">
        <v>51</v>
      </c>
    </row>
    <row r="1418" spans="2:7" ht="9.6" customHeight="1">
      <c r="B1418" s="47">
        <v>46239</v>
      </c>
      <c r="C1418" s="48" t="s">
        <v>2204</v>
      </c>
      <c r="D1418" s="48" t="s">
        <v>570</v>
      </c>
      <c r="E1418" s="68" t="s">
        <v>11</v>
      </c>
      <c r="F1418" s="48" t="s">
        <v>2205</v>
      </c>
      <c r="G1418" s="48" t="s">
        <v>34</v>
      </c>
    </row>
    <row r="1419" spans="2:7" ht="9.6" customHeight="1">
      <c r="B1419" s="47">
        <f>B1418</f>
        <v>46239</v>
      </c>
      <c r="C1419" s="48" t="s">
        <v>2206</v>
      </c>
      <c r="D1419" s="48" t="s">
        <v>2207</v>
      </c>
      <c r="E1419" s="68" t="s">
        <v>11</v>
      </c>
      <c r="F1419" s="48" t="s">
        <v>2208</v>
      </c>
      <c r="G1419" s="48" t="s">
        <v>34</v>
      </c>
    </row>
    <row r="1420" spans="2:7" ht="9.6" customHeight="1">
      <c r="B1420" s="47">
        <f>B1418</f>
        <v>46239</v>
      </c>
      <c r="C1420" s="48" t="s">
        <v>35</v>
      </c>
      <c r="D1420" s="48" t="s">
        <v>570</v>
      </c>
      <c r="E1420" s="66" t="s">
        <v>28</v>
      </c>
      <c r="F1420" s="48" t="s">
        <v>2209</v>
      </c>
      <c r="G1420" s="48" t="s">
        <v>30</v>
      </c>
    </row>
    <row r="1421" spans="2:7" ht="9.6" customHeight="1">
      <c r="B1421" s="47">
        <f>B1418</f>
        <v>46239</v>
      </c>
      <c r="C1421" s="48" t="s">
        <v>2210</v>
      </c>
      <c r="D1421" s="48" t="s">
        <v>570</v>
      </c>
      <c r="E1421" s="66" t="s">
        <v>28</v>
      </c>
      <c r="F1421" s="48" t="s">
        <v>2211</v>
      </c>
      <c r="G1421" s="48" t="s">
        <v>34</v>
      </c>
    </row>
    <row r="1422" spans="2:7" ht="9.6" customHeight="1">
      <c r="B1422" s="47">
        <f>B1421</f>
        <v>46239</v>
      </c>
      <c r="C1422" s="49" t="s">
        <v>2212</v>
      </c>
      <c r="D1422" s="48" t="s">
        <v>456</v>
      </c>
      <c r="E1422" s="66" t="s">
        <v>28</v>
      </c>
      <c r="F1422" s="48" t="s">
        <v>2213</v>
      </c>
      <c r="G1422" s="48" t="s">
        <v>1245</v>
      </c>
    </row>
    <row r="1423" spans="2:7" ht="9.6" customHeight="1">
      <c r="B1423" s="47">
        <f>B1421</f>
        <v>46239</v>
      </c>
      <c r="C1423" s="48" t="s">
        <v>1901</v>
      </c>
      <c r="D1423" s="48" t="s">
        <v>42</v>
      </c>
      <c r="E1423" s="66" t="s">
        <v>28</v>
      </c>
      <c r="F1423" s="48" t="s">
        <v>2214</v>
      </c>
      <c r="G1423" s="48" t="s">
        <v>30</v>
      </c>
    </row>
    <row r="1424" spans="2:7" ht="9.6" customHeight="1">
      <c r="B1424" s="47">
        <f>B1421</f>
        <v>46239</v>
      </c>
      <c r="C1424" s="48" t="s">
        <v>176</v>
      </c>
      <c r="D1424" s="48" t="s">
        <v>2215</v>
      </c>
      <c r="E1424" s="66" t="s">
        <v>28</v>
      </c>
      <c r="F1424" s="48" t="s">
        <v>442</v>
      </c>
      <c r="G1424" s="48" t="s">
        <v>30</v>
      </c>
    </row>
    <row r="1425" spans="2:7" ht="9.6" customHeight="1">
      <c r="B1425" s="47">
        <f>B1424</f>
        <v>46239</v>
      </c>
      <c r="C1425" s="48" t="s">
        <v>1901</v>
      </c>
      <c r="D1425" s="48" t="s">
        <v>94</v>
      </c>
      <c r="E1425" s="66" t="s">
        <v>28</v>
      </c>
      <c r="F1425" s="48" t="s">
        <v>2216</v>
      </c>
      <c r="G1425" s="48" t="s">
        <v>30</v>
      </c>
    </row>
    <row r="1426" spans="2:7" ht="9.6" customHeight="1">
      <c r="B1426" s="47">
        <f>B1424</f>
        <v>46239</v>
      </c>
      <c r="C1426" s="49" t="s">
        <v>2212</v>
      </c>
      <c r="D1426" s="48" t="s">
        <v>38</v>
      </c>
      <c r="E1426" s="66" t="s">
        <v>28</v>
      </c>
      <c r="F1426" s="48" t="s">
        <v>2217</v>
      </c>
      <c r="G1426" s="48" t="s">
        <v>30</v>
      </c>
    </row>
    <row r="1427" spans="2:7" ht="9.6" customHeight="1">
      <c r="B1427" s="47">
        <f>B1424</f>
        <v>46239</v>
      </c>
      <c r="C1427" s="48" t="s">
        <v>1904</v>
      </c>
      <c r="D1427" s="48" t="s">
        <v>42</v>
      </c>
      <c r="E1427" s="66" t="s">
        <v>28</v>
      </c>
      <c r="F1427" s="48" t="s">
        <v>2218</v>
      </c>
      <c r="G1427" s="48" t="s">
        <v>34</v>
      </c>
    </row>
    <row r="1428" spans="2:7" ht="9.6" customHeight="1">
      <c r="B1428" s="47">
        <f>B1427</f>
        <v>46239</v>
      </c>
      <c r="C1428" s="48" t="s">
        <v>2210</v>
      </c>
      <c r="D1428" s="48" t="s">
        <v>910</v>
      </c>
      <c r="E1428" s="66" t="s">
        <v>28</v>
      </c>
      <c r="F1428" s="48" t="s">
        <v>2219</v>
      </c>
      <c r="G1428" s="48" t="s">
        <v>371</v>
      </c>
    </row>
    <row r="1429" spans="2:7" ht="9.6" customHeight="1">
      <c r="B1429" s="47">
        <f>B1427</f>
        <v>46239</v>
      </c>
      <c r="C1429" s="48" t="s">
        <v>2210</v>
      </c>
      <c r="D1429" s="48" t="s">
        <v>94</v>
      </c>
      <c r="E1429" s="66" t="s">
        <v>28</v>
      </c>
      <c r="F1429" s="48" t="s">
        <v>2220</v>
      </c>
      <c r="G1429" s="48" t="s">
        <v>34</v>
      </c>
    </row>
    <row r="1430" spans="2:7" ht="9.6" customHeight="1">
      <c r="B1430" s="47">
        <f>B1427</f>
        <v>46239</v>
      </c>
      <c r="C1430" s="48" t="s">
        <v>1904</v>
      </c>
      <c r="D1430" s="48" t="s">
        <v>94</v>
      </c>
      <c r="E1430" s="66" t="s">
        <v>28</v>
      </c>
      <c r="F1430" s="48" t="s">
        <v>2221</v>
      </c>
      <c r="G1430" s="48" t="s">
        <v>34</v>
      </c>
    </row>
    <row r="1431" spans="2:7" ht="9.6" customHeight="1">
      <c r="B1431" s="47">
        <f>B1430</f>
        <v>46239</v>
      </c>
      <c r="C1431" s="48" t="s">
        <v>295</v>
      </c>
      <c r="D1431" s="48" t="s">
        <v>2222</v>
      </c>
      <c r="E1431" s="66" t="s">
        <v>28</v>
      </c>
      <c r="F1431" s="48" t="s">
        <v>375</v>
      </c>
      <c r="G1431" s="48" t="s">
        <v>30</v>
      </c>
    </row>
    <row r="1432" spans="2:7" ht="9.6" customHeight="1">
      <c r="B1432" s="47">
        <f>B1430</f>
        <v>46239</v>
      </c>
      <c r="C1432" s="48" t="s">
        <v>295</v>
      </c>
      <c r="D1432" s="48" t="s">
        <v>94</v>
      </c>
      <c r="E1432" s="66" t="s">
        <v>28</v>
      </c>
      <c r="F1432" s="48" t="s">
        <v>2223</v>
      </c>
      <c r="G1432" s="48" t="s">
        <v>237</v>
      </c>
    </row>
    <row r="1433" spans="2:7" ht="9.6" customHeight="1">
      <c r="B1433" s="47">
        <f>B1430</f>
        <v>46239</v>
      </c>
      <c r="C1433" s="48" t="s">
        <v>2224</v>
      </c>
      <c r="D1433" s="48" t="s">
        <v>2225</v>
      </c>
      <c r="E1433" s="68" t="s">
        <v>11</v>
      </c>
      <c r="F1433" s="48" t="s">
        <v>2226</v>
      </c>
      <c r="G1433" s="48" t="s">
        <v>34</v>
      </c>
    </row>
    <row r="1434" spans="2:7" ht="9.6" customHeight="1">
      <c r="B1434" s="47">
        <f>B1433</f>
        <v>46239</v>
      </c>
      <c r="C1434" s="48" t="s">
        <v>2227</v>
      </c>
      <c r="D1434" s="48" t="s">
        <v>42</v>
      </c>
      <c r="E1434" s="68" t="s">
        <v>11</v>
      </c>
      <c r="F1434" s="48" t="s">
        <v>526</v>
      </c>
      <c r="G1434" s="48" t="s">
        <v>34</v>
      </c>
    </row>
    <row r="1435" spans="2:7" ht="9.6" customHeight="1">
      <c r="B1435" s="47">
        <f>B1433</f>
        <v>46239</v>
      </c>
      <c r="C1435" s="48" t="s">
        <v>2228</v>
      </c>
      <c r="D1435" s="48" t="s">
        <v>42</v>
      </c>
      <c r="E1435" s="68" t="s">
        <v>11</v>
      </c>
      <c r="F1435" s="48" t="s">
        <v>526</v>
      </c>
      <c r="G1435" s="48" t="s">
        <v>34</v>
      </c>
    </row>
    <row r="1436" spans="2:7" ht="9.6" customHeight="1">
      <c r="B1436" s="47">
        <f>B1433</f>
        <v>46239</v>
      </c>
      <c r="C1436" s="48" t="s">
        <v>2229</v>
      </c>
      <c r="D1436" s="48" t="s">
        <v>42</v>
      </c>
      <c r="E1436" s="68" t="s">
        <v>11</v>
      </c>
      <c r="F1436" s="48" t="s">
        <v>2230</v>
      </c>
      <c r="G1436" s="48" t="s">
        <v>34</v>
      </c>
    </row>
    <row r="1437" spans="2:7" ht="9.6" customHeight="1">
      <c r="B1437" s="47">
        <f>B1436</f>
        <v>46239</v>
      </c>
      <c r="C1437" s="48" t="s">
        <v>2231</v>
      </c>
      <c r="D1437" s="48" t="s">
        <v>42</v>
      </c>
      <c r="E1437" s="68" t="s">
        <v>11</v>
      </c>
      <c r="F1437" s="48" t="s">
        <v>876</v>
      </c>
      <c r="G1437" s="48" t="s">
        <v>34</v>
      </c>
    </row>
    <row r="1438" spans="2:7" ht="9.6" customHeight="1">
      <c r="B1438" s="44">
        <v>46240</v>
      </c>
      <c r="C1438" s="45" t="s">
        <v>2232</v>
      </c>
      <c r="D1438" s="45" t="s">
        <v>42</v>
      </c>
      <c r="E1438" s="66" t="s">
        <v>28</v>
      </c>
      <c r="F1438" s="45" t="s">
        <v>1379</v>
      </c>
      <c r="G1438" s="45" t="s">
        <v>34</v>
      </c>
    </row>
    <row r="1439" spans="2:7" ht="9.6" customHeight="1">
      <c r="B1439" s="44">
        <f>B1438</f>
        <v>46240</v>
      </c>
      <c r="C1439" s="45" t="s">
        <v>34</v>
      </c>
      <c r="D1439" s="45" t="s">
        <v>2233</v>
      </c>
      <c r="E1439" s="66" t="s">
        <v>28</v>
      </c>
      <c r="F1439" s="45" t="s">
        <v>2234</v>
      </c>
      <c r="G1439" s="45" t="s">
        <v>34</v>
      </c>
    </row>
    <row r="1440" spans="2:7" ht="9.6" customHeight="1">
      <c r="B1440" s="44">
        <f>B1438</f>
        <v>46240</v>
      </c>
      <c r="C1440" s="45" t="s">
        <v>27</v>
      </c>
      <c r="D1440" s="45" t="s">
        <v>1516</v>
      </c>
      <c r="E1440" s="66" t="s">
        <v>28</v>
      </c>
      <c r="F1440" s="45" t="s">
        <v>2235</v>
      </c>
      <c r="G1440" s="45" t="s">
        <v>30</v>
      </c>
    </row>
    <row r="1441" spans="2:7" ht="9.6" customHeight="1">
      <c r="B1441" s="44">
        <f>B1438</f>
        <v>46240</v>
      </c>
      <c r="C1441" s="45" t="s">
        <v>1901</v>
      </c>
      <c r="D1441" s="45" t="s">
        <v>394</v>
      </c>
      <c r="E1441" s="66" t="s">
        <v>28</v>
      </c>
      <c r="F1441" s="45" t="s">
        <v>2236</v>
      </c>
      <c r="G1441" s="45" t="s">
        <v>30</v>
      </c>
    </row>
    <row r="1442" spans="2:7" ht="9.6" customHeight="1">
      <c r="B1442" s="44">
        <f>B1441</f>
        <v>46240</v>
      </c>
      <c r="C1442" s="45" t="s">
        <v>2232</v>
      </c>
      <c r="D1442" s="45" t="s">
        <v>62</v>
      </c>
      <c r="E1442" s="66" t="s">
        <v>28</v>
      </c>
      <c r="F1442" s="45" t="s">
        <v>2237</v>
      </c>
      <c r="G1442" s="45" t="s">
        <v>371</v>
      </c>
    </row>
    <row r="1443" spans="2:7" ht="9.6" customHeight="1">
      <c r="B1443" s="44">
        <f>B1441</f>
        <v>46240</v>
      </c>
      <c r="C1443" s="45" t="s">
        <v>27</v>
      </c>
      <c r="D1443" s="45" t="s">
        <v>42</v>
      </c>
      <c r="E1443" s="66" t="s">
        <v>28</v>
      </c>
      <c r="F1443" s="45" t="s">
        <v>2238</v>
      </c>
      <c r="G1443" s="45" t="s">
        <v>34</v>
      </c>
    </row>
    <row r="1444" spans="2:7" ht="9.6" customHeight="1">
      <c r="B1444" s="44">
        <f>B1441</f>
        <v>46240</v>
      </c>
      <c r="C1444" s="45" t="s">
        <v>27</v>
      </c>
      <c r="D1444" s="45" t="s">
        <v>735</v>
      </c>
      <c r="E1444" s="66" t="s">
        <v>28</v>
      </c>
      <c r="F1444" s="45" t="s">
        <v>2239</v>
      </c>
      <c r="G1444" s="45" t="s">
        <v>492</v>
      </c>
    </row>
    <row r="1445" spans="2:7" ht="9.6" customHeight="1">
      <c r="B1445" s="44">
        <f>B1444</f>
        <v>46240</v>
      </c>
      <c r="C1445" s="45" t="s">
        <v>2240</v>
      </c>
      <c r="D1445" s="45" t="s">
        <v>2241</v>
      </c>
      <c r="E1445" s="66" t="s">
        <v>28</v>
      </c>
      <c r="F1445" s="45" t="s">
        <v>1312</v>
      </c>
      <c r="G1445" s="45" t="s">
        <v>70</v>
      </c>
    </row>
    <row r="1446" spans="2:7" ht="9.6" customHeight="1">
      <c r="B1446" s="44">
        <f>B1444</f>
        <v>46240</v>
      </c>
      <c r="C1446" s="45" t="s">
        <v>2242</v>
      </c>
      <c r="D1446" s="45" t="s">
        <v>81</v>
      </c>
      <c r="E1446" s="66" t="s">
        <v>28</v>
      </c>
      <c r="F1446" s="45" t="s">
        <v>2243</v>
      </c>
      <c r="G1446" s="45" t="s">
        <v>34</v>
      </c>
    </row>
    <row r="1447" spans="2:7" ht="9.6" customHeight="1">
      <c r="B1447" s="44">
        <f>B1444</f>
        <v>46240</v>
      </c>
      <c r="C1447" s="45" t="s">
        <v>2244</v>
      </c>
      <c r="D1447" s="45" t="s">
        <v>352</v>
      </c>
      <c r="E1447" s="66" t="s">
        <v>28</v>
      </c>
      <c r="F1447" s="50" t="s">
        <v>1985</v>
      </c>
      <c r="G1447" s="45" t="s">
        <v>34</v>
      </c>
    </row>
    <row r="1448" spans="2:7" ht="9.6" customHeight="1">
      <c r="B1448" s="44">
        <f>B1447</f>
        <v>46240</v>
      </c>
      <c r="C1448" s="45" t="s">
        <v>27</v>
      </c>
      <c r="D1448" s="45" t="s">
        <v>94</v>
      </c>
      <c r="E1448" s="66" t="s">
        <v>28</v>
      </c>
      <c r="F1448" s="50" t="s">
        <v>2245</v>
      </c>
      <c r="G1448" s="45" t="s">
        <v>30</v>
      </c>
    </row>
    <row r="1449" spans="2:7" ht="9.6" customHeight="1">
      <c r="B1449" s="44">
        <f>B1447</f>
        <v>46240</v>
      </c>
      <c r="C1449" s="45" t="s">
        <v>176</v>
      </c>
      <c r="D1449" s="45" t="s">
        <v>385</v>
      </c>
      <c r="E1449" s="66" t="s">
        <v>28</v>
      </c>
      <c r="F1449" s="50" t="s">
        <v>2246</v>
      </c>
      <c r="G1449" s="45" t="s">
        <v>30</v>
      </c>
    </row>
    <row r="1450" spans="2:7" ht="9.6" customHeight="1">
      <c r="B1450" s="44">
        <f>B1447</f>
        <v>46240</v>
      </c>
      <c r="C1450" s="45" t="s">
        <v>83</v>
      </c>
      <c r="D1450" s="45" t="s">
        <v>374</v>
      </c>
      <c r="E1450" s="66" t="s">
        <v>28</v>
      </c>
      <c r="F1450" s="50" t="s">
        <v>1079</v>
      </c>
      <c r="G1450" s="45" t="s">
        <v>30</v>
      </c>
    </row>
    <row r="1451" spans="2:7" ht="9.6" customHeight="1">
      <c r="B1451" s="44">
        <f>B1450</f>
        <v>46240</v>
      </c>
      <c r="C1451" s="45" t="s">
        <v>27</v>
      </c>
      <c r="D1451" s="45" t="s">
        <v>735</v>
      </c>
      <c r="E1451" s="66" t="s">
        <v>28</v>
      </c>
      <c r="F1451" s="45" t="s">
        <v>1264</v>
      </c>
      <c r="G1451" s="45" t="s">
        <v>34</v>
      </c>
    </row>
    <row r="1452" spans="2:7" ht="9.6" customHeight="1">
      <c r="B1452" s="44">
        <f>B1450</f>
        <v>46240</v>
      </c>
      <c r="C1452" s="45" t="s">
        <v>83</v>
      </c>
      <c r="D1452" s="45" t="s">
        <v>937</v>
      </c>
      <c r="E1452" s="66" t="s">
        <v>28</v>
      </c>
      <c r="F1452" s="50" t="s">
        <v>2247</v>
      </c>
      <c r="G1452" s="45" t="s">
        <v>30</v>
      </c>
    </row>
    <row r="1453" spans="2:7" ht="9.6" customHeight="1">
      <c r="B1453" s="44">
        <f>B1450</f>
        <v>46240</v>
      </c>
      <c r="C1453" s="45" t="s">
        <v>83</v>
      </c>
      <c r="D1453" s="45" t="s">
        <v>2248</v>
      </c>
      <c r="E1453" s="66" t="s">
        <v>28</v>
      </c>
      <c r="F1453" s="50" t="s">
        <v>2249</v>
      </c>
      <c r="G1453" s="45" t="s">
        <v>70</v>
      </c>
    </row>
    <row r="1454" spans="2:7" ht="9.6" customHeight="1">
      <c r="B1454" s="44">
        <f>B1453</f>
        <v>46240</v>
      </c>
      <c r="C1454" s="48" t="s">
        <v>2250</v>
      </c>
      <c r="D1454" s="48" t="s">
        <v>81</v>
      </c>
      <c r="E1454" s="69" t="s">
        <v>11</v>
      </c>
      <c r="F1454" s="48" t="s">
        <v>2251</v>
      </c>
      <c r="G1454" s="48" t="s">
        <v>34</v>
      </c>
    </row>
    <row r="1455" spans="2:7" ht="9.6" customHeight="1">
      <c r="B1455" s="44">
        <f>B1453</f>
        <v>46240</v>
      </c>
      <c r="C1455" s="48" t="s">
        <v>2252</v>
      </c>
      <c r="D1455" s="48" t="s">
        <v>81</v>
      </c>
      <c r="E1455" s="69" t="s">
        <v>11</v>
      </c>
      <c r="F1455" s="48" t="s">
        <v>2251</v>
      </c>
      <c r="G1455" s="48" t="s">
        <v>34</v>
      </c>
    </row>
    <row r="1456" spans="2:7" ht="9.6" customHeight="1">
      <c r="B1456" s="44">
        <f>B1453</f>
        <v>46240</v>
      </c>
      <c r="C1456" s="48" t="s">
        <v>2253</v>
      </c>
      <c r="D1456" s="48" t="s">
        <v>735</v>
      </c>
      <c r="E1456" s="69" t="s">
        <v>11</v>
      </c>
      <c r="F1456" s="48" t="s">
        <v>2254</v>
      </c>
      <c r="G1456" s="48" t="s">
        <v>34</v>
      </c>
    </row>
    <row r="1457" spans="2:7" ht="9.6" customHeight="1">
      <c r="B1457" s="51">
        <v>46241</v>
      </c>
      <c r="C1457" s="52" t="s">
        <v>2255</v>
      </c>
      <c r="D1457" s="52" t="s">
        <v>1935</v>
      </c>
      <c r="E1457" s="68" t="s">
        <v>28</v>
      </c>
      <c r="F1457" s="52" t="s">
        <v>2256</v>
      </c>
      <c r="G1457" s="52" t="s">
        <v>30</v>
      </c>
    </row>
    <row r="1458" spans="2:7" ht="9.6" customHeight="1">
      <c r="B1458" s="51">
        <f>B1457</f>
        <v>46241</v>
      </c>
      <c r="C1458" s="52" t="s">
        <v>2257</v>
      </c>
      <c r="D1458" s="52" t="s">
        <v>52</v>
      </c>
      <c r="E1458" s="68" t="s">
        <v>28</v>
      </c>
      <c r="F1458" s="52" t="s">
        <v>2258</v>
      </c>
      <c r="G1458" s="52" t="s">
        <v>30</v>
      </c>
    </row>
    <row r="1459" spans="2:7" ht="9.6" customHeight="1">
      <c r="B1459" s="51">
        <f>B1457</f>
        <v>46241</v>
      </c>
      <c r="C1459" s="52" t="s">
        <v>2259</v>
      </c>
      <c r="D1459" s="52" t="s">
        <v>32</v>
      </c>
      <c r="E1459" s="68" t="s">
        <v>28</v>
      </c>
      <c r="F1459" s="52" t="s">
        <v>2260</v>
      </c>
      <c r="G1459" s="52" t="s">
        <v>30</v>
      </c>
    </row>
    <row r="1460" spans="2:7" ht="9.6" customHeight="1">
      <c r="B1460" s="51">
        <f>B1457</f>
        <v>46241</v>
      </c>
      <c r="C1460" s="52" t="s">
        <v>2142</v>
      </c>
      <c r="D1460" s="52" t="s">
        <v>52</v>
      </c>
      <c r="E1460" s="68" t="s">
        <v>28</v>
      </c>
      <c r="F1460" s="52" t="s">
        <v>2261</v>
      </c>
      <c r="G1460" s="52" t="s">
        <v>30</v>
      </c>
    </row>
    <row r="1461" spans="2:7" ht="9.6" customHeight="1">
      <c r="B1461" s="51">
        <f>B1460</f>
        <v>46241</v>
      </c>
      <c r="C1461" s="52" t="s">
        <v>2262</v>
      </c>
      <c r="D1461" s="52" t="s">
        <v>19</v>
      </c>
      <c r="E1461" s="68" t="s">
        <v>28</v>
      </c>
      <c r="F1461" s="52" t="s">
        <v>2263</v>
      </c>
      <c r="G1461" s="52" t="s">
        <v>187</v>
      </c>
    </row>
    <row r="1462" spans="2:7" ht="9.6" customHeight="1">
      <c r="B1462" s="51">
        <f>B1460</f>
        <v>46241</v>
      </c>
      <c r="C1462" s="52" t="s">
        <v>2142</v>
      </c>
      <c r="D1462" s="52" t="s">
        <v>459</v>
      </c>
      <c r="E1462" s="68" t="s">
        <v>28</v>
      </c>
      <c r="F1462" s="52" t="s">
        <v>2264</v>
      </c>
      <c r="G1462" s="52" t="s">
        <v>30</v>
      </c>
    </row>
    <row r="1463" spans="2:7" ht="9.6" customHeight="1">
      <c r="B1463" s="51">
        <f>B1460</f>
        <v>46241</v>
      </c>
      <c r="C1463" s="52" t="s">
        <v>2142</v>
      </c>
      <c r="D1463" s="52" t="s">
        <v>2265</v>
      </c>
      <c r="E1463" s="68" t="s">
        <v>28</v>
      </c>
      <c r="F1463" s="52" t="s">
        <v>2266</v>
      </c>
      <c r="G1463" s="52" t="s">
        <v>54</v>
      </c>
    </row>
    <row r="1464" spans="2:7" ht="9.6" customHeight="1">
      <c r="B1464" s="51">
        <f>B1463</f>
        <v>46241</v>
      </c>
      <c r="C1464" s="52" t="s">
        <v>2267</v>
      </c>
      <c r="D1464" s="52" t="s">
        <v>462</v>
      </c>
      <c r="E1464" s="68" t="s">
        <v>28</v>
      </c>
      <c r="F1464" s="52" t="s">
        <v>2268</v>
      </c>
      <c r="G1464" s="52" t="s">
        <v>187</v>
      </c>
    </row>
    <row r="1465" spans="2:7" ht="9.6" customHeight="1">
      <c r="B1465" s="51">
        <f>B1463</f>
        <v>46241</v>
      </c>
      <c r="C1465" s="52" t="s">
        <v>2269</v>
      </c>
      <c r="D1465" s="52" t="s">
        <v>224</v>
      </c>
      <c r="E1465" s="68" t="s">
        <v>28</v>
      </c>
      <c r="F1465" s="52" t="s">
        <v>2270</v>
      </c>
      <c r="G1465" s="52" t="s">
        <v>30</v>
      </c>
    </row>
    <row r="1466" spans="2:7" ht="9.6" customHeight="1">
      <c r="B1466" s="51">
        <f>B1463</f>
        <v>46241</v>
      </c>
      <c r="C1466" s="52" t="s">
        <v>2142</v>
      </c>
      <c r="D1466" s="52" t="s">
        <v>76</v>
      </c>
      <c r="E1466" s="68" t="s">
        <v>28</v>
      </c>
      <c r="F1466" s="53" t="s">
        <v>578</v>
      </c>
      <c r="G1466" s="52" t="s">
        <v>30</v>
      </c>
    </row>
    <row r="1467" spans="2:7" ht="9.6" customHeight="1">
      <c r="B1467" s="51">
        <f>B1466</f>
        <v>46241</v>
      </c>
      <c r="C1467" s="52" t="s">
        <v>2142</v>
      </c>
      <c r="D1467" s="52" t="s">
        <v>407</v>
      </c>
      <c r="E1467" s="68" t="s">
        <v>28</v>
      </c>
      <c r="F1467" s="52" t="s">
        <v>2271</v>
      </c>
      <c r="G1467" s="52" t="s">
        <v>30</v>
      </c>
    </row>
    <row r="1468" spans="2:7" ht="9.6" customHeight="1">
      <c r="B1468" s="51">
        <f>B1466</f>
        <v>46241</v>
      </c>
      <c r="C1468" s="52" t="s">
        <v>2272</v>
      </c>
      <c r="D1468" s="52" t="s">
        <v>1132</v>
      </c>
      <c r="E1468" s="68" t="s">
        <v>11</v>
      </c>
      <c r="F1468" s="52" t="s">
        <v>2273</v>
      </c>
      <c r="G1468" s="52" t="s">
        <v>51</v>
      </c>
    </row>
    <row r="1469" spans="2:7" ht="9.6" customHeight="1">
      <c r="B1469" s="51">
        <v>46242</v>
      </c>
      <c r="C1469" s="52" t="s">
        <v>2274</v>
      </c>
      <c r="D1469" s="52" t="s">
        <v>1860</v>
      </c>
      <c r="E1469" s="68" t="s">
        <v>11</v>
      </c>
      <c r="F1469" s="52" t="s">
        <v>2275</v>
      </c>
      <c r="G1469" s="52" t="s">
        <v>51</v>
      </c>
    </row>
    <row r="1470" spans="2:7" ht="9.6" customHeight="1">
      <c r="B1470" s="51">
        <f>B1469</f>
        <v>46242</v>
      </c>
      <c r="C1470" s="52" t="s">
        <v>2276</v>
      </c>
      <c r="D1470" s="52" t="s">
        <v>23</v>
      </c>
      <c r="E1470" s="68" t="s">
        <v>11</v>
      </c>
      <c r="F1470" s="52" t="s">
        <v>2277</v>
      </c>
      <c r="G1470" s="52" t="s">
        <v>51</v>
      </c>
    </row>
    <row r="1471" spans="2:7" ht="9.6" customHeight="1">
      <c r="B1471" s="51">
        <f>B1469</f>
        <v>46242</v>
      </c>
      <c r="C1471" s="52" t="s">
        <v>2278</v>
      </c>
      <c r="D1471" s="52" t="s">
        <v>15</v>
      </c>
      <c r="E1471" s="68" t="s">
        <v>11</v>
      </c>
      <c r="F1471" s="52" t="s">
        <v>2279</v>
      </c>
      <c r="G1471" s="52" t="s">
        <v>51</v>
      </c>
    </row>
    <row r="1472" spans="2:7" ht="9.6" customHeight="1">
      <c r="B1472" s="51">
        <f>B1469</f>
        <v>46242</v>
      </c>
      <c r="C1472" s="52" t="s">
        <v>2280</v>
      </c>
      <c r="D1472" s="52" t="s">
        <v>23</v>
      </c>
      <c r="E1472" s="68" t="s">
        <v>11</v>
      </c>
      <c r="F1472" s="52" t="s">
        <v>1898</v>
      </c>
      <c r="G1472" s="52" t="s">
        <v>51</v>
      </c>
    </row>
    <row r="1473" spans="2:7" ht="9.6" customHeight="1">
      <c r="B1473" s="51">
        <f>B1472</f>
        <v>46242</v>
      </c>
      <c r="C1473" s="52" t="s">
        <v>2281</v>
      </c>
      <c r="D1473" s="52" t="s">
        <v>76</v>
      </c>
      <c r="E1473" s="68" t="s">
        <v>28</v>
      </c>
      <c r="F1473" s="52" t="s">
        <v>2282</v>
      </c>
      <c r="G1473" s="52" t="s">
        <v>51</v>
      </c>
    </row>
    <row r="1474" spans="2:7" ht="9.6" customHeight="1">
      <c r="B1474" s="51">
        <f>B1472</f>
        <v>46242</v>
      </c>
      <c r="D1474" s="52" t="s">
        <v>19</v>
      </c>
      <c r="E1474" s="68" t="s">
        <v>28</v>
      </c>
      <c r="F1474" s="52" t="s">
        <v>2283</v>
      </c>
      <c r="G1474" s="52" t="s">
        <v>51</v>
      </c>
    </row>
    <row r="1475" spans="2:7" ht="9.6" customHeight="1">
      <c r="B1475" s="51">
        <f>B1472</f>
        <v>46242</v>
      </c>
      <c r="C1475" s="52" t="s">
        <v>2284</v>
      </c>
      <c r="D1475" s="52" t="s">
        <v>385</v>
      </c>
      <c r="E1475" s="68" t="s">
        <v>28</v>
      </c>
      <c r="F1475" s="52" t="s">
        <v>2285</v>
      </c>
      <c r="G1475" s="52" t="s">
        <v>30</v>
      </c>
    </row>
    <row r="1476" spans="2:7" ht="9.6" customHeight="1">
      <c r="B1476" s="51">
        <f>B1475</f>
        <v>46242</v>
      </c>
      <c r="C1476" s="52" t="s">
        <v>2286</v>
      </c>
      <c r="D1476" s="52" t="s">
        <v>23</v>
      </c>
      <c r="E1476" s="68" t="s">
        <v>28</v>
      </c>
      <c r="F1476" s="52" t="s">
        <v>2287</v>
      </c>
      <c r="G1476" s="52" t="s">
        <v>51</v>
      </c>
    </row>
    <row r="1477" spans="2:7" ht="9.6" customHeight="1">
      <c r="B1477" s="51">
        <f>B1475</f>
        <v>46242</v>
      </c>
      <c r="C1477" s="52" t="s">
        <v>2288</v>
      </c>
      <c r="D1477" s="52" t="s">
        <v>456</v>
      </c>
      <c r="E1477" s="68" t="s">
        <v>28</v>
      </c>
      <c r="F1477" s="52" t="s">
        <v>2289</v>
      </c>
      <c r="G1477" s="52" t="s">
        <v>371</v>
      </c>
    </row>
    <row r="1478" spans="2:7" ht="9.6" customHeight="1">
      <c r="B1478" s="51">
        <f>B1475</f>
        <v>46242</v>
      </c>
      <c r="C1478" s="52" t="s">
        <v>2290</v>
      </c>
      <c r="D1478" s="52" t="s">
        <v>2291</v>
      </c>
      <c r="E1478" s="68" t="s">
        <v>28</v>
      </c>
      <c r="F1478" s="53" t="s">
        <v>2292</v>
      </c>
      <c r="G1478" s="52" t="s">
        <v>30</v>
      </c>
    </row>
    <row r="1479" spans="2:7" ht="9.6" customHeight="1">
      <c r="B1479" s="51">
        <f>B1478</f>
        <v>46242</v>
      </c>
      <c r="C1479" s="52" t="s">
        <v>2293</v>
      </c>
      <c r="D1479" s="52" t="s">
        <v>23</v>
      </c>
      <c r="E1479" s="68" t="s">
        <v>28</v>
      </c>
      <c r="F1479" s="53" t="s">
        <v>2294</v>
      </c>
      <c r="G1479" s="52" t="s">
        <v>51</v>
      </c>
    </row>
    <row r="1480" spans="2:7" ht="9.6" customHeight="1">
      <c r="B1480" s="51">
        <f>B1478</f>
        <v>46242</v>
      </c>
      <c r="C1480" s="52" t="s">
        <v>2295</v>
      </c>
      <c r="D1480" s="52" t="s">
        <v>60</v>
      </c>
      <c r="E1480" s="68" t="s">
        <v>28</v>
      </c>
      <c r="F1480" s="53" t="s">
        <v>2296</v>
      </c>
      <c r="G1480" s="52" t="s">
        <v>51</v>
      </c>
    </row>
    <row r="1481" spans="2:7" ht="9.6" customHeight="1">
      <c r="B1481" s="51">
        <f>B1478</f>
        <v>46242</v>
      </c>
      <c r="C1481" s="52" t="s">
        <v>2284</v>
      </c>
      <c r="D1481" s="52" t="s">
        <v>2297</v>
      </c>
      <c r="E1481" s="68" t="s">
        <v>28</v>
      </c>
      <c r="F1481" s="53" t="s">
        <v>2298</v>
      </c>
      <c r="G1481" s="52" t="s">
        <v>30</v>
      </c>
    </row>
    <row r="1482" spans="2:7" ht="9.6" customHeight="1">
      <c r="B1482" s="51">
        <f>B1481</f>
        <v>46242</v>
      </c>
      <c r="C1482" s="52" t="s">
        <v>2167</v>
      </c>
      <c r="D1482" s="52" t="s">
        <v>385</v>
      </c>
      <c r="E1482" s="68" t="s">
        <v>11</v>
      </c>
      <c r="F1482" s="52" t="s">
        <v>2299</v>
      </c>
      <c r="G1482" s="52" t="s">
        <v>21</v>
      </c>
    </row>
    <row r="1483" spans="2:7" ht="9.6" customHeight="1">
      <c r="B1483" s="51">
        <f>B1481</f>
        <v>46242</v>
      </c>
      <c r="C1483" s="52" t="s">
        <v>2300</v>
      </c>
      <c r="D1483" s="52" t="s">
        <v>52</v>
      </c>
      <c r="E1483" s="68" t="s">
        <v>11</v>
      </c>
      <c r="F1483" s="52" t="s">
        <v>2301</v>
      </c>
      <c r="G1483" s="52" t="s">
        <v>51</v>
      </c>
    </row>
    <row r="1484" spans="2:7" ht="9.6" customHeight="1">
      <c r="B1484" s="51">
        <f>B1481</f>
        <v>46242</v>
      </c>
      <c r="C1484" s="52" t="s">
        <v>2302</v>
      </c>
      <c r="D1484" s="52" t="s">
        <v>2241</v>
      </c>
      <c r="E1484" s="68" t="s">
        <v>11</v>
      </c>
      <c r="F1484" s="52" t="s">
        <v>2303</v>
      </c>
      <c r="G1484" s="52" t="s">
        <v>51</v>
      </c>
    </row>
    <row r="1485" spans="2:7" ht="9.6" customHeight="1">
      <c r="B1485" s="51">
        <f>B1484</f>
        <v>46242</v>
      </c>
      <c r="C1485" s="52" t="s">
        <v>2304</v>
      </c>
      <c r="D1485" s="52" t="s">
        <v>19</v>
      </c>
      <c r="E1485" s="68" t="s">
        <v>11</v>
      </c>
      <c r="F1485" s="52" t="s">
        <v>2305</v>
      </c>
      <c r="G1485" s="52" t="s">
        <v>51</v>
      </c>
    </row>
    <row r="1486" spans="2:7" ht="9.6" customHeight="1">
      <c r="B1486" s="51">
        <f>B1484</f>
        <v>46242</v>
      </c>
      <c r="C1486" s="52" t="s">
        <v>2306</v>
      </c>
      <c r="D1486" s="52" t="s">
        <v>2241</v>
      </c>
      <c r="E1486" s="68" t="s">
        <v>11</v>
      </c>
      <c r="F1486" s="52" t="s">
        <v>2307</v>
      </c>
      <c r="G1486" s="52" t="s">
        <v>51</v>
      </c>
    </row>
    <row r="1487" spans="2:7" ht="9.6" customHeight="1">
      <c r="B1487" s="51">
        <f>B1484</f>
        <v>46242</v>
      </c>
      <c r="C1487" s="52" t="s">
        <v>2308</v>
      </c>
      <c r="D1487" s="52" t="s">
        <v>94</v>
      </c>
      <c r="E1487" s="68" t="s">
        <v>11</v>
      </c>
      <c r="F1487" s="52" t="s">
        <v>2309</v>
      </c>
      <c r="G1487" s="52" t="s">
        <v>51</v>
      </c>
    </row>
    <row r="1488" spans="2:7" ht="9.6" customHeight="1">
      <c r="B1488" s="51">
        <f>B1487</f>
        <v>46242</v>
      </c>
      <c r="C1488" s="52" t="s">
        <v>2310</v>
      </c>
      <c r="D1488" s="52" t="s">
        <v>969</v>
      </c>
      <c r="E1488" s="68" t="s">
        <v>11</v>
      </c>
      <c r="F1488" s="52" t="s">
        <v>2311</v>
      </c>
      <c r="G1488" s="52" t="s">
        <v>51</v>
      </c>
    </row>
    <row r="1489" spans="2:7" ht="9.6" customHeight="1">
      <c r="B1489" s="51">
        <f>B1487</f>
        <v>46242</v>
      </c>
      <c r="C1489" s="52" t="s">
        <v>2312</v>
      </c>
      <c r="D1489" s="52" t="s">
        <v>19</v>
      </c>
      <c r="E1489" s="68" t="s">
        <v>11</v>
      </c>
      <c r="F1489" s="52" t="s">
        <v>2313</v>
      </c>
      <c r="G1489" s="52" t="s">
        <v>51</v>
      </c>
    </row>
    <row r="1490" spans="2:7" ht="9.6" customHeight="1">
      <c r="B1490" s="51">
        <f>B1487</f>
        <v>46242</v>
      </c>
      <c r="C1490" s="52" t="s">
        <v>2314</v>
      </c>
      <c r="D1490" s="52" t="s">
        <v>52</v>
      </c>
      <c r="E1490" s="68" t="s">
        <v>11</v>
      </c>
      <c r="F1490" s="52" t="s">
        <v>1995</v>
      </c>
      <c r="G1490" s="52" t="s">
        <v>51</v>
      </c>
    </row>
    <row r="1491" spans="2:7" ht="9.6" customHeight="1">
      <c r="B1491" s="51">
        <f>B1490</f>
        <v>46242</v>
      </c>
      <c r="C1491" s="52" t="s">
        <v>2315</v>
      </c>
      <c r="D1491" s="52" t="s">
        <v>19</v>
      </c>
      <c r="E1491" s="68" t="s">
        <v>11</v>
      </c>
      <c r="F1491" s="52" t="s">
        <v>2316</v>
      </c>
      <c r="G1491" s="52" t="s">
        <v>51</v>
      </c>
    </row>
    <row r="1492" spans="2:7" ht="9.6" customHeight="1">
      <c r="B1492" s="44">
        <v>46243</v>
      </c>
      <c r="C1492" s="54" t="s">
        <v>2317</v>
      </c>
      <c r="D1492" s="54" t="s">
        <v>1860</v>
      </c>
      <c r="E1492" s="68" t="s">
        <v>11</v>
      </c>
      <c r="F1492" s="54" t="s">
        <v>1865</v>
      </c>
      <c r="G1492" s="54" t="s">
        <v>51</v>
      </c>
    </row>
    <row r="1493" spans="2:7" ht="9.6" customHeight="1">
      <c r="B1493" s="44">
        <f>B1492</f>
        <v>46243</v>
      </c>
      <c r="C1493" s="54" t="s">
        <v>2318</v>
      </c>
      <c r="D1493" s="54" t="s">
        <v>261</v>
      </c>
      <c r="E1493" s="68" t="s">
        <v>11</v>
      </c>
      <c r="F1493" s="54" t="s">
        <v>2319</v>
      </c>
      <c r="G1493" s="54" t="s">
        <v>51</v>
      </c>
    </row>
    <row r="1494" spans="2:7" ht="9.6" customHeight="1">
      <c r="B1494" s="44">
        <f>B1492</f>
        <v>46243</v>
      </c>
      <c r="C1494" s="54" t="s">
        <v>2320</v>
      </c>
      <c r="D1494" s="54" t="s">
        <v>2321</v>
      </c>
      <c r="E1494" s="68" t="s">
        <v>11</v>
      </c>
      <c r="F1494" s="54" t="s">
        <v>2322</v>
      </c>
      <c r="G1494" s="54" t="s">
        <v>51</v>
      </c>
    </row>
    <row r="1495" spans="2:7" ht="9.6" customHeight="1">
      <c r="B1495" s="44">
        <f>B1492</f>
        <v>46243</v>
      </c>
      <c r="C1495" s="54" t="s">
        <v>2323</v>
      </c>
      <c r="D1495" s="54" t="s">
        <v>15</v>
      </c>
      <c r="E1495" s="68" t="s">
        <v>11</v>
      </c>
      <c r="F1495" s="54" t="s">
        <v>2324</v>
      </c>
      <c r="G1495" s="54" t="s">
        <v>51</v>
      </c>
    </row>
    <row r="1496" spans="2:7" ht="9.6" customHeight="1">
      <c r="B1496" s="44">
        <f>B1495</f>
        <v>46243</v>
      </c>
      <c r="C1496" s="54" t="s">
        <v>2325</v>
      </c>
      <c r="D1496" s="54" t="s">
        <v>1132</v>
      </c>
      <c r="E1496" s="68" t="s">
        <v>28</v>
      </c>
      <c r="F1496" s="54" t="s">
        <v>2326</v>
      </c>
      <c r="G1496" s="54" t="s">
        <v>30</v>
      </c>
    </row>
    <row r="1497" spans="2:7" ht="9.6" customHeight="1">
      <c r="B1497" s="44">
        <f>B1495</f>
        <v>46243</v>
      </c>
      <c r="C1497" s="54" t="s">
        <v>2327</v>
      </c>
      <c r="D1497" s="54" t="s">
        <v>1703</v>
      </c>
      <c r="E1497" s="68" t="s">
        <v>28</v>
      </c>
      <c r="F1497" s="54" t="s">
        <v>2328</v>
      </c>
      <c r="G1497" s="54" t="s">
        <v>30</v>
      </c>
    </row>
    <row r="1498" spans="2:7" ht="9.6" customHeight="1">
      <c r="B1498" s="44">
        <f>B1495</f>
        <v>46243</v>
      </c>
      <c r="C1498" s="54" t="s">
        <v>2329</v>
      </c>
      <c r="D1498" s="54" t="s">
        <v>2330</v>
      </c>
      <c r="E1498" s="68" t="s">
        <v>28</v>
      </c>
      <c r="F1498" s="54" t="s">
        <v>2331</v>
      </c>
      <c r="G1498" s="54" t="s">
        <v>30</v>
      </c>
    </row>
    <row r="1499" spans="2:7" ht="9.6" customHeight="1">
      <c r="B1499" s="44">
        <f>B1498</f>
        <v>46243</v>
      </c>
      <c r="C1499" s="54" t="s">
        <v>2332</v>
      </c>
      <c r="D1499" s="54" t="s">
        <v>202</v>
      </c>
      <c r="E1499" s="68" t="s">
        <v>28</v>
      </c>
      <c r="F1499" s="54" t="s">
        <v>2333</v>
      </c>
      <c r="G1499" s="54" t="s">
        <v>51</v>
      </c>
    </row>
    <row r="1500" spans="2:7" ht="9.6" customHeight="1">
      <c r="B1500" s="44">
        <f>B1498</f>
        <v>46243</v>
      </c>
      <c r="C1500" s="54" t="s">
        <v>176</v>
      </c>
      <c r="D1500" s="54" t="s">
        <v>583</v>
      </c>
      <c r="E1500" s="68" t="s">
        <v>28</v>
      </c>
      <c r="F1500" s="54" t="s">
        <v>367</v>
      </c>
      <c r="G1500" s="54" t="s">
        <v>30</v>
      </c>
    </row>
    <row r="1501" spans="2:7" ht="9.6" customHeight="1">
      <c r="B1501" s="44">
        <f>B1498</f>
        <v>46243</v>
      </c>
      <c r="C1501" s="54" t="s">
        <v>2334</v>
      </c>
      <c r="D1501" s="54" t="s">
        <v>15</v>
      </c>
      <c r="E1501" s="68" t="s">
        <v>28</v>
      </c>
      <c r="F1501" s="54" t="s">
        <v>431</v>
      </c>
      <c r="G1501" s="54" t="s">
        <v>30</v>
      </c>
    </row>
    <row r="1502" spans="2:7" ht="9.6" customHeight="1">
      <c r="B1502" s="44">
        <f>B1501</f>
        <v>46243</v>
      </c>
      <c r="C1502" s="54" t="s">
        <v>2335</v>
      </c>
      <c r="D1502" s="54" t="s">
        <v>15</v>
      </c>
      <c r="E1502" s="68" t="s">
        <v>28</v>
      </c>
      <c r="F1502" s="54" t="s">
        <v>2336</v>
      </c>
      <c r="G1502" s="54" t="s">
        <v>51</v>
      </c>
    </row>
    <row r="1503" spans="2:7" ht="9.6" customHeight="1">
      <c r="B1503" s="44">
        <f>B1501</f>
        <v>46243</v>
      </c>
      <c r="C1503" s="54" t="s">
        <v>176</v>
      </c>
      <c r="D1503" s="54" t="s">
        <v>2337</v>
      </c>
      <c r="E1503" s="68" t="s">
        <v>28</v>
      </c>
      <c r="F1503" s="54" t="s">
        <v>2338</v>
      </c>
      <c r="G1503" s="54" t="s">
        <v>371</v>
      </c>
    </row>
    <row r="1504" spans="2:7" ht="9.6" customHeight="1">
      <c r="B1504" s="44">
        <f>B1501</f>
        <v>46243</v>
      </c>
      <c r="C1504" s="54" t="s">
        <v>2339</v>
      </c>
      <c r="D1504" s="54" t="s">
        <v>44</v>
      </c>
      <c r="E1504" s="68" t="s">
        <v>28</v>
      </c>
      <c r="F1504" s="54" t="s">
        <v>2340</v>
      </c>
      <c r="G1504" s="54" t="s">
        <v>371</v>
      </c>
    </row>
    <row r="1505" spans="2:7" ht="9.6" customHeight="1">
      <c r="B1505" s="44">
        <f>B1504</f>
        <v>46243</v>
      </c>
      <c r="C1505" s="54" t="s">
        <v>2212</v>
      </c>
      <c r="D1505" s="54" t="s">
        <v>213</v>
      </c>
      <c r="E1505" s="68" t="s">
        <v>28</v>
      </c>
      <c r="F1505" s="54" t="s">
        <v>2341</v>
      </c>
      <c r="G1505" s="54" t="s">
        <v>70</v>
      </c>
    </row>
    <row r="1506" spans="2:7" ht="9.6" customHeight="1">
      <c r="B1506" s="44">
        <f>B1504</f>
        <v>46243</v>
      </c>
      <c r="C1506" s="55" t="s">
        <v>2342</v>
      </c>
      <c r="D1506" s="54" t="s">
        <v>44</v>
      </c>
      <c r="E1506" s="68" t="s">
        <v>28</v>
      </c>
      <c r="F1506" s="54" t="s">
        <v>2343</v>
      </c>
      <c r="G1506" s="54" t="s">
        <v>70</v>
      </c>
    </row>
    <row r="1507" spans="2:7" ht="9.6" customHeight="1">
      <c r="B1507" s="44">
        <f>B1504</f>
        <v>46243</v>
      </c>
      <c r="C1507" s="55" t="s">
        <v>2344</v>
      </c>
      <c r="D1507" s="54" t="s">
        <v>44</v>
      </c>
      <c r="E1507" s="68" t="s">
        <v>28</v>
      </c>
      <c r="F1507" s="54" t="s">
        <v>2345</v>
      </c>
      <c r="G1507" s="54" t="s">
        <v>70</v>
      </c>
    </row>
    <row r="1508" spans="2:7" ht="9.6" customHeight="1">
      <c r="B1508" s="44">
        <f>B1507</f>
        <v>46243</v>
      </c>
      <c r="C1508" s="55" t="s">
        <v>2346</v>
      </c>
      <c r="D1508" s="54" t="s">
        <v>42</v>
      </c>
      <c r="E1508" s="68" t="s">
        <v>28</v>
      </c>
      <c r="F1508" s="54" t="s">
        <v>2347</v>
      </c>
      <c r="G1508" s="54" t="s">
        <v>51</v>
      </c>
    </row>
    <row r="1509" spans="2:7" ht="9.6" customHeight="1">
      <c r="B1509" s="44">
        <f>B1507</f>
        <v>46243</v>
      </c>
      <c r="C1509" s="55" t="s">
        <v>176</v>
      </c>
      <c r="D1509" s="54" t="s">
        <v>44</v>
      </c>
      <c r="E1509" s="68" t="s">
        <v>28</v>
      </c>
      <c r="F1509" s="54" t="s">
        <v>367</v>
      </c>
      <c r="G1509" s="54" t="s">
        <v>30</v>
      </c>
    </row>
    <row r="1510" spans="2:7" ht="9.6" customHeight="1">
      <c r="B1510" s="44">
        <f>B1507</f>
        <v>46243</v>
      </c>
      <c r="C1510" s="55" t="s">
        <v>2348</v>
      </c>
      <c r="D1510" s="54" t="s">
        <v>1132</v>
      </c>
      <c r="E1510" s="68" t="s">
        <v>28</v>
      </c>
      <c r="F1510" s="54" t="s">
        <v>2349</v>
      </c>
      <c r="G1510" s="54" t="s">
        <v>51</v>
      </c>
    </row>
    <row r="1511" spans="2:7" ht="9.6" customHeight="1">
      <c r="B1511" s="44">
        <f>B1510</f>
        <v>46243</v>
      </c>
      <c r="C1511" s="55" t="s">
        <v>176</v>
      </c>
      <c r="D1511" s="54" t="s">
        <v>44</v>
      </c>
      <c r="E1511" s="68" t="s">
        <v>28</v>
      </c>
      <c r="F1511" s="54" t="s">
        <v>2350</v>
      </c>
      <c r="G1511" s="54" t="s">
        <v>371</v>
      </c>
    </row>
    <row r="1512" spans="2:7" ht="9.6" customHeight="1">
      <c r="B1512" s="44">
        <f>B1510</f>
        <v>46243</v>
      </c>
      <c r="C1512" s="55" t="s">
        <v>151</v>
      </c>
      <c r="D1512" s="54" t="s">
        <v>2351</v>
      </c>
      <c r="E1512" s="68" t="s">
        <v>11</v>
      </c>
      <c r="F1512" s="54" t="s">
        <v>2352</v>
      </c>
      <c r="G1512" s="54" t="s">
        <v>51</v>
      </c>
    </row>
    <row r="1513" spans="2:7" ht="9.6" customHeight="1">
      <c r="B1513" s="44">
        <f>B1510</f>
        <v>46243</v>
      </c>
      <c r="C1513" s="55" t="s">
        <v>2353</v>
      </c>
      <c r="D1513" s="54" t="s">
        <v>1962</v>
      </c>
      <c r="E1513" s="68" t="s">
        <v>11</v>
      </c>
      <c r="F1513" s="54" t="s">
        <v>2354</v>
      </c>
      <c r="G1513" s="54" t="s">
        <v>51</v>
      </c>
    </row>
    <row r="1514" spans="2:7" ht="9.6" customHeight="1">
      <c r="B1514" s="44">
        <v>46244</v>
      </c>
      <c r="C1514" s="56" t="s">
        <v>2355</v>
      </c>
      <c r="D1514" s="45" t="s">
        <v>2356</v>
      </c>
      <c r="E1514" s="68" t="s">
        <v>11</v>
      </c>
      <c r="F1514" s="45" t="s">
        <v>2357</v>
      </c>
      <c r="G1514" s="45" t="s">
        <v>51</v>
      </c>
    </row>
    <row r="1515" spans="2:7" ht="9.6" customHeight="1">
      <c r="B1515" s="44">
        <f>B1514</f>
        <v>46244</v>
      </c>
      <c r="C1515" s="45" t="s">
        <v>2358</v>
      </c>
      <c r="D1515" s="45" t="s">
        <v>15</v>
      </c>
      <c r="E1515" s="68" t="s">
        <v>11</v>
      </c>
      <c r="F1515" s="57" t="s">
        <v>2359</v>
      </c>
      <c r="G1515" s="45" t="s">
        <v>191</v>
      </c>
    </row>
    <row r="1516" spans="2:7" ht="9.6" customHeight="1">
      <c r="B1516" s="44">
        <f>B1514</f>
        <v>46244</v>
      </c>
      <c r="C1516" s="45" t="s">
        <v>176</v>
      </c>
      <c r="D1516" s="45" t="s">
        <v>207</v>
      </c>
      <c r="E1516" s="66" t="s">
        <v>28</v>
      </c>
      <c r="F1516" s="45" t="s">
        <v>2360</v>
      </c>
      <c r="G1516" s="45" t="s">
        <v>237</v>
      </c>
    </row>
    <row r="1517" spans="2:7" ht="9.6" customHeight="1">
      <c r="B1517" s="44">
        <f>B1514</f>
        <v>46244</v>
      </c>
      <c r="C1517" s="45" t="s">
        <v>2361</v>
      </c>
      <c r="D1517" s="45" t="s">
        <v>2037</v>
      </c>
      <c r="E1517" s="66" t="s">
        <v>28</v>
      </c>
      <c r="F1517" s="45" t="s">
        <v>2362</v>
      </c>
      <c r="G1517" s="45" t="s">
        <v>51</v>
      </c>
    </row>
    <row r="1518" spans="2:7" ht="9.6" customHeight="1">
      <c r="B1518" s="44">
        <f>B1517</f>
        <v>46244</v>
      </c>
      <c r="C1518" s="46" t="s">
        <v>2240</v>
      </c>
      <c r="D1518" s="45" t="s">
        <v>1406</v>
      </c>
      <c r="E1518" s="66" t="s">
        <v>28</v>
      </c>
      <c r="F1518" s="45" t="s">
        <v>2363</v>
      </c>
      <c r="G1518" s="45" t="s">
        <v>30</v>
      </c>
    </row>
    <row r="1519" spans="2:7" ht="9.6" customHeight="1">
      <c r="B1519" s="44">
        <f>B1517</f>
        <v>46244</v>
      </c>
      <c r="C1519" s="45" t="s">
        <v>176</v>
      </c>
      <c r="D1519" s="45" t="s">
        <v>62</v>
      </c>
      <c r="E1519" s="66" t="s">
        <v>28</v>
      </c>
      <c r="F1519" s="45" t="s">
        <v>2364</v>
      </c>
      <c r="G1519" s="45" t="s">
        <v>30</v>
      </c>
    </row>
    <row r="1520" spans="2:7" ht="9.6" customHeight="1">
      <c r="B1520" s="44">
        <f>B1517</f>
        <v>46244</v>
      </c>
      <c r="C1520" s="45" t="s">
        <v>1901</v>
      </c>
      <c r="D1520" s="45" t="s">
        <v>2365</v>
      </c>
      <c r="E1520" s="66" t="s">
        <v>28</v>
      </c>
      <c r="F1520" s="45" t="s">
        <v>2366</v>
      </c>
      <c r="G1520" s="45" t="s">
        <v>70</v>
      </c>
    </row>
    <row r="1521" spans="2:7" ht="9.6" customHeight="1">
      <c r="B1521" s="44">
        <f>B1520</f>
        <v>46244</v>
      </c>
      <c r="C1521" s="45" t="s">
        <v>27</v>
      </c>
      <c r="D1521" s="45" t="s">
        <v>389</v>
      </c>
      <c r="E1521" s="66" t="s">
        <v>28</v>
      </c>
      <c r="F1521" s="45" t="s">
        <v>2367</v>
      </c>
      <c r="G1521" s="45" t="s">
        <v>30</v>
      </c>
    </row>
    <row r="1522" spans="2:7" ht="9.6" customHeight="1">
      <c r="B1522" s="44">
        <f>B1520</f>
        <v>46244</v>
      </c>
      <c r="C1522" s="45" t="s">
        <v>1904</v>
      </c>
      <c r="D1522" s="45" t="s">
        <v>94</v>
      </c>
      <c r="E1522" s="66" t="s">
        <v>28</v>
      </c>
      <c r="F1522" s="45" t="s">
        <v>2368</v>
      </c>
      <c r="G1522" s="45" t="s">
        <v>51</v>
      </c>
    </row>
    <row r="1523" spans="2:7" ht="9.6" customHeight="1">
      <c r="B1523" s="44">
        <f>B1520</f>
        <v>46244</v>
      </c>
      <c r="C1523" s="45" t="s">
        <v>1901</v>
      </c>
      <c r="D1523" s="45" t="s">
        <v>44</v>
      </c>
      <c r="E1523" s="66" t="s">
        <v>28</v>
      </c>
      <c r="F1523" s="45" t="s">
        <v>2369</v>
      </c>
      <c r="G1523" s="45" t="s">
        <v>70</v>
      </c>
    </row>
    <row r="1524" spans="2:7" ht="9.6" customHeight="1">
      <c r="B1524" s="44">
        <f>B1523</f>
        <v>46244</v>
      </c>
      <c r="C1524" s="45" t="s">
        <v>27</v>
      </c>
      <c r="D1524" s="45" t="s">
        <v>15</v>
      </c>
      <c r="E1524" s="66" t="s">
        <v>28</v>
      </c>
      <c r="F1524" s="45" t="s">
        <v>254</v>
      </c>
      <c r="G1524" s="45" t="s">
        <v>51</v>
      </c>
    </row>
    <row r="1525" spans="2:7" ht="9.6" customHeight="1">
      <c r="B1525" s="44">
        <f>B1523</f>
        <v>46244</v>
      </c>
      <c r="C1525" s="45" t="s">
        <v>83</v>
      </c>
      <c r="D1525" s="45" t="s">
        <v>44</v>
      </c>
      <c r="E1525" s="66" t="s">
        <v>28</v>
      </c>
      <c r="F1525" s="45" t="s">
        <v>2370</v>
      </c>
      <c r="G1525" s="45" t="s">
        <v>51</v>
      </c>
    </row>
    <row r="1526" spans="2:7" ht="9.6" customHeight="1">
      <c r="B1526" s="44">
        <f>B1523</f>
        <v>46244</v>
      </c>
      <c r="C1526" s="45" t="s">
        <v>27</v>
      </c>
      <c r="D1526" s="45" t="s">
        <v>937</v>
      </c>
      <c r="E1526" s="66" t="s">
        <v>28</v>
      </c>
      <c r="F1526" s="45" t="s">
        <v>2371</v>
      </c>
      <c r="G1526" s="45" t="s">
        <v>30</v>
      </c>
    </row>
    <row r="1527" spans="2:7" ht="9.6" customHeight="1">
      <c r="B1527" s="44">
        <f>B1526</f>
        <v>46244</v>
      </c>
      <c r="C1527" s="45" t="s">
        <v>2232</v>
      </c>
      <c r="D1527" s="45" t="s">
        <v>76</v>
      </c>
      <c r="E1527" s="66" t="s">
        <v>28</v>
      </c>
      <c r="F1527" s="45" t="s">
        <v>2372</v>
      </c>
      <c r="G1527" s="45" t="s">
        <v>30</v>
      </c>
    </row>
    <row r="1528" spans="2:7" ht="9.6" customHeight="1">
      <c r="B1528" s="44">
        <f>B1526</f>
        <v>46244</v>
      </c>
      <c r="C1528" s="45" t="s">
        <v>27</v>
      </c>
      <c r="D1528" s="45" t="s">
        <v>94</v>
      </c>
      <c r="E1528" s="66" t="s">
        <v>28</v>
      </c>
      <c r="F1528" s="45" t="s">
        <v>2373</v>
      </c>
      <c r="G1528" s="45" t="s">
        <v>51</v>
      </c>
    </row>
    <row r="1529" spans="2:7" ht="9.6" customHeight="1">
      <c r="B1529" s="44">
        <f>B1526</f>
        <v>46244</v>
      </c>
      <c r="C1529" s="45" t="s">
        <v>1904</v>
      </c>
      <c r="D1529" s="45" t="s">
        <v>456</v>
      </c>
      <c r="E1529" s="66" t="s">
        <v>28</v>
      </c>
      <c r="F1529" s="45" t="s">
        <v>2374</v>
      </c>
      <c r="G1529" s="45" t="s">
        <v>51</v>
      </c>
    </row>
    <row r="1530" spans="2:7" ht="9.6" customHeight="1">
      <c r="B1530" s="44">
        <f>B1529</f>
        <v>46244</v>
      </c>
      <c r="C1530" s="45" t="s">
        <v>176</v>
      </c>
      <c r="D1530" s="45" t="s">
        <v>94</v>
      </c>
      <c r="E1530" s="66" t="s">
        <v>28</v>
      </c>
      <c r="F1530" s="45" t="s">
        <v>2375</v>
      </c>
      <c r="G1530" s="45" t="s">
        <v>237</v>
      </c>
    </row>
    <row r="1531" spans="2:7" ht="9.6" customHeight="1">
      <c r="B1531" s="44">
        <f>B1529</f>
        <v>46244</v>
      </c>
      <c r="C1531" s="45" t="s">
        <v>27</v>
      </c>
      <c r="D1531" s="45" t="s">
        <v>42</v>
      </c>
      <c r="E1531" s="66" t="s">
        <v>28</v>
      </c>
      <c r="F1531" s="45" t="s">
        <v>2376</v>
      </c>
      <c r="G1531" s="45" t="s">
        <v>51</v>
      </c>
    </row>
    <row r="1532" spans="2:7" ht="9.6" customHeight="1">
      <c r="B1532" s="44">
        <f>B1529</f>
        <v>46244</v>
      </c>
      <c r="C1532" s="45" t="s">
        <v>1901</v>
      </c>
      <c r="D1532" s="45" t="s">
        <v>94</v>
      </c>
      <c r="E1532" s="66" t="s">
        <v>28</v>
      </c>
      <c r="F1532" s="45" t="s">
        <v>2377</v>
      </c>
      <c r="G1532" s="45" t="s">
        <v>30</v>
      </c>
    </row>
    <row r="1533" spans="2:7" ht="9.6" customHeight="1">
      <c r="B1533" s="44">
        <f>B1532</f>
        <v>46244</v>
      </c>
      <c r="C1533" s="45" t="s">
        <v>1904</v>
      </c>
      <c r="D1533" s="45" t="s">
        <v>456</v>
      </c>
      <c r="E1533" s="66" t="s">
        <v>28</v>
      </c>
      <c r="F1533" s="45" t="s">
        <v>2378</v>
      </c>
      <c r="G1533" s="45" t="s">
        <v>30</v>
      </c>
    </row>
    <row r="1534" spans="2:7" ht="9.6" customHeight="1">
      <c r="B1534" s="44">
        <f>B1532</f>
        <v>46244</v>
      </c>
      <c r="C1534" s="45" t="s">
        <v>27</v>
      </c>
      <c r="D1534" s="45" t="s">
        <v>42</v>
      </c>
      <c r="E1534" s="66" t="s">
        <v>28</v>
      </c>
      <c r="F1534" s="45" t="s">
        <v>2379</v>
      </c>
      <c r="G1534" s="45" t="s">
        <v>51</v>
      </c>
    </row>
    <row r="1535" spans="2:7" ht="9.6" customHeight="1">
      <c r="B1535" s="44">
        <f>B1532</f>
        <v>46244</v>
      </c>
      <c r="C1535" s="45" t="s">
        <v>2240</v>
      </c>
      <c r="D1535" s="45" t="s">
        <v>2380</v>
      </c>
      <c r="E1535" s="66" t="s">
        <v>28</v>
      </c>
      <c r="F1535" s="45" t="s">
        <v>2381</v>
      </c>
      <c r="G1535" s="45" t="s">
        <v>30</v>
      </c>
    </row>
    <row r="1536" spans="2:7" ht="9.6" customHeight="1">
      <c r="B1536" s="44">
        <f>B1535</f>
        <v>46244</v>
      </c>
      <c r="C1536" s="45" t="s">
        <v>27</v>
      </c>
      <c r="D1536" s="45" t="s">
        <v>2382</v>
      </c>
      <c r="E1536" s="66" t="s">
        <v>28</v>
      </c>
      <c r="F1536" s="45" t="s">
        <v>2383</v>
      </c>
      <c r="G1536" s="45" t="s">
        <v>51</v>
      </c>
    </row>
    <row r="1537" spans="2:7" ht="9.6" customHeight="1">
      <c r="B1537" s="44">
        <f>B1535</f>
        <v>46244</v>
      </c>
      <c r="C1537" s="45" t="s">
        <v>27</v>
      </c>
      <c r="D1537" s="45" t="s">
        <v>42</v>
      </c>
      <c r="E1537" s="66" t="s">
        <v>28</v>
      </c>
      <c r="F1537" s="45" t="s">
        <v>2384</v>
      </c>
      <c r="G1537" s="45" t="s">
        <v>51</v>
      </c>
    </row>
    <row r="1538" spans="2:7" ht="9.6" customHeight="1">
      <c r="B1538" s="44">
        <f>B1535</f>
        <v>46244</v>
      </c>
      <c r="C1538" s="45" t="s">
        <v>83</v>
      </c>
      <c r="D1538" s="45" t="s">
        <v>2385</v>
      </c>
      <c r="E1538" s="66" t="s">
        <v>28</v>
      </c>
      <c r="F1538" s="45" t="s">
        <v>2386</v>
      </c>
      <c r="G1538" s="45" t="s">
        <v>51</v>
      </c>
    </row>
    <row r="1539" spans="2:7" ht="9.6" customHeight="1">
      <c r="B1539" s="44">
        <f>B1538</f>
        <v>46244</v>
      </c>
      <c r="C1539" s="45" t="s">
        <v>27</v>
      </c>
      <c r="D1539" s="45" t="s">
        <v>42</v>
      </c>
      <c r="E1539" s="66" t="s">
        <v>28</v>
      </c>
      <c r="F1539" s="45" t="s">
        <v>2387</v>
      </c>
      <c r="G1539" s="45" t="s">
        <v>51</v>
      </c>
    </row>
    <row r="1540" spans="2:7" ht="9.6" customHeight="1">
      <c r="B1540" s="44">
        <f>B1538</f>
        <v>46244</v>
      </c>
      <c r="C1540" s="45" t="s">
        <v>1904</v>
      </c>
      <c r="D1540" s="45" t="s">
        <v>103</v>
      </c>
      <c r="E1540" s="66" t="s">
        <v>28</v>
      </c>
      <c r="F1540" s="45" t="s">
        <v>2388</v>
      </c>
      <c r="G1540" s="45" t="s">
        <v>51</v>
      </c>
    </row>
    <row r="1541" spans="2:7" ht="9.6" customHeight="1">
      <c r="B1541" s="44">
        <f>B1538</f>
        <v>46244</v>
      </c>
      <c r="C1541" s="45" t="s">
        <v>2232</v>
      </c>
      <c r="D1541" s="45" t="s">
        <v>94</v>
      </c>
      <c r="E1541" s="66" t="s">
        <v>28</v>
      </c>
      <c r="F1541" s="45" t="s">
        <v>2389</v>
      </c>
      <c r="G1541" s="45" t="s">
        <v>30</v>
      </c>
    </row>
    <row r="1542" spans="2:7" ht="9.6" customHeight="1">
      <c r="B1542" s="44">
        <f>B1541</f>
        <v>46244</v>
      </c>
      <c r="C1542" s="45" t="s">
        <v>176</v>
      </c>
      <c r="D1542" s="45" t="s">
        <v>44</v>
      </c>
      <c r="E1542" s="66" t="s">
        <v>28</v>
      </c>
      <c r="F1542" s="45" t="s">
        <v>2390</v>
      </c>
      <c r="G1542" s="45" t="s">
        <v>477</v>
      </c>
    </row>
    <row r="1543" spans="2:7" ht="9.6" customHeight="1">
      <c r="B1543" s="44">
        <f>B1541</f>
        <v>46244</v>
      </c>
      <c r="C1543" s="45" t="s">
        <v>2391</v>
      </c>
      <c r="D1543" s="45" t="s">
        <v>2351</v>
      </c>
      <c r="E1543" s="69" t="s">
        <v>11</v>
      </c>
      <c r="F1543" s="45" t="s">
        <v>2392</v>
      </c>
      <c r="G1543" s="45" t="s">
        <v>51</v>
      </c>
    </row>
    <row r="1544" spans="2:7" ht="9.6" customHeight="1">
      <c r="B1544" s="44">
        <f>B1541</f>
        <v>46244</v>
      </c>
      <c r="C1544" s="45" t="s">
        <v>2393</v>
      </c>
      <c r="D1544" s="45" t="s">
        <v>1484</v>
      </c>
      <c r="E1544" s="69" t="s">
        <v>11</v>
      </c>
      <c r="F1544" s="45" t="s">
        <v>2394</v>
      </c>
      <c r="G1544" s="45" t="s">
        <v>51</v>
      </c>
    </row>
    <row r="1545" spans="2:7" ht="9.6" customHeight="1">
      <c r="B1545" s="51">
        <v>46245</v>
      </c>
      <c r="C1545" s="52" t="s">
        <v>2167</v>
      </c>
      <c r="D1545" s="52" t="s">
        <v>2395</v>
      </c>
      <c r="E1545" s="68" t="s">
        <v>28</v>
      </c>
      <c r="F1545" s="52" t="s">
        <v>589</v>
      </c>
      <c r="G1545" s="52" t="s">
        <v>21</v>
      </c>
    </row>
    <row r="1546" spans="2:7" ht="9.6" customHeight="1">
      <c r="B1546" s="51">
        <f>B1545</f>
        <v>46245</v>
      </c>
      <c r="C1546" s="52" t="s">
        <v>2167</v>
      </c>
      <c r="D1546" s="52" t="s">
        <v>62</v>
      </c>
      <c r="E1546" s="68" t="s">
        <v>28</v>
      </c>
      <c r="F1546" s="52" t="s">
        <v>1048</v>
      </c>
      <c r="G1546" s="52" t="s">
        <v>21</v>
      </c>
    </row>
    <row r="1547" spans="2:7" ht="9.6" customHeight="1">
      <c r="B1547" s="51">
        <f>B1545</f>
        <v>46245</v>
      </c>
      <c r="C1547" s="52" t="s">
        <v>2396</v>
      </c>
      <c r="D1547" s="52" t="s">
        <v>612</v>
      </c>
      <c r="E1547" s="68" t="s">
        <v>28</v>
      </c>
      <c r="F1547" s="52" t="s">
        <v>2397</v>
      </c>
      <c r="G1547" s="52" t="s">
        <v>187</v>
      </c>
    </row>
    <row r="1548" spans="2:7" ht="9.6" customHeight="1">
      <c r="B1548" s="51">
        <f>B1545</f>
        <v>46245</v>
      </c>
      <c r="C1548" s="52" t="s">
        <v>2167</v>
      </c>
      <c r="D1548" s="52" t="s">
        <v>612</v>
      </c>
      <c r="E1548" s="68" t="s">
        <v>28</v>
      </c>
      <c r="F1548" s="52" t="s">
        <v>2398</v>
      </c>
      <c r="G1548" s="52" t="s">
        <v>21</v>
      </c>
    </row>
    <row r="1549" spans="2:7" ht="9.6" customHeight="1">
      <c r="B1549" s="51">
        <f>B1548</f>
        <v>46245</v>
      </c>
      <c r="C1549" s="52" t="s">
        <v>2167</v>
      </c>
      <c r="D1549" s="52" t="s">
        <v>44</v>
      </c>
      <c r="E1549" s="68" t="s">
        <v>28</v>
      </c>
      <c r="F1549" s="52" t="s">
        <v>2399</v>
      </c>
      <c r="G1549" s="52" t="s">
        <v>21</v>
      </c>
    </row>
    <row r="1550" spans="2:7" ht="9.6" customHeight="1">
      <c r="B1550" s="51">
        <f>B1548</f>
        <v>46245</v>
      </c>
      <c r="C1550" s="52" t="s">
        <v>2167</v>
      </c>
      <c r="D1550" s="52" t="s">
        <v>2400</v>
      </c>
      <c r="E1550" s="68" t="s">
        <v>28</v>
      </c>
      <c r="F1550" s="52" t="s">
        <v>2401</v>
      </c>
      <c r="G1550" s="52" t="s">
        <v>21</v>
      </c>
    </row>
    <row r="1551" spans="2:7" ht="9.6" customHeight="1">
      <c r="B1551" s="51">
        <f>B1548</f>
        <v>46245</v>
      </c>
      <c r="C1551" s="52" t="s">
        <v>2402</v>
      </c>
      <c r="D1551" s="52" t="s">
        <v>2403</v>
      </c>
      <c r="E1551" s="68" t="s">
        <v>28</v>
      </c>
      <c r="F1551" s="52" t="s">
        <v>2404</v>
      </c>
      <c r="G1551" s="52" t="s">
        <v>21</v>
      </c>
    </row>
    <row r="1552" spans="2:7" ht="9.6" customHeight="1">
      <c r="B1552" s="51">
        <f>B1551</f>
        <v>46245</v>
      </c>
      <c r="C1552" s="52" t="s">
        <v>2405</v>
      </c>
      <c r="D1552" s="52" t="s">
        <v>52</v>
      </c>
      <c r="E1552" s="68" t="s">
        <v>28</v>
      </c>
      <c r="F1552" s="52" t="s">
        <v>2406</v>
      </c>
      <c r="G1552" s="52" t="s">
        <v>187</v>
      </c>
    </row>
    <row r="1553" spans="2:7" ht="9.6" customHeight="1">
      <c r="B1553" s="51">
        <f>B1551</f>
        <v>46245</v>
      </c>
      <c r="C1553" s="52" t="s">
        <v>2167</v>
      </c>
      <c r="D1553" s="52" t="s">
        <v>44</v>
      </c>
      <c r="E1553" s="68" t="s">
        <v>28</v>
      </c>
      <c r="F1553" s="52" t="s">
        <v>2401</v>
      </c>
      <c r="G1553" s="52" t="s">
        <v>21</v>
      </c>
    </row>
    <row r="1554" spans="2:7" ht="9.6" customHeight="1">
      <c r="B1554" s="51">
        <f>B1551</f>
        <v>46245</v>
      </c>
      <c r="C1554" s="52" t="s">
        <v>2167</v>
      </c>
      <c r="D1554" s="52" t="s">
        <v>52</v>
      </c>
      <c r="E1554" s="68" t="s">
        <v>28</v>
      </c>
      <c r="F1554" s="53" t="s">
        <v>2407</v>
      </c>
      <c r="G1554" s="52" t="s">
        <v>21</v>
      </c>
    </row>
    <row r="1555" spans="2:7" ht="9.6" customHeight="1">
      <c r="B1555" s="51">
        <f>B1554</f>
        <v>46245</v>
      </c>
      <c r="C1555" s="52" t="s">
        <v>2167</v>
      </c>
      <c r="D1555" s="52" t="s">
        <v>385</v>
      </c>
      <c r="E1555" s="68" t="s">
        <v>28</v>
      </c>
      <c r="F1555" s="53" t="s">
        <v>2408</v>
      </c>
      <c r="G1555" s="52" t="s">
        <v>21</v>
      </c>
    </row>
    <row r="1556" spans="2:7" ht="9.6" customHeight="1">
      <c r="B1556" s="51">
        <f>B1554</f>
        <v>46245</v>
      </c>
      <c r="C1556" s="52" t="s">
        <v>2409</v>
      </c>
      <c r="D1556" s="52" t="s">
        <v>2410</v>
      </c>
      <c r="E1556" s="68" t="s">
        <v>28</v>
      </c>
      <c r="F1556" s="52" t="s">
        <v>2411</v>
      </c>
      <c r="G1556" s="52" t="s">
        <v>187</v>
      </c>
    </row>
    <row r="1557" spans="2:7" ht="9.6" customHeight="1">
      <c r="B1557" s="51">
        <f>B1554</f>
        <v>46245</v>
      </c>
      <c r="C1557" s="52" t="s">
        <v>2412</v>
      </c>
      <c r="D1557" s="52" t="s">
        <v>52</v>
      </c>
      <c r="E1557" s="68" t="s">
        <v>28</v>
      </c>
      <c r="F1557" s="53" t="s">
        <v>2413</v>
      </c>
      <c r="G1557" s="52" t="s">
        <v>187</v>
      </c>
    </row>
    <row r="1558" spans="2:7" ht="9.6" customHeight="1">
      <c r="B1558" s="51">
        <f>B1557</f>
        <v>46245</v>
      </c>
      <c r="C1558" s="52" t="s">
        <v>2414</v>
      </c>
      <c r="D1558" s="52" t="s">
        <v>15</v>
      </c>
      <c r="E1558" s="68" t="s">
        <v>11</v>
      </c>
      <c r="F1558" s="52" t="s">
        <v>2415</v>
      </c>
      <c r="G1558" s="52" t="s">
        <v>51</v>
      </c>
    </row>
    <row r="1559" spans="2:7" ht="9.6" customHeight="1">
      <c r="B1559" s="51">
        <f>B1557</f>
        <v>46245</v>
      </c>
      <c r="C1559" s="52" t="s">
        <v>2416</v>
      </c>
      <c r="D1559" s="52" t="s">
        <v>1860</v>
      </c>
      <c r="E1559" s="68" t="s">
        <v>11</v>
      </c>
      <c r="F1559" s="52" t="s">
        <v>384</v>
      </c>
      <c r="G1559" s="52" t="s">
        <v>51</v>
      </c>
    </row>
    <row r="1560" spans="2:7" ht="9.6" customHeight="1">
      <c r="B1560" s="51">
        <f>B1557</f>
        <v>46245</v>
      </c>
      <c r="C1560" s="52" t="s">
        <v>2417</v>
      </c>
      <c r="D1560" s="52" t="s">
        <v>52</v>
      </c>
      <c r="E1560" s="68" t="s">
        <v>11</v>
      </c>
      <c r="F1560" s="52" t="s">
        <v>2418</v>
      </c>
      <c r="G1560" s="52" t="s">
        <v>51</v>
      </c>
    </row>
    <row r="1561" spans="2:7" ht="9.6" customHeight="1">
      <c r="B1561" s="51">
        <f>B1560</f>
        <v>46245</v>
      </c>
      <c r="C1561" s="52" t="s">
        <v>2419</v>
      </c>
      <c r="D1561" s="52" t="s">
        <v>716</v>
      </c>
      <c r="E1561" s="68" t="s">
        <v>11</v>
      </c>
      <c r="F1561" s="52" t="s">
        <v>2420</v>
      </c>
      <c r="G1561" s="52" t="s">
        <v>21</v>
      </c>
    </row>
    <row r="1562" spans="2:7" ht="9.6" customHeight="1">
      <c r="B1562" s="51">
        <f>B1560</f>
        <v>46245</v>
      </c>
      <c r="C1562" s="52" t="s">
        <v>2421</v>
      </c>
      <c r="D1562" s="52" t="s">
        <v>385</v>
      </c>
      <c r="E1562" s="68" t="s">
        <v>11</v>
      </c>
      <c r="F1562" s="52" t="s">
        <v>2422</v>
      </c>
      <c r="G1562" s="52" t="s">
        <v>51</v>
      </c>
    </row>
    <row r="1563" spans="2:7" ht="9.6" customHeight="1">
      <c r="B1563" s="51">
        <f>B1560</f>
        <v>46245</v>
      </c>
      <c r="C1563" s="52" t="s">
        <v>2423</v>
      </c>
      <c r="D1563" s="52" t="s">
        <v>2410</v>
      </c>
      <c r="E1563" s="68" t="s">
        <v>11</v>
      </c>
      <c r="F1563" s="52" t="s">
        <v>2424</v>
      </c>
      <c r="G1563" s="52" t="s">
        <v>51</v>
      </c>
    </row>
    <row r="1564" spans="2:7" ht="9.6" customHeight="1">
      <c r="B1564" s="51">
        <f>B1563</f>
        <v>46245</v>
      </c>
      <c r="C1564" s="52" t="s">
        <v>2167</v>
      </c>
      <c r="D1564" s="52" t="s">
        <v>1860</v>
      </c>
      <c r="E1564" s="68" t="s">
        <v>11</v>
      </c>
      <c r="F1564" s="52" t="s">
        <v>2425</v>
      </c>
      <c r="G1564" s="52" t="s">
        <v>54</v>
      </c>
    </row>
    <row r="1565" spans="2:7" ht="9.6" customHeight="1">
      <c r="B1565" s="51">
        <f>B1563</f>
        <v>46245</v>
      </c>
      <c r="C1565" s="52" t="s">
        <v>2426</v>
      </c>
      <c r="D1565" s="52" t="s">
        <v>2427</v>
      </c>
      <c r="E1565" s="68" t="s">
        <v>11</v>
      </c>
      <c r="F1565" s="52" t="s">
        <v>2428</v>
      </c>
      <c r="G1565" s="52" t="s">
        <v>51</v>
      </c>
    </row>
    <row r="1566" spans="2:7" ht="9.6" customHeight="1">
      <c r="B1566" s="51">
        <v>46246</v>
      </c>
      <c r="C1566" s="52" t="s">
        <v>2429</v>
      </c>
      <c r="D1566" s="52" t="s">
        <v>256</v>
      </c>
      <c r="E1566" s="68" t="s">
        <v>11</v>
      </c>
      <c r="F1566" s="52" t="s">
        <v>2430</v>
      </c>
      <c r="G1566" s="52" t="s">
        <v>51</v>
      </c>
    </row>
    <row r="1567" spans="2:7" ht="9.6" customHeight="1">
      <c r="B1567" s="51">
        <f>B1566</f>
        <v>46246</v>
      </c>
      <c r="C1567" s="52" t="s">
        <v>2431</v>
      </c>
      <c r="D1567" s="52" t="s">
        <v>94</v>
      </c>
      <c r="E1567" s="68" t="s">
        <v>11</v>
      </c>
      <c r="F1567" s="52" t="s">
        <v>2432</v>
      </c>
      <c r="G1567" s="52" t="s">
        <v>51</v>
      </c>
    </row>
    <row r="1568" spans="2:7" ht="9.6" customHeight="1">
      <c r="B1568" s="51">
        <f>B1566</f>
        <v>46246</v>
      </c>
      <c r="C1568" s="52" t="s">
        <v>2433</v>
      </c>
      <c r="D1568" s="52" t="s">
        <v>44</v>
      </c>
      <c r="E1568" s="68" t="s">
        <v>11</v>
      </c>
      <c r="F1568" s="52" t="s">
        <v>2434</v>
      </c>
      <c r="G1568" s="52" t="s">
        <v>51</v>
      </c>
    </row>
    <row r="1569" spans="2:7" ht="9.6" customHeight="1">
      <c r="B1569" s="51">
        <f>B1566</f>
        <v>46246</v>
      </c>
      <c r="C1569" s="52" t="s">
        <v>2435</v>
      </c>
      <c r="D1569" s="52" t="s">
        <v>394</v>
      </c>
      <c r="E1569" s="68" t="s">
        <v>11</v>
      </c>
      <c r="F1569" s="52" t="s">
        <v>2436</v>
      </c>
      <c r="G1569" s="52" t="s">
        <v>51</v>
      </c>
    </row>
    <row r="1570" spans="2:7" ht="9.6" customHeight="1">
      <c r="B1570" s="51">
        <f>B1569</f>
        <v>46246</v>
      </c>
      <c r="C1570" s="52" t="s">
        <v>2284</v>
      </c>
      <c r="D1570" s="52" t="s">
        <v>385</v>
      </c>
      <c r="E1570" s="68" t="s">
        <v>28</v>
      </c>
      <c r="F1570" s="52" t="s">
        <v>2437</v>
      </c>
      <c r="G1570" s="52" t="s">
        <v>21</v>
      </c>
    </row>
    <row r="1571" spans="2:7" ht="9.6" customHeight="1">
      <c r="B1571" s="51">
        <f>B1569</f>
        <v>46246</v>
      </c>
      <c r="C1571" s="52" t="s">
        <v>2438</v>
      </c>
      <c r="D1571" s="52" t="s">
        <v>385</v>
      </c>
      <c r="E1571" s="68" t="s">
        <v>28</v>
      </c>
      <c r="F1571" s="52" t="s">
        <v>2439</v>
      </c>
      <c r="G1571" s="52" t="s">
        <v>70</v>
      </c>
    </row>
    <row r="1572" spans="2:7" ht="9.6" customHeight="1">
      <c r="B1572" s="51">
        <f>B1569</f>
        <v>46246</v>
      </c>
      <c r="C1572" s="52" t="s">
        <v>2440</v>
      </c>
      <c r="D1572" s="52" t="s">
        <v>403</v>
      </c>
      <c r="E1572" s="68" t="s">
        <v>28</v>
      </c>
      <c r="F1572" s="52" t="s">
        <v>2441</v>
      </c>
      <c r="G1572" s="52" t="s">
        <v>51</v>
      </c>
    </row>
    <row r="1573" spans="2:7" ht="9.6" customHeight="1">
      <c r="B1573" s="51">
        <f>B1572</f>
        <v>46246</v>
      </c>
      <c r="C1573" s="52" t="s">
        <v>2442</v>
      </c>
      <c r="D1573" s="52" t="s">
        <v>19</v>
      </c>
      <c r="E1573" s="68" t="s">
        <v>28</v>
      </c>
      <c r="F1573" s="52" t="s">
        <v>2443</v>
      </c>
      <c r="G1573" s="52" t="s">
        <v>51</v>
      </c>
    </row>
    <row r="1574" spans="2:7" ht="9.6" customHeight="1">
      <c r="B1574" s="51">
        <f>B1572</f>
        <v>46246</v>
      </c>
      <c r="C1574" s="52" t="s">
        <v>2444</v>
      </c>
      <c r="D1574" s="52" t="s">
        <v>76</v>
      </c>
      <c r="E1574" s="68" t="s">
        <v>28</v>
      </c>
      <c r="F1574" s="52" t="s">
        <v>2445</v>
      </c>
      <c r="G1574" s="52" t="s">
        <v>51</v>
      </c>
    </row>
    <row r="1575" spans="2:7" ht="9.6" customHeight="1">
      <c r="B1575" s="51">
        <f>B1572</f>
        <v>46246</v>
      </c>
      <c r="C1575" s="52" t="s">
        <v>2446</v>
      </c>
      <c r="D1575" s="52" t="s">
        <v>213</v>
      </c>
      <c r="E1575" s="68" t="s">
        <v>11</v>
      </c>
      <c r="F1575" s="52" t="s">
        <v>2447</v>
      </c>
      <c r="G1575" s="52" t="s">
        <v>51</v>
      </c>
    </row>
    <row r="1576" spans="2:7" ht="9.6" customHeight="1">
      <c r="B1576" s="51">
        <f>B1575</f>
        <v>46246</v>
      </c>
      <c r="C1576" s="52" t="s">
        <v>2416</v>
      </c>
      <c r="D1576" s="52" t="s">
        <v>19</v>
      </c>
      <c r="E1576" s="68" t="s">
        <v>11</v>
      </c>
      <c r="F1576" s="52" t="s">
        <v>384</v>
      </c>
      <c r="G1576" s="52" t="s">
        <v>51</v>
      </c>
    </row>
    <row r="1577" spans="2:7" ht="9.6" customHeight="1">
      <c r="B1577" s="51">
        <f>B1575</f>
        <v>46246</v>
      </c>
      <c r="C1577" s="52" t="s">
        <v>2448</v>
      </c>
      <c r="D1577" s="52" t="s">
        <v>2449</v>
      </c>
      <c r="E1577" s="68" t="s">
        <v>11</v>
      </c>
      <c r="F1577" s="52" t="s">
        <v>2450</v>
      </c>
      <c r="G1577" s="52" t="s">
        <v>51</v>
      </c>
    </row>
    <row r="1578" spans="2:7" ht="9.6" customHeight="1">
      <c r="B1578" s="51">
        <f>B1575</f>
        <v>46246</v>
      </c>
      <c r="C1578" s="52" t="s">
        <v>2451</v>
      </c>
      <c r="D1578" s="52" t="s">
        <v>44</v>
      </c>
      <c r="E1578" s="68" t="s">
        <v>11</v>
      </c>
      <c r="F1578" s="52" t="s">
        <v>2452</v>
      </c>
      <c r="G1578" s="52" t="s">
        <v>51</v>
      </c>
    </row>
    <row r="1579" spans="2:7" ht="9.6" customHeight="1">
      <c r="B1579" s="51">
        <f>B1578</f>
        <v>46246</v>
      </c>
      <c r="C1579" s="52" t="s">
        <v>2453</v>
      </c>
      <c r="D1579" s="52" t="s">
        <v>52</v>
      </c>
      <c r="E1579" s="68" t="s">
        <v>11</v>
      </c>
      <c r="F1579" s="52" t="s">
        <v>2454</v>
      </c>
      <c r="G1579" s="52" t="s">
        <v>51</v>
      </c>
    </row>
    <row r="1580" spans="2:7" ht="9.6" customHeight="1">
      <c r="B1580" s="51">
        <f>B1578</f>
        <v>46246</v>
      </c>
      <c r="C1580" s="52" t="s">
        <v>2167</v>
      </c>
      <c r="D1580" s="52" t="s">
        <v>62</v>
      </c>
      <c r="E1580" s="68" t="s">
        <v>11</v>
      </c>
      <c r="F1580" s="52" t="s">
        <v>2455</v>
      </c>
      <c r="G1580" s="52" t="s">
        <v>41</v>
      </c>
    </row>
    <row r="1581" spans="2:7" ht="9.6" customHeight="1">
      <c r="B1581" s="51">
        <f>B1578</f>
        <v>46246</v>
      </c>
      <c r="C1581" s="52" t="s">
        <v>2456</v>
      </c>
      <c r="D1581" s="52" t="s">
        <v>44</v>
      </c>
      <c r="E1581" s="68" t="s">
        <v>11</v>
      </c>
      <c r="F1581" s="52" t="s">
        <v>2457</v>
      </c>
      <c r="G1581" s="52" t="s">
        <v>51</v>
      </c>
    </row>
    <row r="1582" spans="2:7" ht="9.6" customHeight="1">
      <c r="B1582" s="51">
        <f>B1581</f>
        <v>46246</v>
      </c>
      <c r="C1582" s="52" t="s">
        <v>2458</v>
      </c>
      <c r="D1582" s="52" t="s">
        <v>44</v>
      </c>
      <c r="E1582" s="68" t="s">
        <v>11</v>
      </c>
      <c r="F1582" s="52" t="s">
        <v>2459</v>
      </c>
      <c r="G1582" s="52" t="s">
        <v>41</v>
      </c>
    </row>
    <row r="1583" spans="2:7" ht="9.6" customHeight="1">
      <c r="B1583" s="44">
        <v>46247</v>
      </c>
      <c r="C1583" s="54" t="s">
        <v>2460</v>
      </c>
      <c r="D1583" s="54" t="s">
        <v>2461</v>
      </c>
      <c r="E1583" s="68" t="s">
        <v>11</v>
      </c>
      <c r="F1583" s="54" t="s">
        <v>2462</v>
      </c>
      <c r="G1583" s="54" t="s">
        <v>87</v>
      </c>
    </row>
    <row r="1584" spans="2:7" ht="9.6" customHeight="1">
      <c r="B1584" s="44">
        <f>B1583</f>
        <v>46247</v>
      </c>
      <c r="C1584" s="54" t="s">
        <v>2463</v>
      </c>
      <c r="D1584" s="54" t="s">
        <v>42</v>
      </c>
      <c r="E1584" s="68" t="s">
        <v>11</v>
      </c>
      <c r="F1584" s="54" t="s">
        <v>1495</v>
      </c>
      <c r="G1584" s="54" t="s">
        <v>51</v>
      </c>
    </row>
    <row r="1585" spans="2:7" ht="9.6" customHeight="1">
      <c r="B1585" s="44">
        <f>B1583</f>
        <v>46247</v>
      </c>
      <c r="C1585" s="54" t="s">
        <v>2464</v>
      </c>
      <c r="D1585" s="54" t="s">
        <v>1132</v>
      </c>
      <c r="E1585" s="68" t="s">
        <v>11</v>
      </c>
      <c r="F1585" s="54" t="s">
        <v>2465</v>
      </c>
      <c r="G1585" s="54" t="s">
        <v>51</v>
      </c>
    </row>
    <row r="1586" spans="2:7" ht="9.6" customHeight="1">
      <c r="B1586" s="44">
        <f>B1583</f>
        <v>46247</v>
      </c>
      <c r="C1586" s="54" t="s">
        <v>2466</v>
      </c>
      <c r="D1586" s="54" t="s">
        <v>44</v>
      </c>
      <c r="E1586" s="68" t="s">
        <v>11</v>
      </c>
      <c r="F1586" s="54" t="s">
        <v>2467</v>
      </c>
      <c r="G1586" s="54" t="s">
        <v>41</v>
      </c>
    </row>
    <row r="1587" spans="2:7" ht="9.6" customHeight="1">
      <c r="B1587" s="44">
        <f>B1586</f>
        <v>46247</v>
      </c>
      <c r="C1587" s="54" t="s">
        <v>2468</v>
      </c>
      <c r="D1587" s="54" t="s">
        <v>38</v>
      </c>
      <c r="E1587" s="68" t="s">
        <v>11</v>
      </c>
      <c r="F1587" s="54" t="s">
        <v>2469</v>
      </c>
      <c r="G1587" s="54" t="s">
        <v>41</v>
      </c>
    </row>
    <row r="1588" spans="2:7" ht="9.6" customHeight="1">
      <c r="B1588" s="44">
        <f>B1586</f>
        <v>46247</v>
      </c>
      <c r="C1588" s="54" t="s">
        <v>2470</v>
      </c>
      <c r="D1588" s="54" t="s">
        <v>910</v>
      </c>
      <c r="E1588" s="66" t="s">
        <v>28</v>
      </c>
      <c r="F1588" s="54" t="s">
        <v>2471</v>
      </c>
      <c r="G1588" s="54" t="s">
        <v>30</v>
      </c>
    </row>
    <row r="1589" spans="2:7" ht="9.6" customHeight="1">
      <c r="B1589" s="44">
        <f>B1586</f>
        <v>46247</v>
      </c>
      <c r="C1589" s="54" t="s">
        <v>83</v>
      </c>
      <c r="D1589" s="54" t="s">
        <v>76</v>
      </c>
      <c r="E1589" s="66" t="s">
        <v>28</v>
      </c>
      <c r="F1589" s="54" t="s">
        <v>2472</v>
      </c>
      <c r="G1589" s="54" t="s">
        <v>51</v>
      </c>
    </row>
    <row r="1590" spans="2:7" ht="9.6" customHeight="1">
      <c r="B1590" s="44">
        <f>B1589</f>
        <v>46247</v>
      </c>
      <c r="C1590" s="54" t="s">
        <v>1331</v>
      </c>
      <c r="D1590" s="54" t="s">
        <v>23</v>
      </c>
      <c r="E1590" s="66" t="s">
        <v>28</v>
      </c>
      <c r="F1590" s="54" t="s">
        <v>2473</v>
      </c>
      <c r="G1590" s="54" t="s">
        <v>51</v>
      </c>
    </row>
    <row r="1591" spans="2:7" ht="9.6" customHeight="1">
      <c r="B1591" s="44">
        <f>B1589</f>
        <v>46247</v>
      </c>
      <c r="C1591" s="54" t="s">
        <v>2466</v>
      </c>
      <c r="D1591" s="54" t="s">
        <v>38</v>
      </c>
      <c r="E1591" s="66" t="s">
        <v>28</v>
      </c>
      <c r="F1591" s="54" t="s">
        <v>2474</v>
      </c>
      <c r="G1591" s="54" t="s">
        <v>30</v>
      </c>
    </row>
    <row r="1592" spans="2:7" ht="9.6" customHeight="1">
      <c r="B1592" s="44">
        <f>B1589</f>
        <v>46247</v>
      </c>
      <c r="C1592" s="54" t="s">
        <v>2210</v>
      </c>
      <c r="D1592" s="54" t="s">
        <v>1516</v>
      </c>
      <c r="E1592" s="66" t="s">
        <v>28</v>
      </c>
      <c r="F1592" s="54" t="s">
        <v>2475</v>
      </c>
      <c r="G1592" s="54" t="s">
        <v>70</v>
      </c>
    </row>
    <row r="1593" spans="2:7" ht="9.6" customHeight="1">
      <c r="B1593" s="44">
        <f>B1592</f>
        <v>46247</v>
      </c>
      <c r="C1593" s="54" t="s">
        <v>2466</v>
      </c>
      <c r="D1593" s="54" t="s">
        <v>2476</v>
      </c>
      <c r="E1593" s="66" t="s">
        <v>28</v>
      </c>
      <c r="F1593" s="54" t="s">
        <v>2477</v>
      </c>
      <c r="G1593" s="54" t="s">
        <v>70</v>
      </c>
    </row>
    <row r="1594" spans="2:7" ht="9.6" customHeight="1">
      <c r="B1594" s="44">
        <f>B1592</f>
        <v>46247</v>
      </c>
      <c r="C1594" s="54" t="s">
        <v>2212</v>
      </c>
      <c r="D1594" s="54" t="s">
        <v>44</v>
      </c>
      <c r="E1594" s="66" t="s">
        <v>28</v>
      </c>
      <c r="F1594" s="54" t="s">
        <v>2478</v>
      </c>
      <c r="G1594" s="54" t="s">
        <v>30</v>
      </c>
    </row>
    <row r="1595" spans="2:7" ht="9.6" customHeight="1">
      <c r="B1595" s="44">
        <f>B1592</f>
        <v>46247</v>
      </c>
      <c r="C1595" s="54" t="s">
        <v>2468</v>
      </c>
      <c r="D1595" s="54" t="s">
        <v>278</v>
      </c>
      <c r="E1595" s="66" t="s">
        <v>28</v>
      </c>
      <c r="F1595" s="54" t="s">
        <v>311</v>
      </c>
      <c r="G1595" s="54" t="s">
        <v>30</v>
      </c>
    </row>
    <row r="1596" spans="2:7" ht="9.6" customHeight="1">
      <c r="B1596" s="44">
        <f>B1595</f>
        <v>46247</v>
      </c>
      <c r="C1596" s="54" t="s">
        <v>1331</v>
      </c>
      <c r="D1596" s="54" t="s">
        <v>38</v>
      </c>
      <c r="E1596" s="66" t="s">
        <v>28</v>
      </c>
      <c r="F1596" s="54" t="s">
        <v>2479</v>
      </c>
      <c r="G1596" s="54" t="s">
        <v>70</v>
      </c>
    </row>
    <row r="1597" spans="2:7" ht="9.6" customHeight="1">
      <c r="B1597" s="44">
        <f>B1595</f>
        <v>46247</v>
      </c>
      <c r="C1597" s="54" t="s">
        <v>83</v>
      </c>
      <c r="D1597" s="54" t="s">
        <v>94</v>
      </c>
      <c r="E1597" s="66" t="s">
        <v>28</v>
      </c>
      <c r="F1597" s="54" t="s">
        <v>2480</v>
      </c>
      <c r="G1597" s="54" t="s">
        <v>30</v>
      </c>
    </row>
    <row r="1598" spans="2:7" ht="9.6" customHeight="1">
      <c r="B1598" s="44">
        <f>B1595</f>
        <v>46247</v>
      </c>
      <c r="C1598" s="54" t="s">
        <v>176</v>
      </c>
      <c r="D1598" s="54" t="s">
        <v>42</v>
      </c>
      <c r="E1598" s="66" t="s">
        <v>28</v>
      </c>
      <c r="F1598" s="54" t="s">
        <v>367</v>
      </c>
      <c r="G1598" s="54" t="s">
        <v>30</v>
      </c>
    </row>
    <row r="1599" spans="2:7" ht="9.6" customHeight="1">
      <c r="B1599" s="44">
        <f>B1598</f>
        <v>46247</v>
      </c>
      <c r="C1599" s="54" t="s">
        <v>2481</v>
      </c>
      <c r="D1599" s="54" t="s">
        <v>76</v>
      </c>
      <c r="E1599" s="66" t="s">
        <v>28</v>
      </c>
      <c r="F1599" s="54" t="s">
        <v>2482</v>
      </c>
      <c r="G1599" s="54" t="s">
        <v>51</v>
      </c>
    </row>
    <row r="1600" spans="2:7" ht="9.6" customHeight="1">
      <c r="B1600" s="44">
        <f>B1598</f>
        <v>46247</v>
      </c>
      <c r="C1600" s="54" t="s">
        <v>35</v>
      </c>
      <c r="D1600" s="54" t="s">
        <v>76</v>
      </c>
      <c r="E1600" s="66" t="s">
        <v>28</v>
      </c>
      <c r="F1600" s="54" t="s">
        <v>2483</v>
      </c>
      <c r="G1600" s="54" t="s">
        <v>30</v>
      </c>
    </row>
    <row r="1601" spans="2:7" ht="9.6" customHeight="1">
      <c r="B1601" s="44">
        <f>B1598</f>
        <v>46247</v>
      </c>
      <c r="C1601" s="54" t="s">
        <v>1901</v>
      </c>
      <c r="D1601" s="54" t="s">
        <v>44</v>
      </c>
      <c r="E1601" s="66" t="s">
        <v>28</v>
      </c>
      <c r="F1601" s="54" t="s">
        <v>2484</v>
      </c>
      <c r="G1601" s="54" t="s">
        <v>70</v>
      </c>
    </row>
    <row r="1602" spans="2:7" ht="9.6" customHeight="1">
      <c r="B1602" s="44">
        <f>B1601</f>
        <v>46247</v>
      </c>
      <c r="C1602" s="54" t="s">
        <v>35</v>
      </c>
      <c r="D1602" s="54" t="s">
        <v>44</v>
      </c>
      <c r="E1602" s="66" t="s">
        <v>28</v>
      </c>
      <c r="F1602" s="54" t="s">
        <v>2485</v>
      </c>
      <c r="G1602" s="54" t="s">
        <v>30</v>
      </c>
    </row>
    <row r="1603" spans="2:7" ht="9.6" customHeight="1">
      <c r="B1603" s="44">
        <f>B1601</f>
        <v>46247</v>
      </c>
      <c r="C1603" s="54" t="s">
        <v>2468</v>
      </c>
      <c r="D1603" s="54" t="s">
        <v>44</v>
      </c>
      <c r="E1603" s="66" t="s">
        <v>28</v>
      </c>
      <c r="F1603" s="54" t="s">
        <v>2486</v>
      </c>
      <c r="G1603" s="54" t="s">
        <v>70</v>
      </c>
    </row>
    <row r="1604" spans="2:7" ht="9.6" customHeight="1">
      <c r="B1604" s="44">
        <f>B1601</f>
        <v>46247</v>
      </c>
      <c r="C1604" s="54" t="s">
        <v>1331</v>
      </c>
      <c r="D1604" s="54" t="s">
        <v>352</v>
      </c>
      <c r="E1604" s="66" t="s">
        <v>28</v>
      </c>
      <c r="F1604" s="54" t="s">
        <v>2487</v>
      </c>
      <c r="G1604" s="54" t="s">
        <v>51</v>
      </c>
    </row>
    <row r="1605" spans="2:7" ht="9.6" customHeight="1">
      <c r="B1605" s="44">
        <f>B1604</f>
        <v>46247</v>
      </c>
      <c r="C1605" s="54" t="s">
        <v>2481</v>
      </c>
      <c r="D1605" s="54" t="s">
        <v>167</v>
      </c>
      <c r="E1605" s="66" t="s">
        <v>28</v>
      </c>
      <c r="F1605" s="54" t="s">
        <v>393</v>
      </c>
      <c r="G1605" s="54" t="s">
        <v>70</v>
      </c>
    </row>
    <row r="1606" spans="2:7" ht="9.6" customHeight="1">
      <c r="B1606" s="44">
        <f>B1604</f>
        <v>46247</v>
      </c>
      <c r="C1606" s="54" t="s">
        <v>1331</v>
      </c>
      <c r="D1606" s="54" t="s">
        <v>1406</v>
      </c>
      <c r="E1606" s="66" t="s">
        <v>28</v>
      </c>
      <c r="F1606" s="54" t="s">
        <v>2488</v>
      </c>
      <c r="G1606" s="54" t="s">
        <v>30</v>
      </c>
    </row>
    <row r="1607" spans="2:7" ht="9.6" customHeight="1">
      <c r="B1607" s="44">
        <f>B1604</f>
        <v>46247</v>
      </c>
      <c r="C1607" s="54" t="s">
        <v>2489</v>
      </c>
      <c r="D1607" s="54" t="s">
        <v>544</v>
      </c>
      <c r="E1607" s="68" t="s">
        <v>11</v>
      </c>
      <c r="F1607" s="54" t="s">
        <v>2490</v>
      </c>
      <c r="G1607" s="54" t="s">
        <v>51</v>
      </c>
    </row>
    <row r="1608" spans="2:7" ht="9.6" customHeight="1">
      <c r="B1608" s="44">
        <v>46248</v>
      </c>
      <c r="C1608" s="54" t="s">
        <v>1901</v>
      </c>
      <c r="D1608" s="54" t="s">
        <v>403</v>
      </c>
      <c r="E1608" s="66" t="s">
        <v>28</v>
      </c>
      <c r="F1608" s="54" t="s">
        <v>2491</v>
      </c>
      <c r="G1608" s="54" t="s">
        <v>41</v>
      </c>
    </row>
    <row r="1609" spans="2:7" ht="9.6" customHeight="1">
      <c r="B1609" s="44">
        <f>B1608</f>
        <v>46248</v>
      </c>
      <c r="C1609" s="54" t="s">
        <v>27</v>
      </c>
      <c r="D1609" s="54" t="s">
        <v>374</v>
      </c>
      <c r="E1609" s="66" t="s">
        <v>28</v>
      </c>
      <c r="F1609" s="54" t="s">
        <v>2492</v>
      </c>
      <c r="G1609" s="54" t="s">
        <v>34</v>
      </c>
    </row>
    <row r="1610" spans="2:7" ht="9.6" customHeight="1">
      <c r="B1610" s="44">
        <f>B1608</f>
        <v>46248</v>
      </c>
      <c r="C1610" s="54" t="s">
        <v>27</v>
      </c>
      <c r="D1610" s="54" t="s">
        <v>10</v>
      </c>
      <c r="E1610" s="66" t="s">
        <v>28</v>
      </c>
      <c r="F1610" s="54" t="s">
        <v>2493</v>
      </c>
      <c r="G1610" s="54" t="s">
        <v>41</v>
      </c>
    </row>
    <row r="1611" spans="2:7" ht="9.6" customHeight="1">
      <c r="B1611" s="44">
        <f>B1608</f>
        <v>46248</v>
      </c>
      <c r="C1611" s="54" t="s">
        <v>2240</v>
      </c>
      <c r="D1611" s="54" t="s">
        <v>2494</v>
      </c>
      <c r="E1611" s="66" t="s">
        <v>28</v>
      </c>
      <c r="F1611" s="54" t="s">
        <v>2495</v>
      </c>
      <c r="G1611" s="54" t="s">
        <v>1136</v>
      </c>
    </row>
    <row r="1612" spans="2:7" ht="9.6" customHeight="1">
      <c r="B1612" s="44">
        <f>B1611</f>
        <v>46248</v>
      </c>
      <c r="C1612" s="58" t="s">
        <v>2496</v>
      </c>
      <c r="D1612" s="54" t="s">
        <v>44</v>
      </c>
      <c r="E1612" s="66" t="s">
        <v>28</v>
      </c>
      <c r="F1612" s="54" t="s">
        <v>2497</v>
      </c>
      <c r="G1612" s="54" t="s">
        <v>41</v>
      </c>
    </row>
    <row r="1613" spans="2:7" ht="9.6" customHeight="1">
      <c r="B1613" s="44">
        <f>B1611</f>
        <v>46248</v>
      </c>
      <c r="C1613" s="54" t="s">
        <v>1904</v>
      </c>
      <c r="D1613" s="54" t="s">
        <v>62</v>
      </c>
      <c r="E1613" s="66" t="s">
        <v>28</v>
      </c>
      <c r="F1613" s="54" t="s">
        <v>2498</v>
      </c>
      <c r="G1613" s="54" t="s">
        <v>34</v>
      </c>
    </row>
    <row r="1614" spans="2:7" ht="9.6" customHeight="1">
      <c r="B1614" s="44">
        <f>B1611</f>
        <v>46248</v>
      </c>
      <c r="C1614" s="54" t="s">
        <v>1904</v>
      </c>
      <c r="D1614" s="54" t="s">
        <v>213</v>
      </c>
      <c r="E1614" s="66" t="s">
        <v>28</v>
      </c>
      <c r="F1614" s="54" t="s">
        <v>2499</v>
      </c>
      <c r="G1614" s="54" t="s">
        <v>41</v>
      </c>
    </row>
    <row r="1615" spans="2:7" ht="9.6" customHeight="1">
      <c r="B1615" s="44">
        <f>B1614</f>
        <v>46248</v>
      </c>
      <c r="C1615" s="54" t="s">
        <v>417</v>
      </c>
      <c r="D1615" s="54" t="s">
        <v>15</v>
      </c>
      <c r="E1615" s="66" t="s">
        <v>28</v>
      </c>
      <c r="F1615" s="54" t="s">
        <v>2500</v>
      </c>
      <c r="G1615" s="54" t="s">
        <v>1136</v>
      </c>
    </row>
    <row r="1616" spans="2:7" ht="9.6" customHeight="1">
      <c r="B1616" s="44">
        <f>B1614</f>
        <v>46248</v>
      </c>
      <c r="C1616" s="54" t="s">
        <v>27</v>
      </c>
      <c r="D1616" s="54" t="s">
        <v>76</v>
      </c>
      <c r="E1616" s="66" t="s">
        <v>28</v>
      </c>
      <c r="F1616" s="54" t="s">
        <v>2501</v>
      </c>
      <c r="G1616" s="54" t="s">
        <v>34</v>
      </c>
    </row>
    <row r="1617" spans="2:7" ht="9.6" customHeight="1">
      <c r="B1617" s="44">
        <f>B1614</f>
        <v>46248</v>
      </c>
      <c r="C1617" s="58" t="s">
        <v>2242</v>
      </c>
      <c r="D1617" s="54" t="s">
        <v>2502</v>
      </c>
      <c r="E1617" s="66" t="s">
        <v>28</v>
      </c>
      <c r="F1617" s="54" t="s">
        <v>2503</v>
      </c>
      <c r="G1617" s="54" t="s">
        <v>30</v>
      </c>
    </row>
    <row r="1618" spans="2:7" ht="9.6" customHeight="1">
      <c r="B1618" s="44">
        <f>B1617</f>
        <v>46248</v>
      </c>
      <c r="C1618" s="54" t="s">
        <v>27</v>
      </c>
      <c r="D1618" s="54" t="s">
        <v>42</v>
      </c>
      <c r="E1618" s="66" t="s">
        <v>28</v>
      </c>
      <c r="F1618" s="54" t="s">
        <v>2504</v>
      </c>
      <c r="G1618" s="54" t="s">
        <v>2505</v>
      </c>
    </row>
    <row r="1619" spans="2:7" ht="9.6" customHeight="1">
      <c r="B1619" s="44">
        <f>B1617</f>
        <v>46248</v>
      </c>
      <c r="C1619" s="54" t="s">
        <v>1904</v>
      </c>
      <c r="D1619" s="54" t="s">
        <v>76</v>
      </c>
      <c r="E1619" s="66" t="s">
        <v>28</v>
      </c>
      <c r="F1619" s="54" t="s">
        <v>2506</v>
      </c>
      <c r="G1619" s="54" t="s">
        <v>34</v>
      </c>
    </row>
    <row r="1620" spans="2:7" ht="9.6" customHeight="1">
      <c r="B1620" s="44">
        <f>B1617</f>
        <v>46248</v>
      </c>
      <c r="C1620" s="54" t="s">
        <v>2232</v>
      </c>
      <c r="D1620" s="54" t="s">
        <v>42</v>
      </c>
      <c r="E1620" s="66" t="s">
        <v>28</v>
      </c>
      <c r="F1620" s="54" t="s">
        <v>2390</v>
      </c>
      <c r="G1620" s="54" t="s">
        <v>237</v>
      </c>
    </row>
    <row r="1621" spans="2:7" ht="9.6" customHeight="1">
      <c r="B1621" s="44">
        <f>B1620</f>
        <v>46248</v>
      </c>
      <c r="C1621" s="58" t="s">
        <v>2496</v>
      </c>
      <c r="D1621" s="54" t="s">
        <v>44</v>
      </c>
      <c r="E1621" s="66" t="s">
        <v>28</v>
      </c>
      <c r="F1621" s="54" t="s">
        <v>2507</v>
      </c>
      <c r="G1621" s="54" t="s">
        <v>30</v>
      </c>
    </row>
    <row r="1622" spans="2:7" ht="9.6" customHeight="1">
      <c r="B1622" s="44">
        <f>B1620</f>
        <v>46248</v>
      </c>
      <c r="C1622" s="54" t="s">
        <v>83</v>
      </c>
      <c r="D1622" s="54" t="s">
        <v>2248</v>
      </c>
      <c r="E1622" s="66" t="s">
        <v>28</v>
      </c>
      <c r="F1622" s="54" t="s">
        <v>2508</v>
      </c>
      <c r="G1622" s="54" t="s">
        <v>70</v>
      </c>
    </row>
    <row r="1623" spans="2:7" ht="9.6" customHeight="1">
      <c r="B1623" s="44">
        <f>B1620</f>
        <v>46248</v>
      </c>
      <c r="C1623" s="54" t="s">
        <v>1904</v>
      </c>
      <c r="D1623" s="54" t="s">
        <v>1406</v>
      </c>
      <c r="E1623" s="66" t="s">
        <v>28</v>
      </c>
      <c r="F1623" s="54" t="s">
        <v>2336</v>
      </c>
      <c r="G1623" s="54" t="s">
        <v>34</v>
      </c>
    </row>
    <row r="1624" spans="2:7" ht="9.6" customHeight="1">
      <c r="B1624" s="44">
        <f>B1623</f>
        <v>46248</v>
      </c>
      <c r="C1624" s="54" t="s">
        <v>176</v>
      </c>
      <c r="D1624" s="54" t="s">
        <v>213</v>
      </c>
      <c r="E1624" s="66" t="s">
        <v>28</v>
      </c>
      <c r="F1624" s="54" t="s">
        <v>2390</v>
      </c>
      <c r="G1624" s="54" t="s">
        <v>237</v>
      </c>
    </row>
    <row r="1625" spans="2:7" ht="9.6" customHeight="1">
      <c r="B1625" s="44">
        <f>B1623</f>
        <v>46248</v>
      </c>
      <c r="C1625" s="54" t="s">
        <v>83</v>
      </c>
      <c r="D1625" s="54" t="s">
        <v>2509</v>
      </c>
      <c r="E1625" s="66" t="s">
        <v>28</v>
      </c>
      <c r="F1625" s="54" t="s">
        <v>2510</v>
      </c>
      <c r="G1625" s="54" t="s">
        <v>34</v>
      </c>
    </row>
    <row r="1626" spans="2:7" ht="9.6" customHeight="1">
      <c r="B1626" s="44">
        <f>B1623</f>
        <v>46248</v>
      </c>
      <c r="C1626" s="54" t="s">
        <v>27</v>
      </c>
      <c r="D1626" s="54" t="s">
        <v>76</v>
      </c>
      <c r="E1626" s="66" t="s">
        <v>28</v>
      </c>
      <c r="F1626" s="54" t="s">
        <v>2511</v>
      </c>
      <c r="G1626" s="54" t="s">
        <v>34</v>
      </c>
    </row>
    <row r="1627" spans="2:7" ht="9.6" customHeight="1">
      <c r="B1627" s="44">
        <f>B1626</f>
        <v>46248</v>
      </c>
      <c r="C1627" s="54" t="s">
        <v>1904</v>
      </c>
      <c r="D1627" s="54" t="s">
        <v>62</v>
      </c>
      <c r="E1627" s="66" t="s">
        <v>28</v>
      </c>
      <c r="F1627" s="54" t="s">
        <v>2512</v>
      </c>
      <c r="G1627" s="54" t="s">
        <v>30</v>
      </c>
    </row>
    <row r="1628" spans="2:7" ht="9.6" customHeight="1">
      <c r="B1628" s="44">
        <f>B1626</f>
        <v>46248</v>
      </c>
      <c r="C1628" s="54" t="s">
        <v>27</v>
      </c>
      <c r="D1628" s="54" t="s">
        <v>42</v>
      </c>
      <c r="E1628" s="66" t="s">
        <v>28</v>
      </c>
      <c r="F1628" s="54" t="s">
        <v>2513</v>
      </c>
      <c r="G1628" s="54" t="s">
        <v>237</v>
      </c>
    </row>
    <row r="1629" spans="2:7" ht="9.6" customHeight="1">
      <c r="B1629" s="44">
        <f>B1626</f>
        <v>46248</v>
      </c>
      <c r="C1629" s="58" t="s">
        <v>2242</v>
      </c>
      <c r="D1629" s="54" t="s">
        <v>456</v>
      </c>
      <c r="E1629" s="66" t="s">
        <v>28</v>
      </c>
      <c r="F1629" s="54" t="s">
        <v>2514</v>
      </c>
      <c r="G1629" s="54" t="s">
        <v>30</v>
      </c>
    </row>
    <row r="1630" spans="2:7" ht="9.6" customHeight="1">
      <c r="B1630" s="44">
        <f>B1629</f>
        <v>46248</v>
      </c>
      <c r="C1630" s="54" t="s">
        <v>176</v>
      </c>
      <c r="D1630" s="54" t="s">
        <v>2515</v>
      </c>
      <c r="E1630" s="66" t="s">
        <v>28</v>
      </c>
      <c r="F1630" s="54" t="s">
        <v>2516</v>
      </c>
      <c r="G1630" s="54" t="s">
        <v>30</v>
      </c>
    </row>
    <row r="1631" spans="2:7" ht="9.6" customHeight="1">
      <c r="B1631" s="44">
        <f>B1629</f>
        <v>46248</v>
      </c>
      <c r="C1631" s="54" t="s">
        <v>1901</v>
      </c>
      <c r="D1631" s="54" t="s">
        <v>2517</v>
      </c>
      <c r="E1631" s="66" t="s">
        <v>28</v>
      </c>
      <c r="F1631" s="54" t="s">
        <v>2518</v>
      </c>
      <c r="G1631" s="54" t="s">
        <v>30</v>
      </c>
    </row>
    <row r="1632" spans="2:7" ht="9.6" customHeight="1">
      <c r="B1632" s="44">
        <f>B1629</f>
        <v>46248</v>
      </c>
      <c r="C1632" s="54" t="s">
        <v>27</v>
      </c>
      <c r="D1632" s="54" t="s">
        <v>2519</v>
      </c>
      <c r="E1632" s="66" t="s">
        <v>28</v>
      </c>
      <c r="F1632" s="54" t="s">
        <v>2520</v>
      </c>
      <c r="G1632" s="54" t="s">
        <v>34</v>
      </c>
    </row>
    <row r="1633" spans="2:7" ht="9.6" customHeight="1">
      <c r="B1633" s="44">
        <f>B1632</f>
        <v>46248</v>
      </c>
      <c r="C1633" s="54" t="s">
        <v>2521</v>
      </c>
      <c r="D1633" s="54" t="s">
        <v>1773</v>
      </c>
      <c r="E1633" s="69" t="s">
        <v>11</v>
      </c>
      <c r="F1633" s="54" t="s">
        <v>2522</v>
      </c>
      <c r="G1633" s="54" t="s">
        <v>34</v>
      </c>
    </row>
    <row r="1634" spans="2:7" ht="9.6" customHeight="1">
      <c r="B1634" s="44">
        <f>B1632</f>
        <v>46248</v>
      </c>
      <c r="C1634" s="54" t="s">
        <v>2523</v>
      </c>
      <c r="D1634" s="54" t="s">
        <v>1773</v>
      </c>
      <c r="E1634" s="69" t="s">
        <v>11</v>
      </c>
      <c r="F1634" s="54" t="s">
        <v>2524</v>
      </c>
      <c r="G1634" s="54" t="s">
        <v>34</v>
      </c>
    </row>
    <row r="1635" spans="2:7" ht="9.6" customHeight="1">
      <c r="B1635" s="44">
        <f>B1632</f>
        <v>46248</v>
      </c>
      <c r="C1635" s="54" t="s">
        <v>2525</v>
      </c>
      <c r="D1635" s="54" t="s">
        <v>62</v>
      </c>
      <c r="E1635" s="69" t="s">
        <v>11</v>
      </c>
      <c r="F1635" s="54" t="s">
        <v>2526</v>
      </c>
      <c r="G1635" s="54" t="s">
        <v>1729</v>
      </c>
    </row>
    <row r="1636" spans="2:7" ht="9.6" customHeight="1">
      <c r="B1636" s="44">
        <f>B1635</f>
        <v>46248</v>
      </c>
      <c r="C1636" s="54" t="s">
        <v>2527</v>
      </c>
      <c r="D1636" s="54" t="s">
        <v>207</v>
      </c>
      <c r="E1636" s="69" t="s">
        <v>11</v>
      </c>
      <c r="F1636" s="54" t="s">
        <v>2528</v>
      </c>
      <c r="G1636" s="54" t="s">
        <v>34</v>
      </c>
    </row>
    <row r="1637" spans="2:7" ht="9.6" customHeight="1">
      <c r="B1637" s="51">
        <v>46249</v>
      </c>
      <c r="C1637" s="52" t="s">
        <v>2529</v>
      </c>
      <c r="D1637" s="52" t="s">
        <v>407</v>
      </c>
      <c r="E1637" s="68" t="s">
        <v>28</v>
      </c>
      <c r="F1637" s="52" t="s">
        <v>825</v>
      </c>
      <c r="G1637" s="52" t="s">
        <v>83</v>
      </c>
    </row>
    <row r="1638" spans="2:7" ht="9.6" customHeight="1">
      <c r="B1638" s="51">
        <f>B1637</f>
        <v>46249</v>
      </c>
      <c r="C1638" s="52" t="s">
        <v>2530</v>
      </c>
      <c r="D1638" s="52" t="s">
        <v>132</v>
      </c>
      <c r="E1638" s="68" t="s">
        <v>28</v>
      </c>
      <c r="F1638" s="52" t="s">
        <v>2531</v>
      </c>
      <c r="G1638" s="52" t="s">
        <v>30</v>
      </c>
    </row>
    <row r="1639" spans="2:7" ht="9.6" customHeight="1">
      <c r="B1639" s="51">
        <f>B1637</f>
        <v>46249</v>
      </c>
      <c r="C1639" s="52" t="s">
        <v>2532</v>
      </c>
      <c r="D1639" s="52" t="s">
        <v>456</v>
      </c>
      <c r="E1639" s="68" t="s">
        <v>28</v>
      </c>
      <c r="F1639" s="52" t="s">
        <v>2533</v>
      </c>
      <c r="G1639" s="52" t="s">
        <v>371</v>
      </c>
    </row>
    <row r="1640" spans="2:7" ht="9.6" customHeight="1">
      <c r="B1640" s="51">
        <f>B1637</f>
        <v>46249</v>
      </c>
      <c r="C1640" s="52" t="s">
        <v>2463</v>
      </c>
      <c r="D1640" s="52" t="s">
        <v>1668</v>
      </c>
      <c r="E1640" s="68" t="s">
        <v>28</v>
      </c>
      <c r="F1640" s="52" t="s">
        <v>2534</v>
      </c>
      <c r="G1640" s="52" t="s">
        <v>83</v>
      </c>
    </row>
    <row r="1641" spans="2:7" ht="9.6" customHeight="1">
      <c r="B1641" s="51">
        <f>B1640</f>
        <v>46249</v>
      </c>
      <c r="C1641" s="52" t="s">
        <v>2535</v>
      </c>
      <c r="D1641" s="52" t="s">
        <v>36</v>
      </c>
      <c r="E1641" s="68" t="s">
        <v>28</v>
      </c>
      <c r="F1641" s="52" t="s">
        <v>1210</v>
      </c>
      <c r="G1641" s="52" t="s">
        <v>83</v>
      </c>
    </row>
    <row r="1642" spans="2:7" ht="9.6" customHeight="1">
      <c r="B1642" s="51">
        <f>B1640</f>
        <v>46249</v>
      </c>
      <c r="C1642" s="52" t="s">
        <v>2536</v>
      </c>
      <c r="D1642" s="52" t="s">
        <v>32</v>
      </c>
      <c r="E1642" s="68" t="s">
        <v>28</v>
      </c>
      <c r="F1642" s="52" t="s">
        <v>2537</v>
      </c>
      <c r="G1642" s="52" t="s">
        <v>83</v>
      </c>
    </row>
    <row r="1643" spans="2:7" ht="9.6" customHeight="1">
      <c r="B1643" s="51">
        <f>B1640</f>
        <v>46249</v>
      </c>
      <c r="C1643" s="52" t="s">
        <v>2538</v>
      </c>
      <c r="D1643" s="52" t="s">
        <v>52</v>
      </c>
      <c r="E1643" s="68" t="s">
        <v>28</v>
      </c>
      <c r="F1643" s="52" t="s">
        <v>2539</v>
      </c>
      <c r="G1643" s="52" t="s">
        <v>2027</v>
      </c>
    </row>
    <row r="1644" spans="2:7" ht="9.6" customHeight="1">
      <c r="B1644" s="51">
        <f>B1643</f>
        <v>46249</v>
      </c>
      <c r="C1644" s="52" t="s">
        <v>2540</v>
      </c>
      <c r="D1644" s="52" t="s">
        <v>94</v>
      </c>
      <c r="E1644" s="68" t="s">
        <v>28</v>
      </c>
      <c r="F1644" s="52" t="s">
        <v>1047</v>
      </c>
      <c r="G1644" s="52" t="s">
        <v>83</v>
      </c>
    </row>
    <row r="1645" spans="2:7" ht="9.6" customHeight="1">
      <c r="B1645" s="51">
        <f>B1643</f>
        <v>46249</v>
      </c>
      <c r="C1645" s="52" t="s">
        <v>2541</v>
      </c>
      <c r="D1645" s="52" t="s">
        <v>52</v>
      </c>
      <c r="E1645" s="68" t="s">
        <v>28</v>
      </c>
      <c r="F1645" s="52" t="s">
        <v>2542</v>
      </c>
      <c r="G1645" s="52" t="s">
        <v>83</v>
      </c>
    </row>
    <row r="1646" spans="2:7" ht="9.6" customHeight="1">
      <c r="B1646" s="51">
        <f>B1643</f>
        <v>46249</v>
      </c>
      <c r="C1646" s="52" t="s">
        <v>2543</v>
      </c>
      <c r="D1646" s="52" t="s">
        <v>385</v>
      </c>
      <c r="E1646" s="68" t="s">
        <v>28</v>
      </c>
      <c r="F1646" s="42" t="s">
        <v>2544</v>
      </c>
      <c r="G1646" s="52" t="s">
        <v>83</v>
      </c>
    </row>
    <row r="1647" spans="2:7" ht="9.6" customHeight="1">
      <c r="B1647" s="51">
        <f>B1646</f>
        <v>46249</v>
      </c>
      <c r="C1647" s="52" t="s">
        <v>2545</v>
      </c>
      <c r="D1647" s="52" t="s">
        <v>2546</v>
      </c>
      <c r="E1647" s="68" t="s">
        <v>28</v>
      </c>
      <c r="F1647" s="42" t="s">
        <v>2547</v>
      </c>
      <c r="G1647" s="52" t="s">
        <v>234</v>
      </c>
    </row>
    <row r="1648" spans="2:7" ht="9.6" customHeight="1">
      <c r="B1648" s="51">
        <f>B1646</f>
        <v>46249</v>
      </c>
      <c r="C1648" s="52" t="s">
        <v>2548</v>
      </c>
      <c r="D1648" s="52" t="s">
        <v>462</v>
      </c>
      <c r="E1648" s="68" t="s">
        <v>28</v>
      </c>
      <c r="F1648" s="42" t="s">
        <v>2549</v>
      </c>
      <c r="G1648" s="52" t="s">
        <v>30</v>
      </c>
    </row>
    <row r="1649" spans="2:7" ht="9.6" customHeight="1">
      <c r="B1649" s="51">
        <f>B1646</f>
        <v>46249</v>
      </c>
      <c r="C1649" s="52" t="s">
        <v>2550</v>
      </c>
      <c r="D1649" s="52" t="s">
        <v>164</v>
      </c>
      <c r="E1649" s="68" t="s">
        <v>28</v>
      </c>
      <c r="F1649" s="53" t="s">
        <v>2551</v>
      </c>
      <c r="G1649" s="52" t="s">
        <v>83</v>
      </c>
    </row>
    <row r="1650" spans="2:7" ht="9.6" customHeight="1">
      <c r="B1650" s="51">
        <f>B1649</f>
        <v>46249</v>
      </c>
      <c r="C1650" s="52" t="s">
        <v>2552</v>
      </c>
      <c r="D1650" s="52" t="s">
        <v>462</v>
      </c>
      <c r="E1650" s="68" t="s">
        <v>28</v>
      </c>
      <c r="F1650" s="52" t="s">
        <v>2553</v>
      </c>
      <c r="G1650" s="52" t="s">
        <v>83</v>
      </c>
    </row>
    <row r="1651" spans="2:7" ht="9.6" customHeight="1">
      <c r="B1651" s="51">
        <f>B1649</f>
        <v>46249</v>
      </c>
      <c r="C1651" s="52" t="s">
        <v>2554</v>
      </c>
      <c r="D1651" s="52" t="s">
        <v>407</v>
      </c>
      <c r="E1651" s="68" t="s">
        <v>28</v>
      </c>
      <c r="F1651" s="53" t="s">
        <v>2555</v>
      </c>
      <c r="G1651" s="52" t="s">
        <v>83</v>
      </c>
    </row>
    <row r="1652" spans="2:7" ht="9.6" customHeight="1">
      <c r="B1652" s="51">
        <f>B1649</f>
        <v>46249</v>
      </c>
      <c r="C1652" s="52" t="s">
        <v>2556</v>
      </c>
      <c r="D1652" s="52" t="s">
        <v>459</v>
      </c>
      <c r="E1652" s="68" t="s">
        <v>28</v>
      </c>
      <c r="F1652" s="53" t="s">
        <v>2557</v>
      </c>
      <c r="G1652" s="52" t="s">
        <v>662</v>
      </c>
    </row>
    <row r="1653" spans="2:7" ht="9.6" customHeight="1">
      <c r="B1653" s="51">
        <f>B1652</f>
        <v>46249</v>
      </c>
      <c r="C1653" s="52" t="s">
        <v>2142</v>
      </c>
      <c r="D1653" s="52" t="s">
        <v>52</v>
      </c>
      <c r="E1653" s="68" t="s">
        <v>28</v>
      </c>
      <c r="F1653" s="52" t="s">
        <v>2558</v>
      </c>
      <c r="G1653" s="52" t="s">
        <v>30</v>
      </c>
    </row>
    <row r="1654" spans="2:7" ht="9.6" customHeight="1">
      <c r="B1654" s="51">
        <f>B1652</f>
        <v>46249</v>
      </c>
      <c r="C1654" s="52" t="s">
        <v>2142</v>
      </c>
      <c r="D1654" s="52" t="s">
        <v>2337</v>
      </c>
      <c r="E1654" s="68" t="s">
        <v>28</v>
      </c>
      <c r="F1654" s="52" t="s">
        <v>2559</v>
      </c>
      <c r="G1654" s="52" t="s">
        <v>1802</v>
      </c>
    </row>
    <row r="1655" spans="2:7" ht="9.6" customHeight="1">
      <c r="B1655" s="51">
        <f>B1652</f>
        <v>46249</v>
      </c>
      <c r="C1655" s="52" t="s">
        <v>2560</v>
      </c>
      <c r="D1655" s="52" t="s">
        <v>19</v>
      </c>
      <c r="E1655" s="68" t="s">
        <v>28</v>
      </c>
      <c r="F1655" s="52" t="s">
        <v>2561</v>
      </c>
      <c r="G1655" s="52" t="s">
        <v>83</v>
      </c>
    </row>
    <row r="1656" spans="2:7" ht="9.6" customHeight="1">
      <c r="B1656" s="51">
        <f>B1655</f>
        <v>46249</v>
      </c>
      <c r="C1656" s="52" t="s">
        <v>2562</v>
      </c>
      <c r="D1656" s="52" t="s">
        <v>385</v>
      </c>
      <c r="E1656" s="68" t="s">
        <v>11</v>
      </c>
      <c r="F1656" s="52" t="s">
        <v>2563</v>
      </c>
      <c r="G1656" s="52" t="s">
        <v>51</v>
      </c>
    </row>
    <row r="1657" spans="2:7" ht="9.6" customHeight="1">
      <c r="B1657" s="51">
        <f>B1655</f>
        <v>46249</v>
      </c>
      <c r="C1657" s="52" t="s">
        <v>2564</v>
      </c>
      <c r="D1657" s="52" t="s">
        <v>407</v>
      </c>
      <c r="E1657" s="68" t="s">
        <v>11</v>
      </c>
      <c r="F1657" s="52" t="s">
        <v>2565</v>
      </c>
      <c r="G1657" s="52" t="s">
        <v>51</v>
      </c>
    </row>
    <row r="1658" spans="2:7" ht="9.6" customHeight="1">
      <c r="B1658" s="51">
        <f>B1655</f>
        <v>46249</v>
      </c>
      <c r="C1658" s="52" t="s">
        <v>2566</v>
      </c>
      <c r="D1658" s="52" t="s">
        <v>459</v>
      </c>
      <c r="E1658" s="68" t="s">
        <v>11</v>
      </c>
      <c r="F1658" s="52" t="s">
        <v>2567</v>
      </c>
      <c r="G1658" s="52" t="s">
        <v>41</v>
      </c>
    </row>
    <row r="1659" spans="2:7" ht="9.6" customHeight="1">
      <c r="B1659" s="51">
        <f>B1658</f>
        <v>46249</v>
      </c>
      <c r="C1659" s="52" t="s">
        <v>2568</v>
      </c>
      <c r="D1659" s="52" t="s">
        <v>38</v>
      </c>
      <c r="E1659" s="68" t="s">
        <v>11</v>
      </c>
      <c r="F1659" s="52" t="s">
        <v>2569</v>
      </c>
      <c r="G1659" s="52" t="s">
        <v>51</v>
      </c>
    </row>
    <row r="1660" spans="2:7" ht="9.6" customHeight="1">
      <c r="B1660" s="51">
        <f>B1658</f>
        <v>46249</v>
      </c>
      <c r="C1660" s="52" t="s">
        <v>2570</v>
      </c>
      <c r="D1660" s="52" t="s">
        <v>76</v>
      </c>
      <c r="E1660" s="68" t="s">
        <v>11</v>
      </c>
      <c r="F1660" s="52" t="s">
        <v>2100</v>
      </c>
      <c r="G1660" s="52" t="s">
        <v>51</v>
      </c>
    </row>
    <row r="1661" spans="2:7" ht="9.6" customHeight="1">
      <c r="B1661" s="51">
        <f>B1658</f>
        <v>46249</v>
      </c>
      <c r="C1661" s="52" t="s">
        <v>2566</v>
      </c>
      <c r="D1661" s="52" t="s">
        <v>132</v>
      </c>
      <c r="E1661" s="68" t="s">
        <v>11</v>
      </c>
      <c r="F1661" s="52" t="s">
        <v>2571</v>
      </c>
      <c r="G1661" s="52" t="s">
        <v>2572</v>
      </c>
    </row>
    <row r="1662" spans="2:7" ht="9.6" customHeight="1">
      <c r="B1662" s="59">
        <v>46250</v>
      </c>
      <c r="C1662" s="60" t="s">
        <v>2570</v>
      </c>
      <c r="D1662" s="60" t="s">
        <v>23</v>
      </c>
      <c r="E1662" s="68" t="s">
        <v>11</v>
      </c>
      <c r="F1662" s="60" t="s">
        <v>2573</v>
      </c>
      <c r="G1662" s="60" t="s">
        <v>51</v>
      </c>
    </row>
    <row r="1663" spans="2:7" ht="9.6" customHeight="1">
      <c r="B1663" s="59">
        <f>B1662</f>
        <v>46250</v>
      </c>
      <c r="C1663" s="60" t="s">
        <v>2574</v>
      </c>
      <c r="D1663" s="60" t="s">
        <v>52</v>
      </c>
      <c r="E1663" s="68" t="s">
        <v>11</v>
      </c>
      <c r="F1663" s="60" t="s">
        <v>1453</v>
      </c>
      <c r="G1663" s="60" t="s">
        <v>51</v>
      </c>
    </row>
    <row r="1664" spans="2:7" ht="9.6" customHeight="1">
      <c r="B1664" s="59">
        <f>B1662</f>
        <v>46250</v>
      </c>
      <c r="C1664" s="60" t="s">
        <v>2575</v>
      </c>
      <c r="D1664" s="60" t="s">
        <v>2576</v>
      </c>
      <c r="E1664" s="68" t="s">
        <v>11</v>
      </c>
      <c r="F1664" s="60" t="s">
        <v>2577</v>
      </c>
      <c r="G1664" s="60" t="s">
        <v>51</v>
      </c>
    </row>
    <row r="1665" spans="2:7" ht="9.6" customHeight="1">
      <c r="B1665" s="59">
        <f>B1662</f>
        <v>46250</v>
      </c>
      <c r="C1665" s="60" t="s">
        <v>2566</v>
      </c>
      <c r="D1665" s="60" t="s">
        <v>207</v>
      </c>
      <c r="E1665" s="68" t="s">
        <v>11</v>
      </c>
      <c r="F1665" s="60" t="s">
        <v>2578</v>
      </c>
      <c r="G1665" s="60" t="s">
        <v>2579</v>
      </c>
    </row>
    <row r="1666" spans="2:7" ht="9.6" customHeight="1">
      <c r="B1666" s="59">
        <f>B1665</f>
        <v>46250</v>
      </c>
      <c r="C1666" s="60" t="s">
        <v>2580</v>
      </c>
      <c r="D1666" s="60" t="s">
        <v>23</v>
      </c>
      <c r="E1666" s="68" t="s">
        <v>11</v>
      </c>
      <c r="F1666" s="60" t="s">
        <v>2581</v>
      </c>
      <c r="G1666" s="60" t="s">
        <v>51</v>
      </c>
    </row>
    <row r="1667" spans="2:7" ht="9.6" customHeight="1">
      <c r="B1667" s="59">
        <f>B1665</f>
        <v>46250</v>
      </c>
      <c r="C1667" s="60" t="s">
        <v>2582</v>
      </c>
      <c r="D1667" s="60" t="s">
        <v>2583</v>
      </c>
      <c r="E1667" s="68" t="s">
        <v>11</v>
      </c>
      <c r="F1667" s="60" t="s">
        <v>2584</v>
      </c>
      <c r="G1667" s="60" t="s">
        <v>51</v>
      </c>
    </row>
    <row r="1668" spans="2:7" ht="9.6" customHeight="1">
      <c r="B1668" s="59">
        <f>B1665</f>
        <v>46250</v>
      </c>
      <c r="C1668" s="60" t="s">
        <v>2566</v>
      </c>
      <c r="D1668" s="60" t="s">
        <v>2585</v>
      </c>
      <c r="E1668" s="66" t="s">
        <v>28</v>
      </c>
      <c r="F1668" s="60" t="s">
        <v>2586</v>
      </c>
      <c r="G1668" s="60" t="s">
        <v>30</v>
      </c>
    </row>
    <row r="1669" spans="2:7" ht="9.6" customHeight="1">
      <c r="B1669" s="59">
        <f>B1668</f>
        <v>46250</v>
      </c>
      <c r="C1669" s="60" t="s">
        <v>2587</v>
      </c>
      <c r="D1669" s="60" t="s">
        <v>52</v>
      </c>
      <c r="E1669" s="66" t="s">
        <v>28</v>
      </c>
      <c r="F1669" s="60" t="s">
        <v>2588</v>
      </c>
      <c r="G1669" s="60" t="s">
        <v>51</v>
      </c>
    </row>
    <row r="1670" spans="2:7" ht="9.6" customHeight="1">
      <c r="B1670" s="59">
        <f>B1668</f>
        <v>46250</v>
      </c>
      <c r="C1670" s="60" t="s">
        <v>2566</v>
      </c>
      <c r="D1670" s="60" t="s">
        <v>2589</v>
      </c>
      <c r="E1670" s="66" t="s">
        <v>28</v>
      </c>
      <c r="F1670" s="60" t="s">
        <v>2590</v>
      </c>
      <c r="G1670" s="60" t="s">
        <v>30</v>
      </c>
    </row>
    <row r="1671" spans="2:7" ht="9.6" customHeight="1">
      <c r="B1671" s="59">
        <f>B1668</f>
        <v>46250</v>
      </c>
      <c r="C1671" s="60" t="s">
        <v>2566</v>
      </c>
      <c r="D1671" s="60" t="s">
        <v>19</v>
      </c>
      <c r="E1671" s="66" t="s">
        <v>28</v>
      </c>
      <c r="F1671" s="61" t="s">
        <v>2111</v>
      </c>
      <c r="G1671" s="60" t="s">
        <v>51</v>
      </c>
    </row>
    <row r="1672" spans="2:7" ht="9.6" customHeight="1">
      <c r="B1672" s="59">
        <f>B1671</f>
        <v>46250</v>
      </c>
      <c r="C1672" s="60" t="s">
        <v>2591</v>
      </c>
      <c r="D1672" s="60" t="s">
        <v>52</v>
      </c>
      <c r="E1672" s="66" t="s">
        <v>28</v>
      </c>
      <c r="F1672" s="61" t="s">
        <v>2592</v>
      </c>
      <c r="G1672" s="60" t="s">
        <v>51</v>
      </c>
    </row>
    <row r="1673" spans="2:7" ht="9.6" customHeight="1">
      <c r="B1673" s="59">
        <f>B1671</f>
        <v>46250</v>
      </c>
      <c r="C1673" s="60" t="s">
        <v>2566</v>
      </c>
      <c r="D1673" s="60" t="s">
        <v>385</v>
      </c>
      <c r="E1673" s="66" t="s">
        <v>28</v>
      </c>
      <c r="F1673" s="61" t="s">
        <v>2593</v>
      </c>
      <c r="G1673" s="60" t="s">
        <v>371</v>
      </c>
    </row>
    <row r="1674" spans="2:7" ht="9.6" customHeight="1">
      <c r="B1674" s="59">
        <f>B1671</f>
        <v>46250</v>
      </c>
      <c r="C1674" s="60" t="s">
        <v>2594</v>
      </c>
      <c r="D1674" s="60" t="s">
        <v>1668</v>
      </c>
      <c r="E1674" s="66" t="s">
        <v>28</v>
      </c>
      <c r="F1674" s="61" t="s">
        <v>2595</v>
      </c>
      <c r="G1674" s="60" t="s">
        <v>2596</v>
      </c>
    </row>
    <row r="1675" spans="2:7" ht="9.6" customHeight="1">
      <c r="B1675" s="59">
        <f>B1674</f>
        <v>46250</v>
      </c>
      <c r="C1675" s="60" t="s">
        <v>2566</v>
      </c>
      <c r="D1675" s="60" t="s">
        <v>10</v>
      </c>
      <c r="E1675" s="68" t="s">
        <v>11</v>
      </c>
      <c r="F1675" s="60" t="s">
        <v>2597</v>
      </c>
      <c r="G1675" s="60" t="s">
        <v>64</v>
      </c>
    </row>
    <row r="1676" spans="2:7" ht="9.6" customHeight="1">
      <c r="B1676" s="59">
        <f>B1674</f>
        <v>46250</v>
      </c>
      <c r="C1676" s="60" t="s">
        <v>2566</v>
      </c>
      <c r="D1676" s="60" t="s">
        <v>2598</v>
      </c>
      <c r="E1676" s="68" t="s">
        <v>11</v>
      </c>
      <c r="F1676" s="60" t="s">
        <v>2599</v>
      </c>
      <c r="G1676" s="60" t="s">
        <v>64</v>
      </c>
    </row>
    <row r="1677" spans="2:7" ht="9.6" customHeight="1">
      <c r="B1677" s="59">
        <f>B1674</f>
        <v>46250</v>
      </c>
      <c r="C1677" s="60" t="s">
        <v>2600</v>
      </c>
      <c r="D1677" s="60" t="s">
        <v>52</v>
      </c>
      <c r="E1677" s="68" t="s">
        <v>11</v>
      </c>
      <c r="F1677" s="60" t="s">
        <v>2601</v>
      </c>
      <c r="G1677" s="60" t="s">
        <v>51</v>
      </c>
    </row>
    <row r="1678" spans="2:7" ht="9.6" customHeight="1">
      <c r="B1678" s="44">
        <v>46251</v>
      </c>
      <c r="C1678" s="54" t="s">
        <v>2602</v>
      </c>
      <c r="D1678" s="54" t="s">
        <v>256</v>
      </c>
      <c r="E1678" s="68" t="s">
        <v>11</v>
      </c>
      <c r="F1678" s="54" t="s">
        <v>2603</v>
      </c>
      <c r="G1678" s="54" t="s">
        <v>30</v>
      </c>
    </row>
    <row r="1679" spans="2:7" ht="9.6" customHeight="1">
      <c r="B1679" s="44">
        <f>B1678</f>
        <v>46251</v>
      </c>
      <c r="C1679" s="54" t="s">
        <v>2604</v>
      </c>
      <c r="D1679" s="54" t="s">
        <v>407</v>
      </c>
      <c r="E1679" s="68" t="s">
        <v>11</v>
      </c>
      <c r="F1679" s="54" t="s">
        <v>1892</v>
      </c>
      <c r="G1679" s="54" t="s">
        <v>51</v>
      </c>
    </row>
    <row r="1680" spans="2:7" ht="9.6" customHeight="1">
      <c r="B1680" s="44">
        <f>B1678</f>
        <v>46251</v>
      </c>
      <c r="C1680" s="54" t="s">
        <v>2605</v>
      </c>
      <c r="D1680" s="54" t="s">
        <v>52</v>
      </c>
      <c r="E1680" s="68" t="s">
        <v>11</v>
      </c>
      <c r="F1680" s="54" t="s">
        <v>1893</v>
      </c>
      <c r="G1680" s="54" t="s">
        <v>21</v>
      </c>
    </row>
    <row r="1681" spans="2:7" ht="9.6" customHeight="1">
      <c r="B1681" s="44">
        <f>B1678</f>
        <v>46251</v>
      </c>
      <c r="C1681" s="54" t="s">
        <v>2605</v>
      </c>
      <c r="D1681" s="54" t="s">
        <v>213</v>
      </c>
      <c r="E1681" s="68" t="s">
        <v>11</v>
      </c>
      <c r="F1681" s="54" t="s">
        <v>2606</v>
      </c>
      <c r="G1681" s="54" t="s">
        <v>21</v>
      </c>
    </row>
    <row r="1682" spans="2:7" ht="9.6" customHeight="1">
      <c r="B1682" s="44">
        <f>B1681</f>
        <v>46251</v>
      </c>
      <c r="C1682" s="58" t="s">
        <v>2580</v>
      </c>
      <c r="D1682" s="54" t="s">
        <v>796</v>
      </c>
      <c r="E1682" s="68" t="s">
        <v>11</v>
      </c>
      <c r="F1682" s="54" t="s">
        <v>2607</v>
      </c>
      <c r="G1682" s="54" t="s">
        <v>51</v>
      </c>
    </row>
    <row r="1683" spans="2:7" ht="9.6" customHeight="1">
      <c r="B1683" s="44">
        <f>B1681</f>
        <v>46251</v>
      </c>
      <c r="C1683" s="54" t="s">
        <v>27</v>
      </c>
      <c r="D1683" s="54" t="s">
        <v>44</v>
      </c>
      <c r="E1683" s="68" t="s">
        <v>28</v>
      </c>
      <c r="F1683" s="54" t="s">
        <v>2608</v>
      </c>
      <c r="G1683" s="54" t="s">
        <v>30</v>
      </c>
    </row>
    <row r="1684" spans="2:7" ht="9.6" customHeight="1">
      <c r="B1684" s="44">
        <f>B1681</f>
        <v>46251</v>
      </c>
      <c r="C1684" s="54" t="s">
        <v>176</v>
      </c>
      <c r="D1684" s="54" t="s">
        <v>1170</v>
      </c>
      <c r="E1684" s="68" t="s">
        <v>28</v>
      </c>
      <c r="F1684" s="54" t="s">
        <v>2609</v>
      </c>
      <c r="G1684" s="54" t="s">
        <v>30</v>
      </c>
    </row>
    <row r="1685" spans="2:7" ht="9.6" customHeight="1">
      <c r="B1685" s="44">
        <f>B1684</f>
        <v>46251</v>
      </c>
      <c r="C1685" s="54" t="s">
        <v>2240</v>
      </c>
      <c r="D1685" s="54" t="s">
        <v>23</v>
      </c>
      <c r="E1685" s="68" t="s">
        <v>28</v>
      </c>
      <c r="F1685" s="54" t="s">
        <v>2610</v>
      </c>
      <c r="G1685" s="54" t="s">
        <v>51</v>
      </c>
    </row>
    <row r="1686" spans="2:7" ht="9.6" customHeight="1">
      <c r="B1686" s="44">
        <f>B1684</f>
        <v>46251</v>
      </c>
      <c r="C1686" s="54" t="s">
        <v>2240</v>
      </c>
      <c r="D1686" s="54" t="s">
        <v>2515</v>
      </c>
      <c r="E1686" s="68" t="s">
        <v>28</v>
      </c>
      <c r="F1686" s="54" t="s">
        <v>2611</v>
      </c>
      <c r="G1686" s="54" t="s">
        <v>51</v>
      </c>
    </row>
    <row r="1687" spans="2:7" ht="9.6" customHeight="1">
      <c r="B1687" s="44">
        <f>B1684</f>
        <v>46251</v>
      </c>
      <c r="C1687" s="54" t="s">
        <v>27</v>
      </c>
      <c r="D1687" s="54" t="s">
        <v>62</v>
      </c>
      <c r="E1687" s="68" t="s">
        <v>28</v>
      </c>
      <c r="F1687" s="54" t="s">
        <v>2612</v>
      </c>
      <c r="G1687" s="54" t="s">
        <v>51</v>
      </c>
    </row>
    <row r="1688" spans="2:7" ht="9.6" customHeight="1">
      <c r="B1688" s="44">
        <f>B1687</f>
        <v>46251</v>
      </c>
      <c r="C1688" s="54" t="s">
        <v>176</v>
      </c>
      <c r="D1688" s="54" t="s">
        <v>52</v>
      </c>
      <c r="E1688" s="68" t="s">
        <v>28</v>
      </c>
      <c r="F1688" s="54" t="s">
        <v>2613</v>
      </c>
      <c r="G1688" s="54" t="s">
        <v>30</v>
      </c>
    </row>
    <row r="1689" spans="2:7" ht="9.6" customHeight="1">
      <c r="B1689" s="44">
        <f>B1687</f>
        <v>46251</v>
      </c>
      <c r="C1689" s="54" t="s">
        <v>1901</v>
      </c>
      <c r="D1689" s="54" t="s">
        <v>10</v>
      </c>
      <c r="E1689" s="68" t="s">
        <v>28</v>
      </c>
      <c r="F1689" s="54" t="s">
        <v>2614</v>
      </c>
      <c r="G1689" s="54" t="s">
        <v>70</v>
      </c>
    </row>
    <row r="1690" spans="2:7" ht="9.6" customHeight="1">
      <c r="B1690" s="44">
        <f>B1687</f>
        <v>46251</v>
      </c>
      <c r="C1690" s="54" t="s">
        <v>2242</v>
      </c>
      <c r="D1690" s="54" t="s">
        <v>76</v>
      </c>
      <c r="E1690" s="68" t="s">
        <v>28</v>
      </c>
      <c r="F1690" s="54" t="s">
        <v>2615</v>
      </c>
      <c r="G1690" s="54" t="s">
        <v>51</v>
      </c>
    </row>
    <row r="1691" spans="2:7" ht="9.6" customHeight="1">
      <c r="B1691" s="44">
        <f>B1690</f>
        <v>46251</v>
      </c>
      <c r="C1691" s="54" t="s">
        <v>176</v>
      </c>
      <c r="D1691" s="54" t="s">
        <v>38</v>
      </c>
      <c r="E1691" s="68" t="s">
        <v>28</v>
      </c>
      <c r="F1691" s="54" t="s">
        <v>2616</v>
      </c>
      <c r="G1691" s="54" t="s">
        <v>234</v>
      </c>
    </row>
    <row r="1692" spans="2:7" ht="9.6" customHeight="1">
      <c r="B1692" s="44">
        <f>B1690</f>
        <v>46251</v>
      </c>
      <c r="C1692" s="54" t="s">
        <v>1901</v>
      </c>
      <c r="D1692" s="54" t="s">
        <v>62</v>
      </c>
      <c r="E1692" s="68" t="s">
        <v>28</v>
      </c>
      <c r="F1692" s="54" t="s">
        <v>2617</v>
      </c>
      <c r="G1692" s="54" t="s">
        <v>237</v>
      </c>
    </row>
    <row r="1693" spans="2:7" ht="9.6" customHeight="1">
      <c r="B1693" s="44">
        <f>B1690</f>
        <v>46251</v>
      </c>
      <c r="C1693" s="54" t="s">
        <v>27</v>
      </c>
      <c r="D1693" s="54" t="s">
        <v>52</v>
      </c>
      <c r="E1693" s="68" t="s">
        <v>28</v>
      </c>
      <c r="F1693" s="54" t="s">
        <v>400</v>
      </c>
      <c r="G1693" s="54" t="s">
        <v>51</v>
      </c>
    </row>
    <row r="1694" spans="2:7" ht="9.6" customHeight="1">
      <c r="B1694" s="44">
        <f>B1693</f>
        <v>46251</v>
      </c>
      <c r="C1694" s="54" t="s">
        <v>2618</v>
      </c>
      <c r="D1694" s="54" t="s">
        <v>116</v>
      </c>
      <c r="E1694" s="68" t="s">
        <v>11</v>
      </c>
      <c r="F1694" s="54" t="s">
        <v>2619</v>
      </c>
      <c r="G1694" s="54" t="s">
        <v>51</v>
      </c>
    </row>
    <row r="1695" spans="2:7" ht="9.6" customHeight="1">
      <c r="B1695" s="44">
        <f>B1693</f>
        <v>46251</v>
      </c>
      <c r="C1695" s="54" t="s">
        <v>2620</v>
      </c>
      <c r="D1695" s="54" t="s">
        <v>544</v>
      </c>
      <c r="E1695" s="68" t="s">
        <v>11</v>
      </c>
      <c r="F1695" s="54" t="s">
        <v>2621</v>
      </c>
      <c r="G1695" s="54" t="s">
        <v>51</v>
      </c>
    </row>
    <row r="1696" spans="2:7" ht="9.6" customHeight="1">
      <c r="B1696" s="44">
        <f>B1693</f>
        <v>46251</v>
      </c>
      <c r="C1696" s="54" t="s">
        <v>2622</v>
      </c>
      <c r="D1696" s="54" t="s">
        <v>2623</v>
      </c>
      <c r="E1696" s="68" t="s">
        <v>11</v>
      </c>
      <c r="F1696" s="54" t="s">
        <v>2624</v>
      </c>
      <c r="G1696" s="54" t="s">
        <v>51</v>
      </c>
    </row>
    <row r="1697" spans="2:7" ht="9.6" customHeight="1">
      <c r="B1697" s="44">
        <v>46252</v>
      </c>
      <c r="C1697" s="54" t="s">
        <v>1904</v>
      </c>
      <c r="D1697" s="54" t="s">
        <v>44</v>
      </c>
      <c r="E1697" s="68" t="s">
        <v>28</v>
      </c>
      <c r="F1697" s="54" t="s">
        <v>2625</v>
      </c>
      <c r="G1697" s="54" t="s">
        <v>34</v>
      </c>
    </row>
    <row r="1698" spans="2:7" ht="9.6" customHeight="1">
      <c r="B1698" s="44">
        <f>B1697</f>
        <v>46252</v>
      </c>
      <c r="C1698" s="54" t="s">
        <v>27</v>
      </c>
      <c r="D1698" s="54" t="s">
        <v>94</v>
      </c>
      <c r="E1698" s="68" t="s">
        <v>28</v>
      </c>
      <c r="F1698" s="54" t="s">
        <v>2626</v>
      </c>
      <c r="G1698" s="54" t="s">
        <v>30</v>
      </c>
    </row>
    <row r="1699" spans="2:7" ht="9.6" customHeight="1">
      <c r="B1699" s="44">
        <f>B1697</f>
        <v>46252</v>
      </c>
      <c r="C1699" s="54" t="s">
        <v>2496</v>
      </c>
      <c r="D1699" s="54" t="s">
        <v>44</v>
      </c>
      <c r="E1699" s="68" t="s">
        <v>28</v>
      </c>
      <c r="F1699" s="54" t="s">
        <v>520</v>
      </c>
      <c r="G1699" s="54" t="s">
        <v>371</v>
      </c>
    </row>
    <row r="1700" spans="2:7" ht="9.6" customHeight="1">
      <c r="B1700" s="44">
        <f>B1697</f>
        <v>46252</v>
      </c>
      <c r="C1700" s="54" t="s">
        <v>27</v>
      </c>
      <c r="D1700" s="54" t="s">
        <v>42</v>
      </c>
      <c r="E1700" s="68" t="s">
        <v>28</v>
      </c>
      <c r="F1700" s="54" t="s">
        <v>2627</v>
      </c>
      <c r="G1700" s="54" t="s">
        <v>34</v>
      </c>
    </row>
    <row r="1701" spans="2:7" ht="9.6" customHeight="1">
      <c r="B1701" s="44">
        <f>B1700</f>
        <v>46252</v>
      </c>
      <c r="C1701" s="58" t="s">
        <v>176</v>
      </c>
      <c r="D1701" s="54" t="s">
        <v>44</v>
      </c>
      <c r="E1701" s="68" t="s">
        <v>28</v>
      </c>
      <c r="F1701" s="54" t="s">
        <v>2628</v>
      </c>
      <c r="G1701" s="54" t="s">
        <v>30</v>
      </c>
    </row>
    <row r="1702" spans="2:7" ht="9.6" customHeight="1">
      <c r="B1702" s="44">
        <f>B1700</f>
        <v>46252</v>
      </c>
      <c r="C1702" s="54" t="s">
        <v>83</v>
      </c>
      <c r="D1702" s="54" t="s">
        <v>261</v>
      </c>
      <c r="E1702" s="68" t="s">
        <v>28</v>
      </c>
      <c r="F1702" s="54" t="s">
        <v>2629</v>
      </c>
      <c r="G1702" s="54" t="s">
        <v>34</v>
      </c>
    </row>
    <row r="1703" spans="2:7" ht="9.6" customHeight="1">
      <c r="B1703" s="44">
        <f>B1700</f>
        <v>46252</v>
      </c>
      <c r="C1703" s="54" t="s">
        <v>2242</v>
      </c>
      <c r="D1703" s="54" t="s">
        <v>213</v>
      </c>
      <c r="E1703" s="68" t="s">
        <v>28</v>
      </c>
      <c r="F1703" s="54" t="s">
        <v>2630</v>
      </c>
      <c r="G1703" s="54" t="s">
        <v>70</v>
      </c>
    </row>
    <row r="1704" spans="2:7" ht="9.6" customHeight="1">
      <c r="B1704" s="44">
        <f>B1703</f>
        <v>46252</v>
      </c>
      <c r="C1704" s="54" t="s">
        <v>27</v>
      </c>
      <c r="D1704" s="54" t="s">
        <v>94</v>
      </c>
      <c r="E1704" s="68" t="s">
        <v>28</v>
      </c>
      <c r="F1704" s="54" t="s">
        <v>2631</v>
      </c>
      <c r="G1704" s="54" t="s">
        <v>34</v>
      </c>
    </row>
    <row r="1705" spans="2:7" ht="9.6" customHeight="1">
      <c r="B1705" s="44">
        <f>B1703</f>
        <v>46252</v>
      </c>
      <c r="C1705" s="54" t="s">
        <v>27</v>
      </c>
      <c r="D1705" s="54" t="s">
        <v>202</v>
      </c>
      <c r="E1705" s="68" t="s">
        <v>28</v>
      </c>
      <c r="F1705" s="54" t="s">
        <v>2632</v>
      </c>
      <c r="G1705" s="54" t="s">
        <v>34</v>
      </c>
    </row>
    <row r="1706" spans="2:7" ht="9.6" customHeight="1">
      <c r="B1706" s="44">
        <f>B1703</f>
        <v>46252</v>
      </c>
      <c r="C1706" s="54" t="s">
        <v>27</v>
      </c>
      <c r="D1706" s="54" t="s">
        <v>81</v>
      </c>
      <c r="E1706" s="68" t="s">
        <v>11</v>
      </c>
      <c r="F1706" s="62" t="s">
        <v>2633</v>
      </c>
      <c r="G1706" s="54" t="s">
        <v>34</v>
      </c>
    </row>
    <row r="1707" spans="2:7" ht="9.6" customHeight="1">
      <c r="B1707" s="44">
        <f>B1706</f>
        <v>46252</v>
      </c>
      <c r="C1707" s="54" t="s">
        <v>27</v>
      </c>
      <c r="D1707" s="54" t="s">
        <v>2351</v>
      </c>
      <c r="E1707" s="68" t="s">
        <v>11</v>
      </c>
      <c r="F1707" s="62" t="s">
        <v>2634</v>
      </c>
      <c r="G1707" s="54" t="s">
        <v>34</v>
      </c>
    </row>
    <row r="1708" spans="2:7" ht="9.6" customHeight="1">
      <c r="B1708" s="44">
        <v>46253</v>
      </c>
      <c r="C1708" s="54" t="s">
        <v>2635</v>
      </c>
      <c r="D1708" s="54" t="s">
        <v>2636</v>
      </c>
      <c r="E1708" s="68" t="s">
        <v>11</v>
      </c>
      <c r="F1708" s="54" t="s">
        <v>2637</v>
      </c>
      <c r="G1708" s="54" t="s">
        <v>34</v>
      </c>
    </row>
    <row r="1709" spans="2:7" ht="9.6" customHeight="1">
      <c r="B1709" s="44">
        <f>B1708</f>
        <v>46253</v>
      </c>
      <c r="C1709" s="54" t="s">
        <v>35</v>
      </c>
      <c r="D1709" s="54" t="s">
        <v>44</v>
      </c>
      <c r="E1709" s="68" t="s">
        <v>11</v>
      </c>
      <c r="F1709" s="54" t="s">
        <v>2638</v>
      </c>
      <c r="G1709" s="54" t="s">
        <v>30</v>
      </c>
    </row>
    <row r="1710" spans="2:7" ht="9.6" customHeight="1">
      <c r="B1710" s="44">
        <f>B1708</f>
        <v>46253</v>
      </c>
      <c r="C1710" s="54" t="s">
        <v>2639</v>
      </c>
      <c r="D1710" s="54" t="s">
        <v>44</v>
      </c>
      <c r="E1710" s="68" t="s">
        <v>11</v>
      </c>
      <c r="F1710" s="54" t="s">
        <v>2640</v>
      </c>
      <c r="G1710" s="54" t="s">
        <v>51</v>
      </c>
    </row>
    <row r="1711" spans="2:7" ht="9.6" customHeight="1">
      <c r="B1711" s="44">
        <f>B1708</f>
        <v>46253</v>
      </c>
      <c r="C1711" s="54" t="s">
        <v>2641</v>
      </c>
      <c r="D1711" s="54" t="s">
        <v>44</v>
      </c>
      <c r="E1711" s="68" t="s">
        <v>11</v>
      </c>
      <c r="F1711" s="54" t="s">
        <v>2642</v>
      </c>
      <c r="G1711" s="54" t="s">
        <v>51</v>
      </c>
    </row>
    <row r="1712" spans="2:7" ht="9.6" customHeight="1">
      <c r="B1712" s="44">
        <f>B1711</f>
        <v>46253</v>
      </c>
      <c r="C1712" s="58" t="s">
        <v>2643</v>
      </c>
      <c r="D1712" s="54" t="s">
        <v>44</v>
      </c>
      <c r="E1712" s="68" t="s">
        <v>11</v>
      </c>
      <c r="F1712" s="54" t="s">
        <v>2644</v>
      </c>
      <c r="G1712" s="54" t="s">
        <v>34</v>
      </c>
    </row>
    <row r="1713" spans="2:7" ht="9.6" customHeight="1">
      <c r="B1713" s="44">
        <f>B1711</f>
        <v>46253</v>
      </c>
      <c r="C1713" s="54" t="s">
        <v>2645</v>
      </c>
      <c r="D1713" s="54" t="s">
        <v>1860</v>
      </c>
      <c r="E1713" s="68" t="s">
        <v>11</v>
      </c>
      <c r="F1713" s="54" t="s">
        <v>966</v>
      </c>
      <c r="G1713" s="54" t="s">
        <v>51</v>
      </c>
    </row>
    <row r="1714" spans="2:7" ht="9.6" customHeight="1">
      <c r="B1714" s="44">
        <f>B1711</f>
        <v>46253</v>
      </c>
      <c r="C1714" s="54" t="s">
        <v>35</v>
      </c>
      <c r="D1714" s="54" t="s">
        <v>42</v>
      </c>
      <c r="E1714" s="68" t="s">
        <v>11</v>
      </c>
      <c r="F1714" s="54" t="s">
        <v>2646</v>
      </c>
      <c r="G1714" s="54" t="s">
        <v>30</v>
      </c>
    </row>
    <row r="1715" spans="2:7" ht="9.6" customHeight="1">
      <c r="B1715" s="51">
        <v>46254</v>
      </c>
      <c r="C1715" s="52" t="s">
        <v>2647</v>
      </c>
      <c r="D1715" s="52" t="s">
        <v>261</v>
      </c>
      <c r="E1715" s="68" t="s">
        <v>11</v>
      </c>
      <c r="F1715" s="52" t="s">
        <v>2648</v>
      </c>
      <c r="G1715" s="52" t="s">
        <v>51</v>
      </c>
    </row>
    <row r="1716" spans="2:7" ht="9.6" customHeight="1">
      <c r="B1716" s="51">
        <f>B1715</f>
        <v>46254</v>
      </c>
      <c r="C1716" s="52" t="s">
        <v>2649</v>
      </c>
      <c r="D1716" s="52" t="s">
        <v>213</v>
      </c>
      <c r="E1716" s="68" t="s">
        <v>11</v>
      </c>
      <c r="F1716" s="52" t="s">
        <v>2650</v>
      </c>
      <c r="G1716" s="52" t="s">
        <v>51</v>
      </c>
    </row>
    <row r="1717" spans="2:7" ht="9.6" customHeight="1">
      <c r="B1717" s="51">
        <f>B1715</f>
        <v>46254</v>
      </c>
      <c r="C1717" s="52" t="s">
        <v>35</v>
      </c>
      <c r="D1717" s="52" t="s">
        <v>224</v>
      </c>
      <c r="E1717" s="68" t="s">
        <v>11</v>
      </c>
      <c r="F1717" s="52" t="s">
        <v>2651</v>
      </c>
      <c r="G1717" s="52" t="s">
        <v>21</v>
      </c>
    </row>
    <row r="1718" spans="2:7" ht="9.6" customHeight="1">
      <c r="B1718" s="51">
        <f>B1715</f>
        <v>46254</v>
      </c>
      <c r="C1718" s="52" t="s">
        <v>2652</v>
      </c>
      <c r="D1718" s="52" t="s">
        <v>2653</v>
      </c>
      <c r="E1718" s="66" t="s">
        <v>28</v>
      </c>
      <c r="F1718" s="52" t="s">
        <v>1460</v>
      </c>
      <c r="G1718" s="52" t="s">
        <v>51</v>
      </c>
    </row>
    <row r="1719" spans="2:7" ht="9.6" customHeight="1">
      <c r="B1719" s="51">
        <f>B1718</f>
        <v>46254</v>
      </c>
      <c r="C1719" s="52" t="s">
        <v>2167</v>
      </c>
      <c r="D1719" s="52" t="s">
        <v>394</v>
      </c>
      <c r="E1719" s="66" t="s">
        <v>28</v>
      </c>
      <c r="F1719" s="52" t="s">
        <v>2654</v>
      </c>
      <c r="G1719" s="52" t="s">
        <v>21</v>
      </c>
    </row>
    <row r="1720" spans="2:7" ht="9.6" customHeight="1">
      <c r="B1720" s="51">
        <f>B1718</f>
        <v>46254</v>
      </c>
      <c r="C1720" s="52" t="s">
        <v>2167</v>
      </c>
      <c r="D1720" s="52" t="s">
        <v>52</v>
      </c>
      <c r="E1720" s="66" t="s">
        <v>28</v>
      </c>
      <c r="F1720" s="52" t="s">
        <v>2192</v>
      </c>
      <c r="G1720" s="52" t="s">
        <v>417</v>
      </c>
    </row>
    <row r="1721" spans="2:7" ht="9.6" customHeight="1">
      <c r="B1721" s="51">
        <f>B1718</f>
        <v>46254</v>
      </c>
      <c r="C1721" s="52" t="s">
        <v>2655</v>
      </c>
      <c r="D1721" s="52" t="s">
        <v>10</v>
      </c>
      <c r="E1721" s="66" t="s">
        <v>28</v>
      </c>
      <c r="F1721" s="52" t="s">
        <v>2656</v>
      </c>
      <c r="G1721" s="52" t="s">
        <v>21</v>
      </c>
    </row>
    <row r="1722" spans="2:7" ht="9.6" customHeight="1">
      <c r="B1722" s="51">
        <f>B1721</f>
        <v>46254</v>
      </c>
      <c r="C1722" s="52" t="s">
        <v>2657</v>
      </c>
      <c r="D1722" s="52" t="s">
        <v>10</v>
      </c>
      <c r="E1722" s="66" t="s">
        <v>28</v>
      </c>
      <c r="F1722" s="52" t="s">
        <v>2658</v>
      </c>
      <c r="G1722" s="52" t="s">
        <v>21</v>
      </c>
    </row>
    <row r="1723" spans="2:7" ht="9.6" customHeight="1">
      <c r="B1723" s="51">
        <f>B1721</f>
        <v>46254</v>
      </c>
      <c r="C1723" s="52" t="s">
        <v>2284</v>
      </c>
      <c r="D1723" s="52" t="s">
        <v>15</v>
      </c>
      <c r="E1723" s="66" t="s">
        <v>28</v>
      </c>
      <c r="F1723" s="52" t="s">
        <v>2659</v>
      </c>
      <c r="G1723" s="52" t="s">
        <v>2660</v>
      </c>
    </row>
    <row r="1724" spans="2:7" ht="9.6" customHeight="1">
      <c r="B1724" s="51">
        <f>B1721</f>
        <v>46254</v>
      </c>
      <c r="C1724" s="52" t="s">
        <v>2661</v>
      </c>
      <c r="D1724" s="52" t="s">
        <v>403</v>
      </c>
      <c r="E1724" s="66" t="s">
        <v>28</v>
      </c>
      <c r="F1724" s="53" t="s">
        <v>906</v>
      </c>
      <c r="G1724" s="52" t="s">
        <v>70</v>
      </c>
    </row>
    <row r="1725" spans="2:7" ht="9.6" customHeight="1">
      <c r="B1725" s="51">
        <f>B1724</f>
        <v>46254</v>
      </c>
      <c r="C1725" s="52" t="s">
        <v>2284</v>
      </c>
      <c r="D1725" s="52" t="s">
        <v>385</v>
      </c>
      <c r="E1725" s="66" t="s">
        <v>28</v>
      </c>
      <c r="F1725" s="53" t="s">
        <v>2662</v>
      </c>
      <c r="G1725" s="52" t="s">
        <v>237</v>
      </c>
    </row>
    <row r="1726" spans="2:7" ht="9.6" customHeight="1">
      <c r="B1726" s="51">
        <f>B1724</f>
        <v>46254</v>
      </c>
      <c r="C1726" s="52" t="s">
        <v>2663</v>
      </c>
      <c r="D1726" s="52" t="s">
        <v>403</v>
      </c>
      <c r="E1726" s="66" t="s">
        <v>28</v>
      </c>
      <c r="F1726" s="53" t="s">
        <v>2664</v>
      </c>
      <c r="G1726" s="52" t="s">
        <v>70</v>
      </c>
    </row>
    <row r="1727" spans="2:7" ht="9.6" customHeight="1">
      <c r="B1727" s="51">
        <f>B1724</f>
        <v>46254</v>
      </c>
      <c r="C1727" s="52" t="s">
        <v>2665</v>
      </c>
      <c r="D1727" s="52" t="s">
        <v>385</v>
      </c>
      <c r="E1727" s="66" t="s">
        <v>28</v>
      </c>
      <c r="F1727" s="53" t="s">
        <v>2666</v>
      </c>
      <c r="G1727" s="52" t="s">
        <v>51</v>
      </c>
    </row>
    <row r="1728" spans="2:7" ht="9.6" customHeight="1">
      <c r="B1728" s="51">
        <f>B1727</f>
        <v>46254</v>
      </c>
      <c r="C1728" s="52" t="s">
        <v>2284</v>
      </c>
      <c r="D1728" s="52" t="s">
        <v>52</v>
      </c>
      <c r="E1728" s="66" t="s">
        <v>28</v>
      </c>
      <c r="F1728" s="52" t="s">
        <v>2667</v>
      </c>
      <c r="G1728" s="52" t="s">
        <v>21</v>
      </c>
    </row>
    <row r="1729" spans="2:7" ht="9.6" customHeight="1">
      <c r="B1729" s="51">
        <f>B1727</f>
        <v>46254</v>
      </c>
      <c r="C1729" s="52" t="s">
        <v>2657</v>
      </c>
      <c r="D1729" s="52" t="s">
        <v>1860</v>
      </c>
      <c r="E1729" s="68" t="s">
        <v>11</v>
      </c>
      <c r="F1729" s="52" t="s">
        <v>384</v>
      </c>
      <c r="G1729" s="52" t="s">
        <v>51</v>
      </c>
    </row>
    <row r="1730" spans="2:7" ht="9.6" customHeight="1">
      <c r="B1730" s="51">
        <f>B1727</f>
        <v>46254</v>
      </c>
      <c r="C1730" s="52" t="s">
        <v>2668</v>
      </c>
      <c r="D1730" s="52" t="s">
        <v>23</v>
      </c>
      <c r="E1730" s="68" t="s">
        <v>11</v>
      </c>
      <c r="F1730" s="52" t="s">
        <v>2669</v>
      </c>
      <c r="G1730" s="52" t="s">
        <v>51</v>
      </c>
    </row>
    <row r="1731" spans="2:7" ht="9.6" customHeight="1">
      <c r="B1731" s="51">
        <f>B1730</f>
        <v>46254</v>
      </c>
      <c r="C1731" s="52" t="s">
        <v>2670</v>
      </c>
      <c r="D1731" s="52" t="s">
        <v>44</v>
      </c>
      <c r="E1731" s="68" t="s">
        <v>11</v>
      </c>
      <c r="F1731" s="52" t="s">
        <v>2671</v>
      </c>
      <c r="G1731" s="52" t="s">
        <v>51</v>
      </c>
    </row>
    <row r="1732" spans="2:7" ht="9.6" customHeight="1">
      <c r="B1732" s="51">
        <f>B1730</f>
        <v>46254</v>
      </c>
      <c r="C1732" s="52" t="s">
        <v>2672</v>
      </c>
      <c r="D1732" s="52" t="s">
        <v>52</v>
      </c>
      <c r="E1732" s="68" t="s">
        <v>11</v>
      </c>
      <c r="F1732" s="52" t="s">
        <v>2673</v>
      </c>
      <c r="G1732" s="52" t="s">
        <v>2674</v>
      </c>
    </row>
    <row r="1733" spans="2:7" ht="9.6" customHeight="1">
      <c r="B1733" s="51">
        <f>B1730</f>
        <v>46254</v>
      </c>
      <c r="C1733" s="52" t="s">
        <v>2675</v>
      </c>
      <c r="D1733" s="52" t="s">
        <v>23</v>
      </c>
      <c r="E1733" s="68" t="s">
        <v>11</v>
      </c>
      <c r="F1733" s="52" t="s">
        <v>2676</v>
      </c>
      <c r="G1733" s="52" t="s">
        <v>51</v>
      </c>
    </row>
    <row r="1734" spans="2:7" ht="9.6" customHeight="1">
      <c r="B1734" s="51">
        <f>B1733</f>
        <v>46254</v>
      </c>
      <c r="C1734" s="52" t="s">
        <v>2677</v>
      </c>
      <c r="D1734" s="52" t="s">
        <v>2176</v>
      </c>
      <c r="E1734" s="68" t="s">
        <v>11</v>
      </c>
      <c r="F1734" s="52" t="s">
        <v>2678</v>
      </c>
      <c r="G1734" s="52" t="s">
        <v>51</v>
      </c>
    </row>
    <row r="1735" spans="2:7" ht="9.6" customHeight="1">
      <c r="B1735" s="51">
        <f>B1733</f>
        <v>46254</v>
      </c>
      <c r="C1735" s="52" t="s">
        <v>2167</v>
      </c>
      <c r="D1735" s="52" t="s">
        <v>612</v>
      </c>
      <c r="E1735" s="68" t="s">
        <v>11</v>
      </c>
      <c r="F1735" s="52" t="s">
        <v>2679</v>
      </c>
      <c r="G1735" s="52" t="s">
        <v>64</v>
      </c>
    </row>
    <row r="1736" spans="2:7" ht="9.6" customHeight="1">
      <c r="B1736" s="51">
        <f>B1733</f>
        <v>46254</v>
      </c>
      <c r="C1736" s="52" t="s">
        <v>2680</v>
      </c>
      <c r="D1736" s="52" t="s">
        <v>385</v>
      </c>
      <c r="E1736" s="68" t="s">
        <v>11</v>
      </c>
      <c r="F1736" s="52" t="s">
        <v>2681</v>
      </c>
      <c r="G1736" s="52" t="s">
        <v>51</v>
      </c>
    </row>
    <row r="1737" spans="2:7" ht="9.6" customHeight="1">
      <c r="B1737" s="51">
        <v>46255</v>
      </c>
      <c r="C1737" s="52" t="s">
        <v>2682</v>
      </c>
      <c r="D1737" s="52" t="s">
        <v>385</v>
      </c>
      <c r="E1737" s="66" t="s">
        <v>28</v>
      </c>
      <c r="F1737" s="52" t="s">
        <v>2683</v>
      </c>
      <c r="G1737" s="52" t="s">
        <v>187</v>
      </c>
    </row>
    <row r="1738" spans="2:7" ht="9.6" customHeight="1">
      <c r="B1738" s="51">
        <v>46255</v>
      </c>
      <c r="C1738" s="52" t="s">
        <v>2442</v>
      </c>
      <c r="D1738" s="52" t="s">
        <v>741</v>
      </c>
      <c r="E1738" s="66" t="s">
        <v>28</v>
      </c>
      <c r="F1738" s="52" t="s">
        <v>2684</v>
      </c>
      <c r="G1738" s="52" t="s">
        <v>21</v>
      </c>
    </row>
    <row r="1739" spans="2:7" ht="9.6" customHeight="1">
      <c r="B1739" s="51">
        <v>46255</v>
      </c>
      <c r="C1739" s="52" t="s">
        <v>2142</v>
      </c>
      <c r="D1739" s="52" t="s">
        <v>741</v>
      </c>
      <c r="E1739" s="66" t="s">
        <v>28</v>
      </c>
      <c r="F1739" s="52" t="s">
        <v>857</v>
      </c>
      <c r="G1739" s="52" t="s">
        <v>21</v>
      </c>
    </row>
    <row r="1740" spans="2:7" ht="9.6" customHeight="1">
      <c r="B1740" s="51">
        <v>46255</v>
      </c>
      <c r="C1740" s="52" t="s">
        <v>2685</v>
      </c>
      <c r="D1740" s="52" t="s">
        <v>910</v>
      </c>
      <c r="E1740" s="66" t="s">
        <v>28</v>
      </c>
      <c r="F1740" s="52" t="s">
        <v>1210</v>
      </c>
      <c r="G1740" s="52" t="s">
        <v>187</v>
      </c>
    </row>
    <row r="1741" spans="2:7" ht="9.6" customHeight="1">
      <c r="B1741" s="51">
        <v>46255</v>
      </c>
      <c r="C1741" s="52" t="s">
        <v>2167</v>
      </c>
      <c r="D1741" s="52" t="s">
        <v>103</v>
      </c>
      <c r="E1741" s="66" t="s">
        <v>28</v>
      </c>
      <c r="F1741" s="52" t="s">
        <v>2686</v>
      </c>
      <c r="G1741" s="52" t="s">
        <v>21</v>
      </c>
    </row>
    <row r="1742" spans="2:7" ht="9.6" customHeight="1">
      <c r="B1742" s="51">
        <v>46255</v>
      </c>
      <c r="C1742" s="52" t="s">
        <v>2687</v>
      </c>
      <c r="D1742" s="52" t="s">
        <v>2449</v>
      </c>
      <c r="E1742" s="66" t="s">
        <v>28</v>
      </c>
      <c r="F1742" s="52" t="s">
        <v>578</v>
      </c>
      <c r="G1742" s="52" t="s">
        <v>21</v>
      </c>
    </row>
    <row r="1743" spans="2:7" ht="9.6" customHeight="1">
      <c r="B1743" s="51">
        <v>46255</v>
      </c>
      <c r="C1743" s="52" t="s">
        <v>2688</v>
      </c>
      <c r="D1743" s="52" t="s">
        <v>2689</v>
      </c>
      <c r="E1743" s="66" t="s">
        <v>28</v>
      </c>
      <c r="F1743" s="52" t="s">
        <v>2690</v>
      </c>
      <c r="G1743" s="52" t="s">
        <v>187</v>
      </c>
    </row>
    <row r="1744" spans="2:7" ht="9.6" customHeight="1">
      <c r="B1744" s="51">
        <v>46255</v>
      </c>
      <c r="C1744" s="52" t="s">
        <v>2691</v>
      </c>
      <c r="D1744" s="52" t="s">
        <v>62</v>
      </c>
      <c r="E1744" s="66" t="s">
        <v>28</v>
      </c>
      <c r="F1744" s="52" t="s">
        <v>2692</v>
      </c>
      <c r="G1744" s="52" t="s">
        <v>371</v>
      </c>
    </row>
    <row r="1745" spans="2:7" ht="9.6" customHeight="1">
      <c r="B1745" s="51">
        <v>46255</v>
      </c>
      <c r="C1745" s="52" t="s">
        <v>2302</v>
      </c>
      <c r="D1745" s="52" t="s">
        <v>62</v>
      </c>
      <c r="E1745" s="66" t="s">
        <v>28</v>
      </c>
      <c r="F1745" s="52" t="s">
        <v>2693</v>
      </c>
      <c r="G1745" s="52" t="s">
        <v>187</v>
      </c>
    </row>
    <row r="1746" spans="2:7" ht="9.6" customHeight="1">
      <c r="B1746" s="51">
        <v>46255</v>
      </c>
      <c r="C1746" s="52" t="s">
        <v>2167</v>
      </c>
      <c r="D1746" s="52" t="s">
        <v>385</v>
      </c>
      <c r="E1746" s="66" t="s">
        <v>28</v>
      </c>
      <c r="F1746" s="53" t="s">
        <v>1459</v>
      </c>
      <c r="G1746" s="52" t="s">
        <v>21</v>
      </c>
    </row>
    <row r="1747" spans="2:7" ht="9.6" customHeight="1">
      <c r="B1747" s="51">
        <v>46255</v>
      </c>
      <c r="C1747" s="52" t="s">
        <v>2167</v>
      </c>
      <c r="D1747" s="52" t="s">
        <v>76</v>
      </c>
      <c r="E1747" s="66" t="s">
        <v>28</v>
      </c>
      <c r="F1747" s="53" t="s">
        <v>2590</v>
      </c>
      <c r="G1747" s="52" t="s">
        <v>21</v>
      </c>
    </row>
    <row r="1748" spans="2:7" ht="9.6" customHeight="1">
      <c r="B1748" s="51">
        <v>46255</v>
      </c>
      <c r="C1748" s="52" t="s">
        <v>2167</v>
      </c>
      <c r="D1748" s="52" t="s">
        <v>232</v>
      </c>
      <c r="E1748" s="66" t="s">
        <v>28</v>
      </c>
      <c r="F1748" s="53" t="s">
        <v>2694</v>
      </c>
      <c r="G1748" s="52" t="s">
        <v>21</v>
      </c>
    </row>
    <row r="1749" spans="2:7" ht="9.6" customHeight="1">
      <c r="B1749" s="51">
        <v>46255</v>
      </c>
      <c r="C1749" s="52" t="s">
        <v>2167</v>
      </c>
      <c r="D1749" s="52" t="s">
        <v>462</v>
      </c>
      <c r="E1749" s="66" t="s">
        <v>28</v>
      </c>
      <c r="F1749" s="53" t="s">
        <v>2695</v>
      </c>
      <c r="G1749" s="52" t="s">
        <v>21</v>
      </c>
    </row>
    <row r="1750" spans="2:7" ht="9.6" customHeight="1">
      <c r="B1750" s="51">
        <v>46255</v>
      </c>
      <c r="C1750" s="52" t="s">
        <v>2696</v>
      </c>
      <c r="D1750" s="52" t="s">
        <v>385</v>
      </c>
      <c r="E1750" s="66" t="s">
        <v>28</v>
      </c>
      <c r="F1750" s="52" t="s">
        <v>2697</v>
      </c>
      <c r="G1750" s="52" t="s">
        <v>187</v>
      </c>
    </row>
    <row r="1751" spans="2:7" ht="9.6" customHeight="1">
      <c r="B1751" s="51">
        <v>46255</v>
      </c>
      <c r="C1751" s="52" t="s">
        <v>2167</v>
      </c>
      <c r="D1751" s="52" t="s">
        <v>42</v>
      </c>
      <c r="E1751" s="66" t="s">
        <v>28</v>
      </c>
      <c r="F1751" s="53" t="s">
        <v>2698</v>
      </c>
      <c r="G1751" s="52" t="s">
        <v>2699</v>
      </c>
    </row>
    <row r="1752" spans="2:7" ht="9.6" customHeight="1">
      <c r="B1752" s="51">
        <v>46255</v>
      </c>
      <c r="C1752" s="52" t="s">
        <v>2167</v>
      </c>
      <c r="D1752" s="52" t="s">
        <v>42</v>
      </c>
      <c r="E1752" s="66" t="s">
        <v>28</v>
      </c>
      <c r="F1752" s="53" t="s">
        <v>2700</v>
      </c>
      <c r="G1752" s="52" t="s">
        <v>2699</v>
      </c>
    </row>
    <row r="1753" spans="2:7" ht="9.6" customHeight="1">
      <c r="B1753" s="51">
        <v>46255</v>
      </c>
      <c r="C1753" s="52" t="s">
        <v>2701</v>
      </c>
      <c r="D1753" s="52" t="s">
        <v>164</v>
      </c>
      <c r="E1753" s="66" t="s">
        <v>28</v>
      </c>
      <c r="F1753" s="52" t="s">
        <v>114</v>
      </c>
      <c r="G1753" s="52" t="s">
        <v>187</v>
      </c>
    </row>
    <row r="1754" spans="2:7" ht="9.6" customHeight="1">
      <c r="B1754" s="51">
        <v>46255</v>
      </c>
      <c r="C1754" s="52" t="s">
        <v>2702</v>
      </c>
      <c r="D1754" s="52" t="s">
        <v>23</v>
      </c>
      <c r="E1754" s="66" t="s">
        <v>28</v>
      </c>
      <c r="F1754" s="52" t="s">
        <v>1007</v>
      </c>
      <c r="G1754" s="52" t="s">
        <v>187</v>
      </c>
    </row>
    <row r="1755" spans="2:7" ht="9.6" customHeight="1">
      <c r="B1755" s="51">
        <v>46255</v>
      </c>
      <c r="C1755" s="52" t="s">
        <v>2703</v>
      </c>
      <c r="D1755" s="52" t="s">
        <v>403</v>
      </c>
      <c r="E1755" s="68" t="s">
        <v>11</v>
      </c>
      <c r="F1755" s="52" t="s">
        <v>2704</v>
      </c>
      <c r="G1755" s="52" t="s">
        <v>51</v>
      </c>
    </row>
    <row r="1756" spans="2:7" ht="9.6" customHeight="1">
      <c r="B1756" s="51">
        <v>46256</v>
      </c>
      <c r="C1756" s="52" t="s">
        <v>27</v>
      </c>
      <c r="D1756" s="52" t="s">
        <v>2705</v>
      </c>
      <c r="E1756" s="68" t="s">
        <v>11</v>
      </c>
      <c r="F1756" s="52" t="s">
        <v>2706</v>
      </c>
      <c r="G1756" s="52" t="s">
        <v>34</v>
      </c>
    </row>
    <row r="1757" spans="2:7" ht="9.6" customHeight="1">
      <c r="B1757" s="51">
        <v>46256</v>
      </c>
      <c r="C1757" s="52" t="s">
        <v>27</v>
      </c>
      <c r="D1757" s="52" t="s">
        <v>2705</v>
      </c>
      <c r="E1757" s="68" t="s">
        <v>11</v>
      </c>
      <c r="F1757" s="52" t="s">
        <v>2707</v>
      </c>
      <c r="G1757" s="52" t="s">
        <v>34</v>
      </c>
    </row>
    <row r="1758" spans="2:7" ht="9.6" customHeight="1">
      <c r="B1758" s="51">
        <v>46256</v>
      </c>
      <c r="C1758" s="52" t="s">
        <v>2708</v>
      </c>
      <c r="D1758" s="52" t="s">
        <v>2248</v>
      </c>
      <c r="E1758" s="68" t="s">
        <v>11</v>
      </c>
      <c r="F1758" s="52" t="s">
        <v>2709</v>
      </c>
      <c r="G1758" s="52" t="s">
        <v>34</v>
      </c>
    </row>
    <row r="1759" spans="2:7" ht="9.6" customHeight="1">
      <c r="B1759" s="51">
        <v>46256</v>
      </c>
      <c r="C1759" s="52" t="s">
        <v>2710</v>
      </c>
      <c r="D1759" s="52" t="s">
        <v>23</v>
      </c>
      <c r="E1759" s="68" t="s">
        <v>11</v>
      </c>
      <c r="F1759" s="52" t="s">
        <v>2711</v>
      </c>
      <c r="G1759" s="52" t="s">
        <v>34</v>
      </c>
    </row>
    <row r="1760" spans="2:7" ht="9.6" customHeight="1">
      <c r="B1760" s="51">
        <v>46256</v>
      </c>
      <c r="C1760" s="52" t="s">
        <v>2712</v>
      </c>
      <c r="D1760" s="52" t="s">
        <v>42</v>
      </c>
      <c r="E1760" s="68" t="s">
        <v>11</v>
      </c>
      <c r="F1760" s="52" t="s">
        <v>2713</v>
      </c>
      <c r="G1760" s="52" t="s">
        <v>34</v>
      </c>
    </row>
    <row r="1761" spans="2:7" ht="9.6" customHeight="1">
      <c r="B1761" s="51">
        <v>46256</v>
      </c>
      <c r="C1761" s="52" t="s">
        <v>2712</v>
      </c>
      <c r="D1761" s="52" t="s">
        <v>2714</v>
      </c>
      <c r="E1761" s="68" t="s">
        <v>11</v>
      </c>
      <c r="F1761" s="52" t="s">
        <v>2715</v>
      </c>
      <c r="G1761" s="52" t="s">
        <v>34</v>
      </c>
    </row>
    <row r="1762" spans="2:7" ht="9.6" customHeight="1">
      <c r="B1762" s="51">
        <v>46257</v>
      </c>
      <c r="C1762" s="52" t="s">
        <v>215</v>
      </c>
      <c r="D1762" s="52" t="s">
        <v>81</v>
      </c>
      <c r="E1762" s="68" t="s">
        <v>11</v>
      </c>
      <c r="F1762" s="52" t="s">
        <v>2716</v>
      </c>
      <c r="G1762" s="52" t="s">
        <v>34</v>
      </c>
    </row>
    <row r="1763" spans="2:7" ht="9.6" customHeight="1">
      <c r="B1763" s="51">
        <v>46257</v>
      </c>
      <c r="C1763" s="52" t="s">
        <v>35</v>
      </c>
      <c r="D1763" s="52" t="s">
        <v>15</v>
      </c>
      <c r="E1763" s="68" t="s">
        <v>11</v>
      </c>
      <c r="F1763" s="52" t="s">
        <v>2717</v>
      </c>
      <c r="G1763" s="52" t="s">
        <v>21</v>
      </c>
    </row>
    <row r="1764" spans="2:7" ht="9.6" customHeight="1">
      <c r="B1764" s="51">
        <v>46257</v>
      </c>
      <c r="C1764" s="52" t="s">
        <v>2718</v>
      </c>
      <c r="D1764" s="52" t="s">
        <v>44</v>
      </c>
      <c r="E1764" s="68" t="s">
        <v>11</v>
      </c>
      <c r="F1764" s="52" t="s">
        <v>2719</v>
      </c>
      <c r="G1764" s="52" t="s">
        <v>51</v>
      </c>
    </row>
    <row r="1765" spans="2:7" ht="9.6" customHeight="1">
      <c r="B1765" s="51">
        <v>46257</v>
      </c>
      <c r="C1765" s="52" t="s">
        <v>35</v>
      </c>
      <c r="D1765" s="52" t="s">
        <v>224</v>
      </c>
      <c r="E1765" s="68" t="s">
        <v>11</v>
      </c>
      <c r="F1765" s="52" t="s">
        <v>2720</v>
      </c>
      <c r="G1765" s="52" t="s">
        <v>87</v>
      </c>
    </row>
    <row r="1766" spans="2:7" ht="9.6" customHeight="1">
      <c r="B1766" s="51">
        <v>46257</v>
      </c>
      <c r="C1766" s="52" t="s">
        <v>35</v>
      </c>
      <c r="D1766" s="52" t="s">
        <v>213</v>
      </c>
      <c r="E1766" s="68" t="s">
        <v>11</v>
      </c>
      <c r="F1766" s="52" t="s">
        <v>2721</v>
      </c>
      <c r="G1766" s="52" t="s">
        <v>64</v>
      </c>
    </row>
    <row r="1767" spans="2:7" ht="9.6" customHeight="1">
      <c r="B1767" s="51">
        <v>46257</v>
      </c>
      <c r="C1767" s="52" t="s">
        <v>2722</v>
      </c>
      <c r="D1767" s="52" t="s">
        <v>1591</v>
      </c>
      <c r="E1767" s="68" t="s">
        <v>11</v>
      </c>
      <c r="F1767" s="52" t="s">
        <v>2723</v>
      </c>
      <c r="G1767" s="52" t="s">
        <v>2674</v>
      </c>
    </row>
    <row r="1768" spans="2:7" ht="9.6" customHeight="1">
      <c r="B1768" s="51">
        <v>46257</v>
      </c>
      <c r="C1768" s="52" t="s">
        <v>2724</v>
      </c>
      <c r="D1768" s="52" t="s">
        <v>81</v>
      </c>
      <c r="E1768" s="68" t="s">
        <v>11</v>
      </c>
      <c r="F1768" s="52" t="s">
        <v>230</v>
      </c>
      <c r="G1768" s="52" t="s">
        <v>51</v>
      </c>
    </row>
    <row r="1769" spans="2:7" ht="9.6" customHeight="1">
      <c r="B1769" s="51">
        <v>46257</v>
      </c>
      <c r="C1769" s="52" t="s">
        <v>35</v>
      </c>
      <c r="D1769" s="52" t="s">
        <v>44</v>
      </c>
      <c r="E1769" s="68" t="s">
        <v>11</v>
      </c>
      <c r="F1769" s="52" t="s">
        <v>2725</v>
      </c>
      <c r="G1769" s="52" t="s">
        <v>41</v>
      </c>
    </row>
    <row r="1770" spans="2:7" ht="9.6" customHeight="1">
      <c r="B1770" s="51">
        <v>46258</v>
      </c>
      <c r="C1770" s="52" t="s">
        <v>2726</v>
      </c>
      <c r="D1770" s="52" t="s">
        <v>462</v>
      </c>
      <c r="E1770" s="68" t="s">
        <v>11</v>
      </c>
      <c r="F1770" s="52" t="s">
        <v>2727</v>
      </c>
      <c r="G1770" s="52" t="s">
        <v>51</v>
      </c>
    </row>
    <row r="1771" spans="2:7" ht="9.6" customHeight="1">
      <c r="B1771" s="51">
        <v>46258</v>
      </c>
      <c r="C1771" s="52" t="s">
        <v>35</v>
      </c>
      <c r="D1771" s="52" t="s">
        <v>44</v>
      </c>
      <c r="E1771" s="68" t="s">
        <v>11</v>
      </c>
      <c r="F1771" s="52" t="s">
        <v>2728</v>
      </c>
      <c r="G1771" s="52" t="s">
        <v>64</v>
      </c>
    </row>
    <row r="1772" spans="2:7" ht="9.6" customHeight="1">
      <c r="B1772" s="51">
        <v>46258</v>
      </c>
      <c r="C1772" s="52" t="s">
        <v>2729</v>
      </c>
      <c r="D1772" s="52" t="s">
        <v>213</v>
      </c>
      <c r="E1772" s="68" t="s">
        <v>11</v>
      </c>
      <c r="F1772" s="52" t="s">
        <v>2730</v>
      </c>
      <c r="G1772" s="52" t="s">
        <v>51</v>
      </c>
    </row>
    <row r="1773" spans="2:7" ht="9.6" customHeight="1">
      <c r="B1773" s="51">
        <v>46258</v>
      </c>
      <c r="C1773" s="52" t="s">
        <v>2731</v>
      </c>
      <c r="D1773" s="52" t="s">
        <v>15</v>
      </c>
      <c r="E1773" s="68" t="s">
        <v>11</v>
      </c>
      <c r="F1773" s="52" t="s">
        <v>1972</v>
      </c>
      <c r="G1773" s="52" t="s">
        <v>51</v>
      </c>
    </row>
    <row r="1774" spans="2:7" ht="9.6" customHeight="1">
      <c r="B1774" s="51">
        <v>46258</v>
      </c>
      <c r="C1774" s="52" t="s">
        <v>2732</v>
      </c>
      <c r="D1774" s="52" t="s">
        <v>2733</v>
      </c>
      <c r="E1774" s="68" t="s">
        <v>11</v>
      </c>
      <c r="F1774" s="52" t="s">
        <v>533</v>
      </c>
      <c r="G1774" s="52" t="s">
        <v>34</v>
      </c>
    </row>
    <row r="1775" spans="2:7" ht="9.6" customHeight="1">
      <c r="B1775" s="51">
        <v>46258</v>
      </c>
      <c r="C1775" s="52" t="s">
        <v>2734</v>
      </c>
      <c r="D1775" s="52" t="s">
        <v>2735</v>
      </c>
      <c r="E1775" s="68" t="s">
        <v>11</v>
      </c>
      <c r="F1775" s="52" t="s">
        <v>2736</v>
      </c>
      <c r="G1775" s="52" t="s">
        <v>51</v>
      </c>
    </row>
    <row r="1776" spans="2:7" ht="9.6" customHeight="1">
      <c r="B1776" s="51">
        <v>46258</v>
      </c>
      <c r="C1776" s="52" t="s">
        <v>2737</v>
      </c>
      <c r="D1776" s="52" t="s">
        <v>23</v>
      </c>
      <c r="E1776" s="68" t="s">
        <v>11</v>
      </c>
      <c r="F1776" s="52" t="s">
        <v>2738</v>
      </c>
      <c r="G1776" s="52" t="s">
        <v>51</v>
      </c>
    </row>
    <row r="1777" spans="2:7" ht="9.6" customHeight="1">
      <c r="B1777" s="51">
        <v>46258</v>
      </c>
      <c r="C1777" s="52" t="s">
        <v>35</v>
      </c>
      <c r="D1777" s="52" t="s">
        <v>2739</v>
      </c>
      <c r="E1777" s="68" t="s">
        <v>11</v>
      </c>
      <c r="F1777" s="52" t="s">
        <v>2740</v>
      </c>
      <c r="G1777" s="52" t="s">
        <v>30</v>
      </c>
    </row>
    <row r="1778" spans="2:7" ht="9.6" customHeight="1">
      <c r="B1778" s="51">
        <v>46258</v>
      </c>
      <c r="C1778" s="52" t="s">
        <v>2741</v>
      </c>
      <c r="D1778" s="52" t="s">
        <v>23</v>
      </c>
      <c r="E1778" s="68" t="s">
        <v>11</v>
      </c>
      <c r="F1778" s="52" t="s">
        <v>2742</v>
      </c>
      <c r="G1778" s="52" t="s">
        <v>51</v>
      </c>
    </row>
    <row r="1779" spans="2:7" ht="9.6" customHeight="1">
      <c r="B1779" s="51">
        <v>46258</v>
      </c>
      <c r="C1779" s="52" t="s">
        <v>2743</v>
      </c>
      <c r="D1779" s="52" t="s">
        <v>42</v>
      </c>
      <c r="E1779" s="68" t="s">
        <v>11</v>
      </c>
      <c r="F1779" s="52" t="s">
        <v>2744</v>
      </c>
      <c r="G1779" s="52" t="s">
        <v>51</v>
      </c>
    </row>
    <row r="1780" spans="2:7" ht="9.6" customHeight="1">
      <c r="B1780" s="51">
        <v>46258</v>
      </c>
      <c r="C1780" s="52" t="s">
        <v>2745</v>
      </c>
      <c r="D1780" s="52" t="s">
        <v>256</v>
      </c>
      <c r="E1780" s="68" t="s">
        <v>11</v>
      </c>
      <c r="F1780" s="52" t="s">
        <v>2746</v>
      </c>
      <c r="G1780" s="52" t="s">
        <v>51</v>
      </c>
    </row>
    <row r="1781" spans="2:7" ht="9.6" customHeight="1">
      <c r="B1781" s="51">
        <v>46258</v>
      </c>
      <c r="C1781" s="52" t="s">
        <v>2747</v>
      </c>
      <c r="D1781" s="52" t="s">
        <v>224</v>
      </c>
      <c r="E1781" s="68" t="s">
        <v>11</v>
      </c>
      <c r="F1781" s="52" t="s">
        <v>2748</v>
      </c>
      <c r="G1781" s="52" t="s">
        <v>51</v>
      </c>
    </row>
    <row r="1782" spans="2:7" ht="9.6" customHeight="1">
      <c r="B1782" s="51">
        <v>46259</v>
      </c>
      <c r="C1782" s="54" t="s">
        <v>35</v>
      </c>
      <c r="D1782" s="54" t="s">
        <v>42</v>
      </c>
      <c r="E1782" s="68" t="s">
        <v>11</v>
      </c>
      <c r="F1782" s="54" t="s">
        <v>2749</v>
      </c>
      <c r="G1782" s="54" t="s">
        <v>21</v>
      </c>
    </row>
    <row r="1783" spans="2:7" ht="9.6" customHeight="1">
      <c r="B1783" s="51">
        <v>46259</v>
      </c>
      <c r="C1783" s="54" t="s">
        <v>35</v>
      </c>
      <c r="D1783" s="54" t="s">
        <v>23</v>
      </c>
      <c r="E1783" s="68" t="s">
        <v>11</v>
      </c>
      <c r="F1783" s="54" t="s">
        <v>2750</v>
      </c>
      <c r="G1783" s="54" t="s">
        <v>21</v>
      </c>
    </row>
    <row r="1784" spans="2:7" ht="9.6" customHeight="1">
      <c r="B1784" s="51">
        <v>46259</v>
      </c>
      <c r="C1784" s="54" t="s">
        <v>2751</v>
      </c>
      <c r="D1784" s="54" t="s">
        <v>76</v>
      </c>
      <c r="E1784" s="68" t="s">
        <v>11</v>
      </c>
      <c r="F1784" s="54" t="s">
        <v>2752</v>
      </c>
      <c r="G1784" s="54" t="s">
        <v>34</v>
      </c>
    </row>
    <row r="1785" spans="2:7" ht="9.6" customHeight="1">
      <c r="B1785" s="51">
        <v>46259</v>
      </c>
      <c r="C1785" s="54" t="s">
        <v>2753</v>
      </c>
      <c r="D1785" s="54" t="s">
        <v>2754</v>
      </c>
      <c r="E1785" s="66" t="s">
        <v>28</v>
      </c>
      <c r="F1785" s="54" t="s">
        <v>2755</v>
      </c>
      <c r="G1785" s="54" t="s">
        <v>2756</v>
      </c>
    </row>
    <row r="1786" spans="2:7" ht="9.6" customHeight="1">
      <c r="B1786" s="51">
        <v>46259</v>
      </c>
      <c r="C1786" s="54" t="s">
        <v>2757</v>
      </c>
      <c r="D1786" s="54" t="s">
        <v>771</v>
      </c>
      <c r="E1786" s="66" t="s">
        <v>28</v>
      </c>
      <c r="F1786" s="54" t="s">
        <v>2758</v>
      </c>
      <c r="G1786" s="54" t="s">
        <v>34</v>
      </c>
    </row>
    <row r="1787" spans="2:7" ht="9.6" customHeight="1">
      <c r="B1787" s="51">
        <v>46259</v>
      </c>
      <c r="C1787" s="54" t="s">
        <v>2759</v>
      </c>
      <c r="D1787" s="54" t="s">
        <v>922</v>
      </c>
      <c r="E1787" s="66" t="s">
        <v>28</v>
      </c>
      <c r="F1787" s="54" t="s">
        <v>2760</v>
      </c>
      <c r="G1787" s="54" t="s">
        <v>34</v>
      </c>
    </row>
    <row r="1788" spans="2:7" ht="9.6" customHeight="1">
      <c r="B1788" s="51">
        <v>46259</v>
      </c>
      <c r="C1788" s="54" t="s">
        <v>2761</v>
      </c>
      <c r="D1788" s="54" t="s">
        <v>2365</v>
      </c>
      <c r="E1788" s="66" t="s">
        <v>28</v>
      </c>
      <c r="F1788" s="54" t="s">
        <v>2762</v>
      </c>
      <c r="G1788" s="54" t="s">
        <v>2756</v>
      </c>
    </row>
    <row r="1789" spans="2:7" ht="9.6" customHeight="1">
      <c r="B1789" s="51">
        <v>46259</v>
      </c>
      <c r="C1789" s="54" t="s">
        <v>2763</v>
      </c>
      <c r="D1789" s="54" t="s">
        <v>44</v>
      </c>
      <c r="E1789" s="68" t="s">
        <v>11</v>
      </c>
      <c r="F1789" s="54" t="s">
        <v>2764</v>
      </c>
      <c r="G1789" s="54" t="s">
        <v>34</v>
      </c>
    </row>
    <row r="1790" spans="2:7" ht="9.6" customHeight="1">
      <c r="B1790" s="51">
        <v>46259</v>
      </c>
      <c r="C1790" s="54" t="s">
        <v>2765</v>
      </c>
      <c r="D1790" s="54" t="s">
        <v>42</v>
      </c>
      <c r="E1790" s="68" t="s">
        <v>11</v>
      </c>
      <c r="F1790" s="54" t="s">
        <v>2766</v>
      </c>
      <c r="G1790" s="54" t="s">
        <v>34</v>
      </c>
    </row>
    <row r="1791" spans="2:7" ht="9.6" customHeight="1">
      <c r="B1791" s="51">
        <v>46259</v>
      </c>
      <c r="C1791" s="54" t="s">
        <v>2767</v>
      </c>
      <c r="D1791" s="54" t="s">
        <v>2768</v>
      </c>
      <c r="E1791" s="68" t="s">
        <v>11</v>
      </c>
      <c r="F1791" s="54" t="s">
        <v>2769</v>
      </c>
      <c r="G1791" s="54" t="s">
        <v>34</v>
      </c>
    </row>
    <row r="1792" spans="2:7" ht="9.6" customHeight="1">
      <c r="B1792" s="51">
        <v>46260</v>
      </c>
      <c r="C1792" s="52" t="s">
        <v>2770</v>
      </c>
      <c r="D1792" s="52" t="s">
        <v>2754</v>
      </c>
      <c r="E1792" s="66" t="s">
        <v>28</v>
      </c>
      <c r="F1792" s="52" t="s">
        <v>2771</v>
      </c>
      <c r="G1792" s="52" t="s">
        <v>41</v>
      </c>
    </row>
    <row r="1793" spans="2:7" ht="9.6" customHeight="1">
      <c r="B1793" s="51">
        <v>46260</v>
      </c>
      <c r="C1793" s="52" t="s">
        <v>1904</v>
      </c>
      <c r="D1793" s="52" t="s">
        <v>42</v>
      </c>
      <c r="E1793" s="66" t="s">
        <v>28</v>
      </c>
      <c r="F1793" s="52" t="s">
        <v>2772</v>
      </c>
      <c r="G1793" s="52" t="s">
        <v>34</v>
      </c>
    </row>
    <row r="1794" spans="2:7" ht="9.6" customHeight="1">
      <c r="B1794" s="51">
        <v>46260</v>
      </c>
      <c r="C1794" s="52" t="s">
        <v>1904</v>
      </c>
      <c r="D1794" s="52" t="s">
        <v>42</v>
      </c>
      <c r="E1794" s="66" t="s">
        <v>28</v>
      </c>
      <c r="F1794" s="52" t="s">
        <v>1920</v>
      </c>
      <c r="G1794" s="52" t="s">
        <v>34</v>
      </c>
    </row>
    <row r="1795" spans="2:7" ht="9.6" customHeight="1">
      <c r="B1795" s="51">
        <v>46260</v>
      </c>
      <c r="C1795" s="52" t="s">
        <v>83</v>
      </c>
      <c r="D1795" s="52" t="s">
        <v>78</v>
      </c>
      <c r="E1795" s="66" t="s">
        <v>28</v>
      </c>
      <c r="F1795" s="52" t="s">
        <v>2773</v>
      </c>
      <c r="G1795" s="52" t="s">
        <v>34</v>
      </c>
    </row>
    <row r="1796" spans="2:7" ht="9.6" customHeight="1">
      <c r="B1796" s="51">
        <v>46260</v>
      </c>
      <c r="C1796" s="52" t="s">
        <v>1904</v>
      </c>
      <c r="D1796" s="52" t="s">
        <v>44</v>
      </c>
      <c r="E1796" s="66" t="s">
        <v>28</v>
      </c>
      <c r="F1796" s="52" t="s">
        <v>2774</v>
      </c>
      <c r="G1796" s="52" t="s">
        <v>70</v>
      </c>
    </row>
    <row r="1797" spans="2:7" ht="9.6" customHeight="1">
      <c r="B1797" s="51">
        <v>46260</v>
      </c>
      <c r="C1797" s="52" t="s">
        <v>83</v>
      </c>
      <c r="D1797" s="52" t="s">
        <v>19</v>
      </c>
      <c r="E1797" s="66" t="s">
        <v>28</v>
      </c>
      <c r="F1797" s="52" t="s">
        <v>2775</v>
      </c>
      <c r="G1797" s="52" t="s">
        <v>34</v>
      </c>
    </row>
    <row r="1798" spans="2:7" ht="9.6" customHeight="1">
      <c r="B1798" s="51">
        <v>46260</v>
      </c>
      <c r="C1798" s="52" t="s">
        <v>176</v>
      </c>
      <c r="D1798" s="52" t="s">
        <v>394</v>
      </c>
      <c r="E1798" s="66" t="s">
        <v>28</v>
      </c>
      <c r="F1798" s="52" t="s">
        <v>2258</v>
      </c>
      <c r="G1798" s="52" t="s">
        <v>30</v>
      </c>
    </row>
    <row r="1799" spans="2:7" ht="9.6" customHeight="1">
      <c r="B1799" s="51">
        <v>46260</v>
      </c>
      <c r="C1799" s="52" t="s">
        <v>2232</v>
      </c>
      <c r="D1799" s="52" t="s">
        <v>44</v>
      </c>
      <c r="E1799" s="66" t="s">
        <v>28</v>
      </c>
      <c r="F1799" s="52" t="s">
        <v>2776</v>
      </c>
      <c r="G1799" s="52" t="s">
        <v>30</v>
      </c>
    </row>
    <row r="1800" spans="2:7" ht="9.6" customHeight="1">
      <c r="B1800" s="51">
        <v>46260</v>
      </c>
      <c r="C1800" s="52" t="s">
        <v>27</v>
      </c>
      <c r="D1800" s="52" t="s">
        <v>103</v>
      </c>
      <c r="E1800" s="66" t="s">
        <v>28</v>
      </c>
      <c r="F1800" s="52" t="s">
        <v>2777</v>
      </c>
      <c r="G1800" s="52" t="s">
        <v>34</v>
      </c>
    </row>
    <row r="1801" spans="2:7" ht="9.6" customHeight="1">
      <c r="B1801" s="51">
        <v>46260</v>
      </c>
      <c r="C1801" s="52" t="s">
        <v>27</v>
      </c>
      <c r="D1801" s="52" t="s">
        <v>2778</v>
      </c>
      <c r="E1801" s="66" t="s">
        <v>28</v>
      </c>
      <c r="F1801" s="53" t="s">
        <v>2779</v>
      </c>
      <c r="G1801" s="52" t="s">
        <v>30</v>
      </c>
    </row>
    <row r="1802" spans="2:7" ht="9.6" customHeight="1">
      <c r="B1802" s="51">
        <v>46260</v>
      </c>
      <c r="C1802" s="52" t="s">
        <v>83</v>
      </c>
      <c r="D1802" s="52" t="s">
        <v>2780</v>
      </c>
      <c r="E1802" s="66" t="s">
        <v>28</v>
      </c>
      <c r="F1802" s="53" t="s">
        <v>2781</v>
      </c>
      <c r="G1802" s="52" t="s">
        <v>34</v>
      </c>
    </row>
    <row r="1803" spans="2:7" ht="9.6" customHeight="1">
      <c r="B1803" s="51">
        <v>46260</v>
      </c>
      <c r="C1803" s="52" t="s">
        <v>2242</v>
      </c>
      <c r="D1803" s="52" t="s">
        <v>317</v>
      </c>
      <c r="E1803" s="66" t="s">
        <v>28</v>
      </c>
      <c r="F1803" s="53" t="s">
        <v>2782</v>
      </c>
      <c r="G1803" s="52" t="s">
        <v>34</v>
      </c>
    </row>
    <row r="1804" spans="2:7" ht="9.6" customHeight="1">
      <c r="B1804" s="51">
        <v>46260</v>
      </c>
      <c r="C1804" s="52" t="s">
        <v>83</v>
      </c>
      <c r="D1804" s="52" t="s">
        <v>278</v>
      </c>
      <c r="E1804" s="66" t="s">
        <v>28</v>
      </c>
      <c r="F1804" s="53" t="s">
        <v>2783</v>
      </c>
      <c r="G1804" s="52" t="s">
        <v>34</v>
      </c>
    </row>
    <row r="1805" spans="2:7" ht="9.6" customHeight="1">
      <c r="B1805" s="51">
        <v>46260</v>
      </c>
      <c r="C1805" s="52" t="s">
        <v>176</v>
      </c>
      <c r="D1805" s="52" t="s">
        <v>232</v>
      </c>
      <c r="E1805" s="66" t="s">
        <v>28</v>
      </c>
      <c r="F1805" s="52" t="s">
        <v>2784</v>
      </c>
      <c r="G1805" s="52" t="s">
        <v>30</v>
      </c>
    </row>
    <row r="1806" spans="2:7" ht="9.6" customHeight="1">
      <c r="B1806" s="51">
        <v>46260</v>
      </c>
      <c r="C1806" s="52" t="s">
        <v>27</v>
      </c>
      <c r="D1806" s="52" t="s">
        <v>213</v>
      </c>
      <c r="E1806" s="66" t="s">
        <v>28</v>
      </c>
      <c r="F1806" s="53" t="s">
        <v>2785</v>
      </c>
      <c r="G1806" s="52" t="s">
        <v>371</v>
      </c>
    </row>
    <row r="1807" spans="2:7" ht="9.6" customHeight="1">
      <c r="B1807" s="51">
        <v>46260</v>
      </c>
      <c r="C1807" s="52" t="s">
        <v>83</v>
      </c>
      <c r="D1807" s="52" t="s">
        <v>2786</v>
      </c>
      <c r="E1807" s="66" t="s">
        <v>28</v>
      </c>
      <c r="F1807" s="53" t="s">
        <v>2787</v>
      </c>
      <c r="G1807" s="52" t="s">
        <v>492</v>
      </c>
    </row>
    <row r="1808" spans="2:7" ht="9.6" customHeight="1">
      <c r="B1808" s="51">
        <v>46260</v>
      </c>
      <c r="C1808" s="52" t="s">
        <v>2232</v>
      </c>
      <c r="D1808" s="52" t="s">
        <v>15</v>
      </c>
      <c r="E1808" s="66" t="s">
        <v>28</v>
      </c>
      <c r="F1808" s="52" t="s">
        <v>578</v>
      </c>
      <c r="G1808" s="52" t="s">
        <v>30</v>
      </c>
    </row>
    <row r="1809" spans="2:7" ht="9.6" customHeight="1">
      <c r="B1809" s="51">
        <v>46260</v>
      </c>
      <c r="C1809" s="52" t="s">
        <v>27</v>
      </c>
      <c r="D1809" s="52" t="s">
        <v>94</v>
      </c>
      <c r="E1809" s="66" t="s">
        <v>28</v>
      </c>
      <c r="F1809" s="52" t="s">
        <v>2788</v>
      </c>
      <c r="G1809" s="52" t="s">
        <v>34</v>
      </c>
    </row>
    <row r="1810" spans="2:7" ht="9.6" customHeight="1">
      <c r="B1810" s="51">
        <v>46260</v>
      </c>
      <c r="C1810" s="52" t="s">
        <v>2496</v>
      </c>
      <c r="D1810" s="52" t="s">
        <v>771</v>
      </c>
      <c r="E1810" s="66" t="s">
        <v>28</v>
      </c>
      <c r="F1810" s="52" t="s">
        <v>2789</v>
      </c>
      <c r="G1810" s="52" t="s">
        <v>30</v>
      </c>
    </row>
    <row r="1811" spans="2:7" ht="9.6" customHeight="1">
      <c r="B1811" s="51">
        <v>46260</v>
      </c>
      <c r="C1811" s="52" t="s">
        <v>1937</v>
      </c>
      <c r="D1811" s="52" t="s">
        <v>612</v>
      </c>
      <c r="E1811" s="66" t="s">
        <v>28</v>
      </c>
      <c r="F1811" s="52" t="s">
        <v>2790</v>
      </c>
      <c r="G1811" s="52" t="s">
        <v>30</v>
      </c>
    </row>
    <row r="1812" spans="2:7" ht="9.6" customHeight="1">
      <c r="B1812" s="51">
        <v>46260</v>
      </c>
      <c r="C1812" s="52" t="s">
        <v>34</v>
      </c>
      <c r="D1812" s="52" t="s">
        <v>42</v>
      </c>
      <c r="E1812" s="66" t="s">
        <v>28</v>
      </c>
      <c r="F1812" s="53" t="s">
        <v>578</v>
      </c>
      <c r="G1812" s="52" t="s">
        <v>34</v>
      </c>
    </row>
    <row r="1813" spans="2:7" ht="9.6" customHeight="1">
      <c r="B1813" s="51">
        <v>46260</v>
      </c>
      <c r="C1813" s="52" t="s">
        <v>27</v>
      </c>
      <c r="D1813" s="52" t="s">
        <v>15</v>
      </c>
      <c r="E1813" s="66" t="s">
        <v>28</v>
      </c>
      <c r="F1813" s="53" t="s">
        <v>2791</v>
      </c>
      <c r="G1813" s="52" t="s">
        <v>34</v>
      </c>
    </row>
    <row r="1814" spans="2:7" ht="9.6" customHeight="1">
      <c r="B1814" s="51">
        <v>46260</v>
      </c>
      <c r="C1814" s="52" t="s">
        <v>27</v>
      </c>
      <c r="D1814" s="52" t="s">
        <v>42</v>
      </c>
      <c r="E1814" s="66" t="s">
        <v>28</v>
      </c>
      <c r="F1814" s="53" t="s">
        <v>2792</v>
      </c>
      <c r="G1814" s="52" t="s">
        <v>34</v>
      </c>
    </row>
    <row r="1815" spans="2:7" ht="9.6" customHeight="1">
      <c r="B1815" s="51">
        <v>46260</v>
      </c>
      <c r="C1815" s="52" t="s">
        <v>2793</v>
      </c>
      <c r="D1815" s="52" t="s">
        <v>52</v>
      </c>
      <c r="E1815" s="68" t="s">
        <v>11</v>
      </c>
      <c r="F1815" s="52" t="s">
        <v>2794</v>
      </c>
      <c r="G1815" s="52" t="s">
        <v>30</v>
      </c>
    </row>
    <row r="1816" spans="2:7" ht="9.6" customHeight="1">
      <c r="B1816" s="51">
        <v>46260</v>
      </c>
      <c r="C1816" s="52" t="s">
        <v>2795</v>
      </c>
      <c r="D1816" s="52" t="s">
        <v>969</v>
      </c>
      <c r="E1816" s="68" t="s">
        <v>11</v>
      </c>
      <c r="F1816" s="52" t="s">
        <v>2796</v>
      </c>
      <c r="G1816" s="52" t="s">
        <v>41</v>
      </c>
    </row>
    <row r="1817" spans="2:7" ht="9.6" customHeight="1">
      <c r="B1817" s="51">
        <v>46260</v>
      </c>
      <c r="C1817" s="52" t="s">
        <v>2797</v>
      </c>
      <c r="D1817" s="52" t="s">
        <v>385</v>
      </c>
      <c r="E1817" s="68" t="s">
        <v>11</v>
      </c>
      <c r="F1817" s="52" t="s">
        <v>2798</v>
      </c>
      <c r="G1817" s="52" t="s">
        <v>34</v>
      </c>
    </row>
    <row r="1818" spans="2:7" ht="9.6" customHeight="1">
      <c r="B1818" s="51">
        <v>46260</v>
      </c>
      <c r="C1818" s="52" t="s">
        <v>2799</v>
      </c>
      <c r="D1818" s="52" t="s">
        <v>52</v>
      </c>
      <c r="E1818" s="68" t="s">
        <v>11</v>
      </c>
      <c r="F1818" s="52" t="s">
        <v>2800</v>
      </c>
      <c r="G1818" s="52" t="s">
        <v>34</v>
      </c>
    </row>
    <row r="1819" spans="2:7" ht="9.6" customHeight="1">
      <c r="B1819" s="51">
        <v>46260</v>
      </c>
      <c r="C1819" s="52" t="s">
        <v>2801</v>
      </c>
      <c r="D1819" s="52" t="s">
        <v>52</v>
      </c>
      <c r="E1819" s="68" t="s">
        <v>11</v>
      </c>
      <c r="F1819" s="52" t="s">
        <v>2802</v>
      </c>
      <c r="G1819" s="52" t="s">
        <v>34</v>
      </c>
    </row>
    <row r="1820" spans="2:7" ht="9.6" customHeight="1">
      <c r="B1820" s="51">
        <v>46260</v>
      </c>
      <c r="C1820" s="52" t="s">
        <v>2803</v>
      </c>
      <c r="D1820" s="52" t="s">
        <v>2804</v>
      </c>
      <c r="E1820" s="68" t="s">
        <v>11</v>
      </c>
      <c r="F1820" s="52" t="s">
        <v>2805</v>
      </c>
      <c r="G1820" s="52" t="s">
        <v>34</v>
      </c>
    </row>
    <row r="1821" spans="2:7" ht="9.6" customHeight="1">
      <c r="B1821" s="51">
        <v>46260</v>
      </c>
      <c r="C1821" s="52" t="s">
        <v>2806</v>
      </c>
      <c r="D1821" s="52" t="s">
        <v>2807</v>
      </c>
      <c r="E1821" s="68" t="s">
        <v>11</v>
      </c>
      <c r="F1821" s="52" t="s">
        <v>2808</v>
      </c>
      <c r="G1821" s="52" t="s">
        <v>34</v>
      </c>
    </row>
    <row r="1822" spans="2:7" ht="9.6" customHeight="1">
      <c r="B1822" s="51">
        <v>46260</v>
      </c>
      <c r="C1822" s="52" t="s">
        <v>2809</v>
      </c>
      <c r="D1822" s="52" t="s">
        <v>570</v>
      </c>
      <c r="E1822" s="68" t="s">
        <v>11</v>
      </c>
      <c r="F1822" s="52" t="s">
        <v>2810</v>
      </c>
      <c r="G1822" s="52" t="s">
        <v>34</v>
      </c>
    </row>
    <row r="1823" spans="2:7" ht="9.6" customHeight="1">
      <c r="B1823" s="51">
        <v>46261</v>
      </c>
      <c r="C1823" s="52" t="s">
        <v>2811</v>
      </c>
      <c r="D1823" s="52" t="s">
        <v>2812</v>
      </c>
      <c r="E1823" s="68" t="s">
        <v>11</v>
      </c>
      <c r="F1823" s="52" t="s">
        <v>2813</v>
      </c>
      <c r="G1823" s="52" t="s">
        <v>34</v>
      </c>
    </row>
    <row r="1824" spans="2:7" ht="9.6" customHeight="1">
      <c r="B1824" s="51">
        <v>46261</v>
      </c>
      <c r="C1824" s="52" t="s">
        <v>2167</v>
      </c>
      <c r="D1824" s="52" t="s">
        <v>52</v>
      </c>
      <c r="E1824" s="68" t="s">
        <v>11</v>
      </c>
      <c r="F1824" s="52"/>
      <c r="G1824" s="52"/>
    </row>
    <row r="1825" spans="2:7" ht="9.6" customHeight="1">
      <c r="B1825" s="51">
        <v>46261</v>
      </c>
      <c r="C1825" s="52"/>
      <c r="D1825" s="52"/>
      <c r="E1825" s="68" t="s">
        <v>11</v>
      </c>
      <c r="F1825" s="52"/>
      <c r="G1825" s="52"/>
    </row>
    <row r="1826" spans="2:7" ht="9.6" customHeight="1">
      <c r="B1826" s="51">
        <v>46261</v>
      </c>
      <c r="C1826" s="52" t="s">
        <v>1874</v>
      </c>
      <c r="D1826" s="52" t="s">
        <v>583</v>
      </c>
      <c r="E1826" s="68" t="s">
        <v>28</v>
      </c>
      <c r="F1826" s="52" t="s">
        <v>2814</v>
      </c>
      <c r="G1826" s="52" t="s">
        <v>191</v>
      </c>
    </row>
    <row r="1827" spans="2:7" ht="9.6" customHeight="1">
      <c r="B1827" s="51">
        <v>46261</v>
      </c>
      <c r="C1827" s="52" t="s">
        <v>1874</v>
      </c>
      <c r="D1827" s="52" t="s">
        <v>44</v>
      </c>
      <c r="E1827" s="68" t="s">
        <v>28</v>
      </c>
      <c r="F1827" s="52" t="s">
        <v>2815</v>
      </c>
      <c r="G1827" s="52" t="s">
        <v>371</v>
      </c>
    </row>
    <row r="1828" spans="2:7" ht="9.6" customHeight="1">
      <c r="B1828" s="51">
        <v>46261</v>
      </c>
      <c r="C1828" s="52" t="s">
        <v>83</v>
      </c>
      <c r="D1828" s="52" t="s">
        <v>2816</v>
      </c>
      <c r="E1828" s="68" t="s">
        <v>28</v>
      </c>
      <c r="F1828" s="52" t="s">
        <v>2817</v>
      </c>
      <c r="G1828" s="52" t="s">
        <v>34</v>
      </c>
    </row>
    <row r="1829" spans="2:7" ht="9.6" customHeight="1">
      <c r="B1829" s="51">
        <v>46261</v>
      </c>
      <c r="C1829" s="52" t="s">
        <v>90</v>
      </c>
      <c r="D1829" s="52" t="s">
        <v>42</v>
      </c>
      <c r="E1829" s="68" t="s">
        <v>28</v>
      </c>
      <c r="F1829" s="52" t="s">
        <v>2818</v>
      </c>
      <c r="G1829" s="52" t="s">
        <v>191</v>
      </c>
    </row>
    <row r="1830" spans="2:7" ht="9.6" customHeight="1">
      <c r="B1830" s="51">
        <v>46261</v>
      </c>
      <c r="C1830" s="52" t="s">
        <v>83</v>
      </c>
      <c r="D1830" s="52" t="s">
        <v>23</v>
      </c>
      <c r="E1830" s="68" t="s">
        <v>28</v>
      </c>
      <c r="F1830" s="52" t="s">
        <v>2819</v>
      </c>
      <c r="G1830" s="52" t="s">
        <v>34</v>
      </c>
    </row>
    <row r="1831" spans="2:7" ht="9.6" customHeight="1">
      <c r="B1831" s="51">
        <v>46261</v>
      </c>
      <c r="C1831" s="52" t="s">
        <v>90</v>
      </c>
      <c r="D1831" s="52" t="s">
        <v>44</v>
      </c>
      <c r="E1831" s="68" t="s">
        <v>28</v>
      </c>
      <c r="F1831" s="52" t="s">
        <v>1271</v>
      </c>
      <c r="G1831" s="52" t="s">
        <v>191</v>
      </c>
    </row>
    <row r="1832" spans="2:7" ht="9.6" customHeight="1">
      <c r="B1832" s="51">
        <v>46261</v>
      </c>
      <c r="C1832" s="52" t="s">
        <v>90</v>
      </c>
      <c r="D1832" s="52" t="s">
        <v>2820</v>
      </c>
      <c r="E1832" s="68" t="s">
        <v>28</v>
      </c>
      <c r="F1832" s="52" t="s">
        <v>2821</v>
      </c>
      <c r="G1832" s="52" t="s">
        <v>191</v>
      </c>
    </row>
    <row r="1833" spans="2:7" ht="9.6" customHeight="1">
      <c r="B1833" s="51">
        <v>46261</v>
      </c>
      <c r="C1833" s="52" t="s">
        <v>35</v>
      </c>
      <c r="D1833" s="52" t="s">
        <v>2822</v>
      </c>
      <c r="E1833" s="68" t="s">
        <v>11</v>
      </c>
      <c r="F1833" s="52" t="s">
        <v>2085</v>
      </c>
      <c r="G1833" s="52" t="s">
        <v>21</v>
      </c>
    </row>
    <row r="1834" spans="2:7" ht="9.6" customHeight="1">
      <c r="B1834" s="51">
        <v>46261</v>
      </c>
      <c r="C1834" s="52" t="s">
        <v>2724</v>
      </c>
      <c r="D1834" s="52" t="s">
        <v>1860</v>
      </c>
      <c r="E1834" s="68" t="s">
        <v>11</v>
      </c>
      <c r="F1834" s="52" t="s">
        <v>384</v>
      </c>
      <c r="G1834" s="52" t="s">
        <v>51</v>
      </c>
    </row>
    <row r="1835" spans="2:7" ht="9.6" customHeight="1">
      <c r="B1835" s="51">
        <v>46261</v>
      </c>
      <c r="C1835" s="52" t="s">
        <v>35</v>
      </c>
      <c r="D1835" s="52" t="s">
        <v>385</v>
      </c>
      <c r="E1835" s="68" t="s">
        <v>11</v>
      </c>
      <c r="F1835" s="52" t="s">
        <v>2823</v>
      </c>
      <c r="G1835" s="52" t="s">
        <v>64</v>
      </c>
    </row>
    <row r="1836" spans="2:7" ht="9.6" customHeight="1">
      <c r="B1836" s="51">
        <v>46261</v>
      </c>
      <c r="C1836" s="52" t="s">
        <v>35</v>
      </c>
      <c r="D1836" s="52" t="s">
        <v>62</v>
      </c>
      <c r="E1836" s="68" t="s">
        <v>11</v>
      </c>
      <c r="F1836" s="52" t="s">
        <v>2824</v>
      </c>
      <c r="G1836" s="52" t="s">
        <v>64</v>
      </c>
    </row>
    <row r="1837" spans="2:7" ht="9.6" customHeight="1">
      <c r="B1837" s="51">
        <v>46261</v>
      </c>
      <c r="C1837" s="52" t="s">
        <v>2825</v>
      </c>
      <c r="D1837" s="52" t="s">
        <v>2826</v>
      </c>
      <c r="E1837" s="68" t="s">
        <v>11</v>
      </c>
      <c r="F1837" s="52" t="s">
        <v>2827</v>
      </c>
      <c r="G1837" s="52" t="s">
        <v>51</v>
      </c>
    </row>
    <row r="1838" spans="2:7" ht="9.6" customHeight="1">
      <c r="B1838" s="51">
        <v>46261</v>
      </c>
      <c r="C1838" s="52" t="s">
        <v>35</v>
      </c>
      <c r="D1838" s="52" t="s">
        <v>381</v>
      </c>
      <c r="E1838" s="68" t="s">
        <v>11</v>
      </c>
      <c r="F1838" s="52" t="s">
        <v>2828</v>
      </c>
      <c r="G1838" s="52" t="s">
        <v>21</v>
      </c>
    </row>
    <row r="1839" spans="2:7" ht="9.6" customHeight="1">
      <c r="B1839" s="51">
        <v>46262</v>
      </c>
      <c r="C1839" s="52" t="s">
        <v>176</v>
      </c>
      <c r="D1839" s="52" t="s">
        <v>23</v>
      </c>
      <c r="E1839" s="68" t="s">
        <v>11</v>
      </c>
      <c r="F1839" s="52" t="s">
        <v>2829</v>
      </c>
      <c r="G1839" s="52" t="s">
        <v>64</v>
      </c>
    </row>
    <row r="1840" spans="2:7" ht="9.6" customHeight="1">
      <c r="B1840" s="51">
        <v>46262</v>
      </c>
      <c r="C1840" s="52" t="s">
        <v>176</v>
      </c>
      <c r="D1840" s="52" t="s">
        <v>44</v>
      </c>
      <c r="E1840" s="68" t="s">
        <v>11</v>
      </c>
      <c r="F1840" s="52" t="s">
        <v>2830</v>
      </c>
      <c r="G1840" s="52" t="s">
        <v>64</v>
      </c>
    </row>
    <row r="1841" spans="2:7" ht="9.6" customHeight="1">
      <c r="B1841" s="51">
        <v>46262</v>
      </c>
      <c r="C1841" s="52" t="s">
        <v>2831</v>
      </c>
      <c r="D1841" s="52" t="s">
        <v>42</v>
      </c>
      <c r="E1841" s="68" t="s">
        <v>11</v>
      </c>
      <c r="F1841" s="52" t="s">
        <v>2832</v>
      </c>
      <c r="G1841" s="52" t="s">
        <v>51</v>
      </c>
    </row>
    <row r="1842" spans="2:7" ht="9.6" customHeight="1">
      <c r="B1842" s="51">
        <v>46262</v>
      </c>
      <c r="C1842" s="52" t="s">
        <v>2833</v>
      </c>
      <c r="D1842" s="52" t="s">
        <v>385</v>
      </c>
      <c r="E1842" s="68" t="s">
        <v>11</v>
      </c>
      <c r="F1842" s="52" t="s">
        <v>2834</v>
      </c>
      <c r="G1842" s="52" t="s">
        <v>51</v>
      </c>
    </row>
    <row r="1843" spans="2:7" ht="9.6" customHeight="1">
      <c r="B1843" s="51">
        <v>46262</v>
      </c>
      <c r="C1843" s="52" t="s">
        <v>2835</v>
      </c>
      <c r="D1843" s="52" t="s">
        <v>42</v>
      </c>
      <c r="E1843" s="68" t="s">
        <v>11</v>
      </c>
      <c r="F1843" s="52" t="s">
        <v>2836</v>
      </c>
      <c r="G1843" s="52" t="s">
        <v>51</v>
      </c>
    </row>
    <row r="1844" spans="2:7" ht="9.6" customHeight="1">
      <c r="B1844" s="51">
        <v>46262</v>
      </c>
      <c r="C1844" s="52" t="s">
        <v>2837</v>
      </c>
      <c r="D1844" s="52" t="s">
        <v>15</v>
      </c>
      <c r="E1844" s="68" t="s">
        <v>11</v>
      </c>
      <c r="F1844" s="52" t="s">
        <v>2838</v>
      </c>
      <c r="G1844" s="52" t="s">
        <v>51</v>
      </c>
    </row>
    <row r="1845" spans="2:7" ht="9.6" customHeight="1">
      <c r="B1845" s="51">
        <v>46262</v>
      </c>
      <c r="C1845" s="52" t="s">
        <v>2560</v>
      </c>
      <c r="D1845" s="52" t="s">
        <v>741</v>
      </c>
      <c r="E1845" s="68" t="s">
        <v>11</v>
      </c>
      <c r="F1845" s="52" t="s">
        <v>2839</v>
      </c>
      <c r="G1845" s="52"/>
    </row>
    <row r="1846" spans="2:7" ht="9.6" customHeight="1">
      <c r="B1846" s="51">
        <v>46262</v>
      </c>
      <c r="C1846" s="52" t="s">
        <v>2840</v>
      </c>
      <c r="D1846" s="52" t="s">
        <v>407</v>
      </c>
      <c r="E1846" s="68" t="s">
        <v>11</v>
      </c>
      <c r="F1846" s="52" t="s">
        <v>2841</v>
      </c>
      <c r="G1846" s="52" t="s">
        <v>51</v>
      </c>
    </row>
    <row r="1847" spans="2:7" ht="9.6" customHeight="1">
      <c r="B1847" s="51">
        <v>46262</v>
      </c>
      <c r="C1847" s="52" t="s">
        <v>2842</v>
      </c>
      <c r="D1847" s="52" t="s">
        <v>44</v>
      </c>
      <c r="E1847" s="68" t="s">
        <v>11</v>
      </c>
      <c r="F1847" s="52" t="s">
        <v>2843</v>
      </c>
      <c r="G1847" s="52" t="s">
        <v>64</v>
      </c>
    </row>
    <row r="1848" spans="2:7" ht="9.6" customHeight="1">
      <c r="B1848" s="51">
        <v>46262</v>
      </c>
      <c r="C1848" s="52" t="s">
        <v>2657</v>
      </c>
      <c r="D1848" s="52" t="s">
        <v>81</v>
      </c>
      <c r="E1848" s="68" t="s">
        <v>11</v>
      </c>
      <c r="F1848" s="53" t="s">
        <v>758</v>
      </c>
      <c r="G1848" s="52" t="s">
        <v>51</v>
      </c>
    </row>
    <row r="1849" spans="2:7" ht="9.6" customHeight="1">
      <c r="B1849" s="51">
        <v>46262</v>
      </c>
      <c r="C1849" s="52" t="s">
        <v>2844</v>
      </c>
      <c r="D1849" s="52" t="s">
        <v>1132</v>
      </c>
      <c r="E1849" s="68" t="s">
        <v>11</v>
      </c>
      <c r="F1849" s="52" t="s">
        <v>2845</v>
      </c>
      <c r="G1849" s="52" t="s">
        <v>51</v>
      </c>
    </row>
    <row r="1850" spans="2:7" ht="9.6" customHeight="1">
      <c r="B1850" s="51">
        <v>46262</v>
      </c>
      <c r="C1850" s="52" t="s">
        <v>2846</v>
      </c>
      <c r="D1850" s="52" t="s">
        <v>42</v>
      </c>
      <c r="E1850" s="68" t="s">
        <v>11</v>
      </c>
      <c r="F1850" s="52" t="s">
        <v>2847</v>
      </c>
      <c r="G1850" s="52" t="s">
        <v>51</v>
      </c>
    </row>
    <row r="1851" spans="2:7" ht="9.6" customHeight="1">
      <c r="B1851" s="51">
        <v>46262</v>
      </c>
      <c r="C1851" s="52" t="s">
        <v>2167</v>
      </c>
      <c r="D1851" s="52" t="s">
        <v>10</v>
      </c>
      <c r="E1851" s="68" t="s">
        <v>11</v>
      </c>
      <c r="F1851" s="52" t="s">
        <v>2848</v>
      </c>
      <c r="G1851" s="52" t="s">
        <v>64</v>
      </c>
    </row>
    <row r="1852" spans="2:7" ht="9.6" customHeight="1">
      <c r="B1852" s="51">
        <v>46262</v>
      </c>
      <c r="C1852" s="52" t="s">
        <v>2167</v>
      </c>
      <c r="D1852" s="52" t="s">
        <v>62</v>
      </c>
      <c r="E1852" s="68" t="s">
        <v>11</v>
      </c>
      <c r="F1852" s="42" t="s">
        <v>2849</v>
      </c>
      <c r="G1852" s="52" t="s">
        <v>30</v>
      </c>
    </row>
    <row r="1853" spans="2:7" ht="9.6" customHeight="1">
      <c r="B1853" s="51">
        <v>46262</v>
      </c>
      <c r="C1853" s="52" t="s">
        <v>2850</v>
      </c>
      <c r="D1853" s="52" t="s">
        <v>36</v>
      </c>
      <c r="E1853" s="68" t="s">
        <v>11</v>
      </c>
      <c r="F1853" s="53" t="s">
        <v>2851</v>
      </c>
      <c r="G1853" s="52" t="s">
        <v>51</v>
      </c>
    </row>
    <row r="1854" spans="2:7" ht="9.6" customHeight="1">
      <c r="B1854" s="51">
        <v>46262</v>
      </c>
      <c r="C1854" s="52" t="s">
        <v>2852</v>
      </c>
      <c r="D1854" s="52" t="s">
        <v>2853</v>
      </c>
      <c r="E1854" s="68" t="s">
        <v>11</v>
      </c>
      <c r="F1854" s="53" t="s">
        <v>1405</v>
      </c>
      <c r="G1854" s="52" t="s">
        <v>51</v>
      </c>
    </row>
    <row r="1855" spans="2:7" ht="9.6" customHeight="1">
      <c r="B1855" s="51">
        <v>46262</v>
      </c>
      <c r="C1855" s="52" t="s">
        <v>2854</v>
      </c>
      <c r="D1855" s="52" t="s">
        <v>224</v>
      </c>
      <c r="E1855" s="68" t="s">
        <v>11</v>
      </c>
      <c r="F1855" s="52" t="s">
        <v>2855</v>
      </c>
      <c r="G1855" s="52" t="s">
        <v>51</v>
      </c>
    </row>
    <row r="1856" spans="2:7" ht="9.6" customHeight="1">
      <c r="B1856" s="51">
        <v>46263</v>
      </c>
      <c r="C1856" s="52" t="s">
        <v>2856</v>
      </c>
      <c r="D1856" s="52" t="s">
        <v>1860</v>
      </c>
      <c r="E1856" s="68" t="s">
        <v>11</v>
      </c>
      <c r="F1856" s="52" t="s">
        <v>2857</v>
      </c>
      <c r="G1856" s="52" t="s">
        <v>51</v>
      </c>
    </row>
    <row r="1857" spans="2:7" ht="9.6" customHeight="1">
      <c r="B1857" s="51">
        <v>46263</v>
      </c>
      <c r="C1857" s="52" t="s">
        <v>2858</v>
      </c>
      <c r="D1857" s="52" t="s">
        <v>164</v>
      </c>
      <c r="E1857" s="68" t="s">
        <v>11</v>
      </c>
      <c r="F1857" s="52" t="s">
        <v>2859</v>
      </c>
      <c r="G1857" s="52" t="s">
        <v>51</v>
      </c>
    </row>
    <row r="1858" spans="2:7" ht="9.6" customHeight="1">
      <c r="B1858" s="51">
        <v>46263</v>
      </c>
      <c r="C1858" s="52" t="s">
        <v>2167</v>
      </c>
      <c r="D1858" s="52" t="s">
        <v>1860</v>
      </c>
      <c r="E1858" s="68" t="s">
        <v>11</v>
      </c>
      <c r="F1858" s="52" t="s">
        <v>2860</v>
      </c>
      <c r="G1858" s="52" t="s">
        <v>51</v>
      </c>
    </row>
    <row r="1859" spans="2:7" ht="9.6" customHeight="1">
      <c r="B1859" s="51">
        <v>46263</v>
      </c>
      <c r="C1859" s="52" t="s">
        <v>2861</v>
      </c>
      <c r="D1859" s="52" t="s">
        <v>213</v>
      </c>
      <c r="E1859" s="68" t="s">
        <v>11</v>
      </c>
      <c r="F1859" s="52" t="s">
        <v>2862</v>
      </c>
      <c r="G1859" s="52" t="s">
        <v>51</v>
      </c>
    </row>
    <row r="1860" spans="2:7" ht="9.6" customHeight="1">
      <c r="B1860" s="51">
        <v>46263</v>
      </c>
      <c r="C1860" s="52" t="s">
        <v>2463</v>
      </c>
      <c r="D1860" s="52" t="s">
        <v>1860</v>
      </c>
      <c r="E1860" s="68" t="s">
        <v>11</v>
      </c>
      <c r="F1860" s="52" t="s">
        <v>2863</v>
      </c>
      <c r="G1860" s="52" t="s">
        <v>371</v>
      </c>
    </row>
    <row r="1861" spans="2:7" ht="9.6" customHeight="1">
      <c r="B1861" s="51">
        <v>46263</v>
      </c>
      <c r="C1861" s="52" t="s">
        <v>2864</v>
      </c>
      <c r="D1861" s="52" t="s">
        <v>42</v>
      </c>
      <c r="E1861" s="68" t="s">
        <v>11</v>
      </c>
      <c r="F1861" s="52" t="s">
        <v>2865</v>
      </c>
      <c r="G1861" s="52" t="s">
        <v>51</v>
      </c>
    </row>
    <row r="1862" spans="2:7" ht="9.6" customHeight="1">
      <c r="B1862" s="51">
        <v>46263</v>
      </c>
      <c r="C1862" s="52" t="s">
        <v>2866</v>
      </c>
      <c r="D1862" s="52" t="s">
        <v>2867</v>
      </c>
      <c r="E1862" s="68" t="s">
        <v>28</v>
      </c>
      <c r="F1862" s="52" t="s">
        <v>2868</v>
      </c>
      <c r="G1862" s="52" t="s">
        <v>51</v>
      </c>
    </row>
    <row r="1863" spans="2:7" ht="9.6" customHeight="1">
      <c r="B1863" s="51">
        <v>46263</v>
      </c>
      <c r="C1863" s="52" t="s">
        <v>2866</v>
      </c>
      <c r="D1863" s="52" t="s">
        <v>1340</v>
      </c>
      <c r="E1863" s="68" t="s">
        <v>28</v>
      </c>
      <c r="F1863" s="52" t="s">
        <v>2869</v>
      </c>
      <c r="G1863" s="52" t="s">
        <v>51</v>
      </c>
    </row>
    <row r="1864" spans="2:7" ht="9.6" customHeight="1">
      <c r="B1864" s="51">
        <v>46264</v>
      </c>
      <c r="C1864" s="52" t="s">
        <v>2870</v>
      </c>
      <c r="D1864" s="52" t="s">
        <v>2871</v>
      </c>
      <c r="E1864" s="66" t="s">
        <v>28</v>
      </c>
      <c r="F1864" s="52" t="s">
        <v>2872</v>
      </c>
      <c r="G1864" s="52" t="s">
        <v>187</v>
      </c>
    </row>
    <row r="1865" spans="2:7" ht="9.6" customHeight="1">
      <c r="B1865" s="51">
        <v>46264</v>
      </c>
      <c r="C1865" s="52" t="s">
        <v>2167</v>
      </c>
      <c r="D1865" s="52" t="s">
        <v>2215</v>
      </c>
      <c r="E1865" s="66" t="s">
        <v>28</v>
      </c>
      <c r="F1865" s="52" t="s">
        <v>2873</v>
      </c>
      <c r="G1865" s="52" t="s">
        <v>2874</v>
      </c>
    </row>
    <row r="1866" spans="2:7" ht="9.6" customHeight="1">
      <c r="B1866" s="51">
        <v>46264</v>
      </c>
      <c r="C1866" s="52" t="s">
        <v>2875</v>
      </c>
      <c r="D1866" s="52" t="s">
        <v>2876</v>
      </c>
      <c r="E1866" s="66" t="s">
        <v>28</v>
      </c>
      <c r="F1866" s="52" t="s">
        <v>2877</v>
      </c>
      <c r="G1866" s="52" t="s">
        <v>187</v>
      </c>
    </row>
    <row r="1867" spans="2:7" ht="9.6" customHeight="1">
      <c r="B1867" s="51">
        <v>46264</v>
      </c>
      <c r="C1867" s="52" t="s">
        <v>2167</v>
      </c>
      <c r="D1867" s="52" t="s">
        <v>19</v>
      </c>
      <c r="E1867" s="66" t="s">
        <v>28</v>
      </c>
      <c r="F1867" s="52" t="s">
        <v>2878</v>
      </c>
      <c r="G1867" s="52" t="s">
        <v>2874</v>
      </c>
    </row>
    <row r="1868" spans="2:7" ht="9.6" customHeight="1">
      <c r="B1868" s="51">
        <v>46264</v>
      </c>
      <c r="C1868" s="52" t="s">
        <v>2879</v>
      </c>
      <c r="D1868" s="52" t="s">
        <v>2880</v>
      </c>
      <c r="E1868" s="66" t="s">
        <v>28</v>
      </c>
      <c r="F1868" s="52" t="s">
        <v>2881</v>
      </c>
      <c r="G1868" s="52" t="s">
        <v>187</v>
      </c>
    </row>
    <row r="1869" spans="2:7" ht="9.6" customHeight="1">
      <c r="B1869" s="51">
        <v>46264</v>
      </c>
      <c r="C1869" s="52" t="s">
        <v>2882</v>
      </c>
      <c r="D1869" s="52" t="s">
        <v>456</v>
      </c>
      <c r="E1869" s="66" t="s">
        <v>28</v>
      </c>
      <c r="F1869" s="52" t="s">
        <v>302</v>
      </c>
      <c r="G1869" s="52" t="s">
        <v>2874</v>
      </c>
    </row>
    <row r="1870" spans="2:7" ht="9.6" customHeight="1">
      <c r="B1870" s="51">
        <v>46264</v>
      </c>
      <c r="C1870" s="52" t="s">
        <v>2167</v>
      </c>
      <c r="D1870" s="52" t="s">
        <v>213</v>
      </c>
      <c r="E1870" s="66" t="s">
        <v>28</v>
      </c>
      <c r="F1870" s="52" t="s">
        <v>2883</v>
      </c>
      <c r="G1870" s="52" t="s">
        <v>371</v>
      </c>
    </row>
    <row r="1871" spans="2:7" ht="9.6" customHeight="1">
      <c r="B1871" s="51">
        <v>46264</v>
      </c>
      <c r="C1871" s="52" t="s">
        <v>2167</v>
      </c>
      <c r="D1871" s="52" t="s">
        <v>44</v>
      </c>
      <c r="E1871" s="66" t="s">
        <v>28</v>
      </c>
      <c r="F1871" s="52" t="s">
        <v>2192</v>
      </c>
      <c r="G1871" s="52" t="s">
        <v>2874</v>
      </c>
    </row>
    <row r="1872" spans="2:7" ht="9.6" customHeight="1">
      <c r="B1872" s="51">
        <v>46264</v>
      </c>
      <c r="C1872" s="52" t="s">
        <v>2884</v>
      </c>
      <c r="D1872" s="52" t="s">
        <v>44</v>
      </c>
      <c r="E1872" s="66" t="s">
        <v>28</v>
      </c>
      <c r="F1872" s="52" t="s">
        <v>2885</v>
      </c>
      <c r="G1872" s="52" t="s">
        <v>70</v>
      </c>
    </row>
    <row r="1873" spans="2:7" ht="9.6" customHeight="1">
      <c r="B1873" s="51">
        <v>46265</v>
      </c>
      <c r="C1873" s="52" t="s">
        <v>2167</v>
      </c>
      <c r="D1873" s="52" t="s">
        <v>374</v>
      </c>
      <c r="E1873" s="68" t="s">
        <v>11</v>
      </c>
      <c r="F1873" s="52" t="s">
        <v>2886</v>
      </c>
      <c r="G1873" s="52" t="s">
        <v>64</v>
      </c>
    </row>
    <row r="1874" spans="2:7" ht="9.6" customHeight="1">
      <c r="B1874" s="51">
        <v>46265</v>
      </c>
      <c r="C1874" s="52" t="s">
        <v>2887</v>
      </c>
      <c r="D1874" s="52" t="s">
        <v>76</v>
      </c>
      <c r="E1874" s="68" t="s">
        <v>11</v>
      </c>
      <c r="F1874" s="52" t="s">
        <v>2888</v>
      </c>
      <c r="G1874" s="52" t="s">
        <v>51</v>
      </c>
    </row>
    <row r="1875" spans="2:7" ht="9.6" customHeight="1">
      <c r="B1875" s="51">
        <v>46265</v>
      </c>
      <c r="C1875" s="52" t="s">
        <v>2167</v>
      </c>
      <c r="D1875" s="52" t="s">
        <v>44</v>
      </c>
      <c r="E1875" s="68" t="s">
        <v>11</v>
      </c>
      <c r="F1875" s="52" t="s">
        <v>2889</v>
      </c>
      <c r="G1875" s="52" t="s">
        <v>64</v>
      </c>
    </row>
    <row r="1876" spans="2:7" ht="9.6" customHeight="1">
      <c r="B1876" s="51">
        <v>46265</v>
      </c>
      <c r="C1876" s="52" t="s">
        <v>83</v>
      </c>
      <c r="D1876" s="52" t="s">
        <v>1484</v>
      </c>
      <c r="E1876" s="66" t="s">
        <v>28</v>
      </c>
      <c r="F1876" s="52" t="s">
        <v>2890</v>
      </c>
      <c r="G1876" s="52" t="s">
        <v>30</v>
      </c>
    </row>
    <row r="1877" spans="2:7" ht="9.6" customHeight="1">
      <c r="B1877" s="51">
        <v>46265</v>
      </c>
      <c r="C1877" s="52" t="s">
        <v>90</v>
      </c>
      <c r="D1877" s="52" t="s">
        <v>207</v>
      </c>
      <c r="E1877" s="66" t="s">
        <v>28</v>
      </c>
      <c r="F1877" s="52" t="s">
        <v>2891</v>
      </c>
      <c r="G1877" s="52" t="s">
        <v>30</v>
      </c>
    </row>
    <row r="1878" spans="2:7" ht="9.6" customHeight="1">
      <c r="B1878" s="51">
        <v>46265</v>
      </c>
      <c r="C1878" s="52" t="s">
        <v>90</v>
      </c>
      <c r="D1878" s="52" t="s">
        <v>1773</v>
      </c>
      <c r="E1878" s="66" t="s">
        <v>28</v>
      </c>
      <c r="F1878" s="52" t="s">
        <v>2892</v>
      </c>
      <c r="G1878" s="52" t="s">
        <v>30</v>
      </c>
    </row>
    <row r="1879" spans="2:7" ht="9.6" customHeight="1">
      <c r="B1879" s="51">
        <v>46265</v>
      </c>
      <c r="C1879" s="52" t="s">
        <v>90</v>
      </c>
      <c r="D1879" s="52" t="s">
        <v>10</v>
      </c>
      <c r="E1879" s="66" t="s">
        <v>28</v>
      </c>
      <c r="F1879" s="52" t="s">
        <v>2893</v>
      </c>
      <c r="G1879" s="52" t="s">
        <v>30</v>
      </c>
    </row>
    <row r="1880" spans="2:7" ht="9.6" customHeight="1">
      <c r="B1880" s="51">
        <v>46265</v>
      </c>
      <c r="C1880" s="52" t="s">
        <v>90</v>
      </c>
      <c r="D1880" s="52" t="s">
        <v>198</v>
      </c>
      <c r="E1880" s="66" t="s">
        <v>28</v>
      </c>
      <c r="F1880" s="52" t="s">
        <v>2894</v>
      </c>
      <c r="G1880" s="52" t="s">
        <v>30</v>
      </c>
    </row>
    <row r="1881" spans="2:7" ht="9.6" customHeight="1">
      <c r="B1881" s="51">
        <v>46265</v>
      </c>
      <c r="C1881" s="52" t="s">
        <v>90</v>
      </c>
      <c r="D1881" s="52" t="s">
        <v>167</v>
      </c>
      <c r="E1881" s="66" t="s">
        <v>28</v>
      </c>
      <c r="F1881" s="52" t="s">
        <v>2895</v>
      </c>
      <c r="G1881" s="52" t="s">
        <v>70</v>
      </c>
    </row>
    <row r="1882" spans="2:7" ht="9.6" customHeight="1">
      <c r="B1882" s="51">
        <v>46265</v>
      </c>
      <c r="C1882" s="52" t="s">
        <v>90</v>
      </c>
      <c r="D1882" s="52" t="s">
        <v>2896</v>
      </c>
      <c r="E1882" s="66" t="s">
        <v>28</v>
      </c>
      <c r="F1882" s="52" t="s">
        <v>2897</v>
      </c>
      <c r="G1882" s="52" t="s">
        <v>30</v>
      </c>
    </row>
    <row r="1883" spans="2:7" ht="9.6" customHeight="1">
      <c r="B1883" s="51">
        <v>46265</v>
      </c>
      <c r="C1883" s="52" t="s">
        <v>90</v>
      </c>
      <c r="D1883" s="52" t="s">
        <v>1726</v>
      </c>
      <c r="E1883" s="66" t="s">
        <v>28</v>
      </c>
      <c r="F1883" s="63" t="s">
        <v>2898</v>
      </c>
      <c r="G1883" s="52" t="s">
        <v>30</v>
      </c>
    </row>
    <row r="1884" spans="2:7" ht="15" customHeight="1">
      <c r="B1884" s="32">
        <v>46266</v>
      </c>
      <c r="C1884" s="34" t="s">
        <v>2167</v>
      </c>
      <c r="D1884" s="34" t="s">
        <v>23</v>
      </c>
      <c r="E1884" s="34" t="s">
        <v>2900</v>
      </c>
      <c r="F1884" s="34" t="s">
        <v>2901</v>
      </c>
    </row>
    <row r="1885" spans="2:7" ht="15" customHeight="1">
      <c r="B1885" s="32">
        <v>46266</v>
      </c>
      <c r="C1885" s="34" t="s">
        <v>2167</v>
      </c>
      <c r="D1885" s="34" t="s">
        <v>2241</v>
      </c>
      <c r="E1885" s="34" t="s">
        <v>2900</v>
      </c>
      <c r="F1885" s="34" t="s">
        <v>2902</v>
      </c>
    </row>
    <row r="1886" spans="2:7" ht="15" customHeight="1">
      <c r="B1886" s="32">
        <v>46266</v>
      </c>
      <c r="C1886" s="34" t="s">
        <v>2903</v>
      </c>
      <c r="D1886" s="34" t="s">
        <v>2382</v>
      </c>
      <c r="E1886" s="34" t="s">
        <v>2900</v>
      </c>
      <c r="F1886" s="34" t="s">
        <v>2904</v>
      </c>
    </row>
    <row r="1887" spans="2:7" ht="15" customHeight="1">
      <c r="B1887" s="32">
        <v>46266</v>
      </c>
      <c r="C1887" s="34" t="s">
        <v>35</v>
      </c>
      <c r="D1887" s="34" t="s">
        <v>42</v>
      </c>
      <c r="E1887" s="34" t="s">
        <v>2900</v>
      </c>
      <c r="F1887" s="34" t="s">
        <v>2905</v>
      </c>
    </row>
    <row r="1888" spans="2:7" ht="15" customHeight="1">
      <c r="B1888" s="32">
        <v>46266</v>
      </c>
      <c r="C1888" s="34" t="s">
        <v>2906</v>
      </c>
      <c r="D1888" s="34" t="s">
        <v>910</v>
      </c>
      <c r="E1888" s="34" t="s">
        <v>2907</v>
      </c>
      <c r="F1888" s="34" t="s">
        <v>2908</v>
      </c>
    </row>
    <row r="1889" spans="2:7" ht="15" customHeight="1">
      <c r="B1889" s="32">
        <v>46266</v>
      </c>
      <c r="C1889" s="34" t="s">
        <v>2466</v>
      </c>
      <c r="D1889" s="34" t="s">
        <v>385</v>
      </c>
      <c r="E1889" s="34" t="s">
        <v>2907</v>
      </c>
      <c r="F1889" s="34" t="s">
        <v>2909</v>
      </c>
    </row>
    <row r="1890" spans="2:7" ht="15" customHeight="1">
      <c r="B1890" s="32">
        <v>46266</v>
      </c>
      <c r="C1890" s="34" t="s">
        <v>2466</v>
      </c>
      <c r="D1890" s="34" t="s">
        <v>42</v>
      </c>
      <c r="E1890" s="34" t="s">
        <v>2907</v>
      </c>
      <c r="F1890" s="34" t="s">
        <v>2910</v>
      </c>
    </row>
    <row r="1891" spans="2:7" ht="15" customHeight="1">
      <c r="B1891" s="32">
        <v>46266</v>
      </c>
      <c r="C1891" s="34" t="s">
        <v>2911</v>
      </c>
      <c r="D1891" s="34" t="s">
        <v>352</v>
      </c>
      <c r="E1891" s="34" t="s">
        <v>2907</v>
      </c>
      <c r="F1891" s="34" t="s">
        <v>2171</v>
      </c>
    </row>
    <row r="1892" spans="2:7" ht="15" customHeight="1">
      <c r="B1892" s="32">
        <v>46266</v>
      </c>
      <c r="C1892" s="34" t="s">
        <v>2466</v>
      </c>
      <c r="D1892" s="34" t="s">
        <v>633</v>
      </c>
      <c r="E1892" s="34" t="s">
        <v>2907</v>
      </c>
      <c r="F1892" s="34" t="s">
        <v>2912</v>
      </c>
    </row>
    <row r="1893" spans="2:7" ht="15" customHeight="1">
      <c r="B1893" s="32">
        <v>46266</v>
      </c>
      <c r="C1893" s="34" t="s">
        <v>2913</v>
      </c>
      <c r="D1893" s="34" t="s">
        <v>719</v>
      </c>
      <c r="E1893" s="34" t="s">
        <v>2907</v>
      </c>
      <c r="F1893" s="34" t="s">
        <v>2914</v>
      </c>
    </row>
    <row r="1894" spans="2:7" ht="15" customHeight="1">
      <c r="B1894" s="51">
        <v>46267</v>
      </c>
      <c r="C1894" s="52" t="s">
        <v>2159</v>
      </c>
      <c r="D1894" s="52" t="s">
        <v>224</v>
      </c>
      <c r="E1894" s="52" t="s">
        <v>2915</v>
      </c>
      <c r="F1894" s="52" t="s">
        <v>1854</v>
      </c>
      <c r="G1894" s="52" t="s">
        <v>51</v>
      </c>
    </row>
    <row r="1895" spans="2:7" ht="15" customHeight="1">
      <c r="B1895" s="51">
        <v>46267</v>
      </c>
      <c r="C1895" s="52" t="s">
        <v>2159</v>
      </c>
      <c r="D1895" s="52" t="s">
        <v>1132</v>
      </c>
      <c r="E1895" s="52" t="s">
        <v>2915</v>
      </c>
      <c r="F1895" s="52" t="s">
        <v>2916</v>
      </c>
      <c r="G1895" s="52" t="s">
        <v>51</v>
      </c>
    </row>
    <row r="1896" spans="2:7" ht="15" customHeight="1">
      <c r="B1896" s="51">
        <v>46267</v>
      </c>
      <c r="C1896" s="52" t="s">
        <v>2917</v>
      </c>
      <c r="D1896" s="52" t="s">
        <v>1423</v>
      </c>
      <c r="E1896" s="52" t="s">
        <v>2915</v>
      </c>
      <c r="F1896" s="52" t="s">
        <v>2918</v>
      </c>
      <c r="G1896" s="52" t="s">
        <v>51</v>
      </c>
    </row>
    <row r="1897" spans="2:7" ht="15" customHeight="1">
      <c r="B1897" s="51">
        <v>46267</v>
      </c>
      <c r="C1897" s="52" t="s">
        <v>2167</v>
      </c>
      <c r="D1897" s="52" t="s">
        <v>1687</v>
      </c>
      <c r="E1897" s="52" t="s">
        <v>2915</v>
      </c>
      <c r="F1897" s="52" t="s">
        <v>2919</v>
      </c>
      <c r="G1897" s="52" t="s">
        <v>30</v>
      </c>
    </row>
    <row r="1898" spans="2:7" ht="15" customHeight="1">
      <c r="B1898" s="51">
        <v>46267</v>
      </c>
      <c r="C1898" s="52" t="s">
        <v>2167</v>
      </c>
      <c r="D1898" s="52" t="s">
        <v>42</v>
      </c>
      <c r="E1898" s="52" t="s">
        <v>2920</v>
      </c>
      <c r="F1898" s="52" t="s">
        <v>1043</v>
      </c>
      <c r="G1898" s="52" t="s">
        <v>30</v>
      </c>
    </row>
    <row r="1899" spans="2:7" ht="15" customHeight="1">
      <c r="B1899" s="51">
        <v>46267</v>
      </c>
      <c r="C1899" s="52" t="s">
        <v>2921</v>
      </c>
      <c r="D1899" s="52" t="s">
        <v>121</v>
      </c>
      <c r="E1899" s="52" t="s">
        <v>2920</v>
      </c>
      <c r="F1899" s="70" t="s">
        <v>2922</v>
      </c>
      <c r="G1899" s="52" t="s">
        <v>51</v>
      </c>
    </row>
    <row r="1900" spans="2:7" ht="15" customHeight="1">
      <c r="B1900" s="51">
        <v>46267</v>
      </c>
      <c r="C1900" s="52" t="s">
        <v>2923</v>
      </c>
      <c r="D1900" s="52" t="s">
        <v>394</v>
      </c>
      <c r="E1900" s="52" t="s">
        <v>2920</v>
      </c>
      <c r="F1900" s="52" t="s">
        <v>2924</v>
      </c>
      <c r="G1900" s="52" t="s">
        <v>51</v>
      </c>
    </row>
    <row r="1901" spans="2:7" ht="15" customHeight="1">
      <c r="B1901" s="51">
        <v>46267</v>
      </c>
      <c r="C1901" s="52" t="s">
        <v>2167</v>
      </c>
      <c r="D1901" s="52" t="s">
        <v>44</v>
      </c>
      <c r="E1901" s="52" t="s">
        <v>2920</v>
      </c>
      <c r="F1901" s="52" t="s">
        <v>2925</v>
      </c>
      <c r="G1901" s="52" t="s">
        <v>30</v>
      </c>
    </row>
    <row r="1902" spans="2:7" ht="15" customHeight="1">
      <c r="B1902" s="51">
        <v>46267</v>
      </c>
      <c r="C1902" s="52" t="s">
        <v>2167</v>
      </c>
      <c r="D1902" s="52" t="s">
        <v>44</v>
      </c>
      <c r="E1902" s="52" t="s">
        <v>2920</v>
      </c>
      <c r="F1902" s="52" t="s">
        <v>2145</v>
      </c>
      <c r="G1902" s="52" t="s">
        <v>30</v>
      </c>
    </row>
    <row r="1903" spans="2:7" ht="15" customHeight="1">
      <c r="B1903" s="51">
        <v>46267</v>
      </c>
      <c r="C1903" s="52" t="s">
        <v>2167</v>
      </c>
      <c r="D1903" s="52" t="s">
        <v>10</v>
      </c>
      <c r="E1903" s="52" t="s">
        <v>2920</v>
      </c>
      <c r="F1903" s="53" t="s">
        <v>118</v>
      </c>
      <c r="G1903" s="52" t="s">
        <v>30</v>
      </c>
    </row>
    <row r="1904" spans="2:7" ht="15" customHeight="1">
      <c r="B1904" s="51">
        <v>46267</v>
      </c>
      <c r="C1904" s="52" t="s">
        <v>2167</v>
      </c>
      <c r="D1904" s="52" t="s">
        <v>44</v>
      </c>
      <c r="E1904" s="52" t="s">
        <v>2920</v>
      </c>
      <c r="F1904" s="53" t="s">
        <v>578</v>
      </c>
      <c r="G1904" s="52" t="s">
        <v>30</v>
      </c>
    </row>
    <row r="1905" spans="2:7" ht="15" customHeight="1">
      <c r="B1905" s="51">
        <v>46267</v>
      </c>
      <c r="C1905" s="52" t="s">
        <v>2926</v>
      </c>
      <c r="D1905" s="52" t="s">
        <v>10</v>
      </c>
      <c r="E1905" s="52" t="s">
        <v>2920</v>
      </c>
      <c r="F1905" s="53" t="s">
        <v>2927</v>
      </c>
      <c r="G1905" s="52" t="s">
        <v>70</v>
      </c>
    </row>
    <row r="1906" spans="2:7" ht="15" customHeight="1">
      <c r="B1906" s="51">
        <v>46267</v>
      </c>
      <c r="C1906" s="52" t="s">
        <v>2928</v>
      </c>
      <c r="D1906" s="52" t="s">
        <v>462</v>
      </c>
      <c r="E1906" s="52" t="s">
        <v>2920</v>
      </c>
      <c r="F1906" s="53" t="s">
        <v>2929</v>
      </c>
      <c r="G1906" s="52" t="s">
        <v>51</v>
      </c>
    </row>
    <row r="1907" spans="2:7" ht="15" customHeight="1">
      <c r="B1907" s="51">
        <v>46267</v>
      </c>
      <c r="C1907" s="52" t="s">
        <v>2930</v>
      </c>
      <c r="D1907" s="52" t="s">
        <v>44</v>
      </c>
      <c r="E1907" s="52" t="s">
        <v>2920</v>
      </c>
      <c r="F1907" s="52" t="s">
        <v>2294</v>
      </c>
      <c r="G1907" s="52" t="s">
        <v>70</v>
      </c>
    </row>
    <row r="1908" spans="2:7" ht="15" customHeight="1">
      <c r="B1908" s="51">
        <v>46267</v>
      </c>
      <c r="C1908" s="52" t="s">
        <v>2167</v>
      </c>
      <c r="D1908" s="52" t="s">
        <v>19</v>
      </c>
      <c r="E1908" s="52" t="s">
        <v>2920</v>
      </c>
      <c r="F1908" s="53" t="s">
        <v>2931</v>
      </c>
      <c r="G1908" s="52" t="s">
        <v>30</v>
      </c>
    </row>
    <row r="1909" spans="2:7" ht="15" customHeight="1">
      <c r="B1909" s="51">
        <v>46267</v>
      </c>
      <c r="C1909" s="52" t="s">
        <v>2932</v>
      </c>
      <c r="D1909" s="52" t="s">
        <v>352</v>
      </c>
      <c r="E1909" s="52" t="s">
        <v>2920</v>
      </c>
      <c r="F1909" s="53" t="s">
        <v>2933</v>
      </c>
      <c r="G1909" s="52" t="s">
        <v>51</v>
      </c>
    </row>
    <row r="1910" spans="2:7" ht="15" customHeight="1">
      <c r="B1910" s="51">
        <v>46267</v>
      </c>
      <c r="C1910" s="52" t="s">
        <v>2167</v>
      </c>
      <c r="D1910" s="52" t="s">
        <v>44</v>
      </c>
      <c r="E1910" s="52" t="s">
        <v>2920</v>
      </c>
      <c r="F1910" s="52" t="s">
        <v>2934</v>
      </c>
      <c r="G1910" s="52" t="s">
        <v>30</v>
      </c>
    </row>
    <row r="1911" spans="2:7" ht="15" customHeight="1">
      <c r="B1911" s="51">
        <v>46267</v>
      </c>
      <c r="C1911" s="52" t="s">
        <v>2935</v>
      </c>
      <c r="D1911" s="52" t="s">
        <v>44</v>
      </c>
      <c r="E1911" s="52" t="s">
        <v>2920</v>
      </c>
      <c r="F1911" s="52" t="s">
        <v>2936</v>
      </c>
      <c r="G1911" s="52" t="s">
        <v>70</v>
      </c>
    </row>
    <row r="1912" spans="2:7" ht="15" customHeight="1">
      <c r="B1912" s="51">
        <v>46267</v>
      </c>
      <c r="C1912" s="52" t="s">
        <v>2167</v>
      </c>
      <c r="D1912" s="52" t="s">
        <v>44</v>
      </c>
      <c r="E1912" s="52" t="s">
        <v>2920</v>
      </c>
      <c r="F1912" s="52" t="s">
        <v>2937</v>
      </c>
      <c r="G1912" s="52" t="s">
        <v>30</v>
      </c>
    </row>
    <row r="1913" spans="2:7" ht="15" customHeight="1">
      <c r="B1913" s="51">
        <v>46267</v>
      </c>
      <c r="C1913" s="52" t="s">
        <v>2938</v>
      </c>
      <c r="D1913" s="52" t="s">
        <v>62</v>
      </c>
      <c r="E1913" s="52" t="s">
        <v>2920</v>
      </c>
      <c r="F1913" s="52" t="s">
        <v>2939</v>
      </c>
      <c r="G1913" s="52" t="s">
        <v>70</v>
      </c>
    </row>
    <row r="1914" spans="2:7" ht="15" customHeight="1">
      <c r="B1914" s="51">
        <v>46267</v>
      </c>
      <c r="C1914" s="52" t="s">
        <v>2940</v>
      </c>
      <c r="D1914" s="52" t="s">
        <v>2941</v>
      </c>
      <c r="E1914" s="52" t="s">
        <v>2942</v>
      </c>
      <c r="F1914" s="53" t="s">
        <v>2943</v>
      </c>
      <c r="G1914" s="52" t="s">
        <v>51</v>
      </c>
    </row>
    <row r="1915" spans="2:7" ht="15" customHeight="1">
      <c r="B1915" s="51">
        <v>46268</v>
      </c>
      <c r="C1915" s="52" t="s">
        <v>2167</v>
      </c>
      <c r="D1915" s="52" t="s">
        <v>969</v>
      </c>
      <c r="E1915" s="52" t="s">
        <v>2944</v>
      </c>
      <c r="F1915" s="52" t="s">
        <v>2945</v>
      </c>
      <c r="G1915" s="52" t="s">
        <v>30</v>
      </c>
    </row>
    <row r="1916" spans="2:7" ht="15" customHeight="1">
      <c r="B1916" s="51">
        <v>46268</v>
      </c>
      <c r="C1916" s="52" t="s">
        <v>2167</v>
      </c>
      <c r="D1916" s="52" t="s">
        <v>103</v>
      </c>
      <c r="E1916" s="52" t="s">
        <v>2944</v>
      </c>
      <c r="F1916" s="52" t="s">
        <v>1437</v>
      </c>
      <c r="G1916" s="52" t="s">
        <v>30</v>
      </c>
    </row>
    <row r="1917" spans="2:7" ht="15" customHeight="1">
      <c r="B1917" s="51">
        <v>46268</v>
      </c>
      <c r="C1917" s="52" t="s">
        <v>2946</v>
      </c>
      <c r="D1917" s="52" t="s">
        <v>462</v>
      </c>
      <c r="E1917" s="52" t="s">
        <v>2944</v>
      </c>
      <c r="F1917" s="52" t="s">
        <v>2947</v>
      </c>
      <c r="G1917" s="52" t="s">
        <v>187</v>
      </c>
    </row>
    <row r="1918" spans="2:7" ht="15" customHeight="1">
      <c r="B1918" s="51">
        <v>46268</v>
      </c>
      <c r="C1918" s="52" t="s">
        <v>2948</v>
      </c>
      <c r="D1918" s="52" t="s">
        <v>462</v>
      </c>
      <c r="E1918" s="52" t="s">
        <v>2944</v>
      </c>
      <c r="F1918" s="52" t="s">
        <v>2949</v>
      </c>
      <c r="G1918" s="52" t="s">
        <v>2950</v>
      </c>
    </row>
    <row r="1919" spans="2:7" ht="15" customHeight="1">
      <c r="B1919" s="51">
        <v>46268</v>
      </c>
      <c r="C1919" s="52" t="s">
        <v>2167</v>
      </c>
      <c r="D1919" s="52" t="s">
        <v>44</v>
      </c>
      <c r="E1919" s="52" t="s">
        <v>2944</v>
      </c>
      <c r="F1919" s="52" t="s">
        <v>2951</v>
      </c>
      <c r="G1919" s="52" t="s">
        <v>30</v>
      </c>
    </row>
    <row r="1920" spans="2:7" ht="15" customHeight="1">
      <c r="B1920" s="51">
        <v>46268</v>
      </c>
      <c r="C1920" s="52" t="s">
        <v>2167</v>
      </c>
      <c r="D1920" s="52" t="s">
        <v>2515</v>
      </c>
      <c r="E1920" s="52" t="s">
        <v>2944</v>
      </c>
      <c r="F1920" s="52" t="s">
        <v>2952</v>
      </c>
      <c r="G1920" s="52" t="s">
        <v>2953</v>
      </c>
    </row>
    <row r="1921" spans="2:7" ht="15" customHeight="1">
      <c r="B1921" s="51">
        <v>46268</v>
      </c>
      <c r="C1921" s="52" t="s">
        <v>2167</v>
      </c>
      <c r="D1921" s="52" t="s">
        <v>456</v>
      </c>
      <c r="E1921" s="52" t="s">
        <v>2944</v>
      </c>
      <c r="F1921" s="52" t="s">
        <v>578</v>
      </c>
      <c r="G1921" s="52" t="s">
        <v>30</v>
      </c>
    </row>
    <row r="1922" spans="2:7" ht="15" customHeight="1">
      <c r="B1922" s="51">
        <v>46268</v>
      </c>
      <c r="C1922" s="52" t="s">
        <v>2954</v>
      </c>
      <c r="D1922" s="52" t="s">
        <v>52</v>
      </c>
      <c r="E1922" s="52" t="s">
        <v>2944</v>
      </c>
      <c r="F1922" s="52" t="s">
        <v>2955</v>
      </c>
      <c r="G1922" s="52" t="s">
        <v>83</v>
      </c>
    </row>
    <row r="1923" spans="2:7" ht="15" customHeight="1">
      <c r="B1923" s="51">
        <v>46268</v>
      </c>
      <c r="C1923" s="52" t="s">
        <v>2954</v>
      </c>
      <c r="D1923" s="52" t="s">
        <v>52</v>
      </c>
      <c r="E1923" s="52" t="s">
        <v>2944</v>
      </c>
      <c r="F1923" s="52" t="s">
        <v>2955</v>
      </c>
      <c r="G1923" s="52" t="s">
        <v>83</v>
      </c>
    </row>
    <row r="1924" spans="2:7" ht="15" customHeight="1">
      <c r="B1924" s="51">
        <v>46268</v>
      </c>
      <c r="C1924" s="52" t="s">
        <v>2956</v>
      </c>
      <c r="D1924" s="52" t="s">
        <v>44</v>
      </c>
      <c r="E1924" s="52" t="s">
        <v>2944</v>
      </c>
      <c r="F1924" s="53" t="s">
        <v>2957</v>
      </c>
      <c r="G1924" s="52" t="s">
        <v>83</v>
      </c>
    </row>
    <row r="1925" spans="2:7" ht="15" customHeight="1">
      <c r="B1925" s="51">
        <v>46268</v>
      </c>
      <c r="C1925" s="52" t="s">
        <v>2958</v>
      </c>
      <c r="D1925" s="52" t="s">
        <v>937</v>
      </c>
      <c r="E1925" s="52" t="s">
        <v>2944</v>
      </c>
      <c r="F1925" s="53" t="s">
        <v>2959</v>
      </c>
      <c r="G1925" s="52" t="s">
        <v>30</v>
      </c>
    </row>
    <row r="1926" spans="2:7" ht="15" customHeight="1">
      <c r="B1926" s="51">
        <v>46268</v>
      </c>
      <c r="C1926" s="52" t="s">
        <v>2167</v>
      </c>
      <c r="D1926" s="52" t="s">
        <v>19</v>
      </c>
      <c r="E1926" s="52" t="s">
        <v>2944</v>
      </c>
      <c r="F1926" s="53" t="s">
        <v>2960</v>
      </c>
      <c r="G1926" s="52" t="s">
        <v>30</v>
      </c>
    </row>
    <row r="1927" spans="2:7" ht="15" customHeight="1">
      <c r="B1927" s="51">
        <v>46268</v>
      </c>
      <c r="C1927" s="52" t="s">
        <v>2167</v>
      </c>
      <c r="D1927" s="52" t="s">
        <v>52</v>
      </c>
      <c r="E1927" s="52" t="s">
        <v>2944</v>
      </c>
      <c r="F1927" s="53" t="s">
        <v>2961</v>
      </c>
      <c r="G1927" s="52" t="s">
        <v>30</v>
      </c>
    </row>
    <row r="1928" spans="2:7" ht="15" customHeight="1">
      <c r="B1928" s="51">
        <v>46268</v>
      </c>
      <c r="C1928" s="52" t="s">
        <v>2167</v>
      </c>
      <c r="D1928" s="52" t="s">
        <v>15</v>
      </c>
      <c r="E1928" s="52" t="s">
        <v>2944</v>
      </c>
      <c r="F1928" s="52" t="s">
        <v>2192</v>
      </c>
      <c r="G1928" s="52" t="s">
        <v>30</v>
      </c>
    </row>
    <row r="1929" spans="2:7" ht="15" customHeight="1">
      <c r="B1929" s="51">
        <v>46268</v>
      </c>
      <c r="C1929" s="52" t="s">
        <v>2167</v>
      </c>
      <c r="D1929" s="52" t="s">
        <v>52</v>
      </c>
      <c r="E1929" s="52" t="s">
        <v>2944</v>
      </c>
      <c r="F1929" s="53" t="s">
        <v>2962</v>
      </c>
      <c r="G1929" s="52" t="s">
        <v>2027</v>
      </c>
    </row>
    <row r="1930" spans="2:7" ht="15" customHeight="1">
      <c r="B1930" s="51">
        <v>46268</v>
      </c>
      <c r="C1930" s="52" t="s">
        <v>2167</v>
      </c>
      <c r="D1930" s="52" t="s">
        <v>52</v>
      </c>
      <c r="E1930" s="52" t="s">
        <v>2944</v>
      </c>
      <c r="F1930" s="53" t="s">
        <v>2962</v>
      </c>
      <c r="G1930" s="52" t="s">
        <v>2027</v>
      </c>
    </row>
    <row r="1931" spans="2:7" ht="15" customHeight="1">
      <c r="B1931" s="51">
        <v>46268</v>
      </c>
      <c r="C1931" s="52" t="s">
        <v>2963</v>
      </c>
      <c r="D1931" s="52" t="s">
        <v>19</v>
      </c>
      <c r="E1931" s="52" t="s">
        <v>2944</v>
      </c>
      <c r="F1931" s="52" t="s">
        <v>2964</v>
      </c>
      <c r="G1931" s="52" t="s">
        <v>83</v>
      </c>
    </row>
    <row r="1932" spans="2:7" ht="15" customHeight="1">
      <c r="B1932" s="51">
        <v>46268</v>
      </c>
      <c r="C1932" s="52" t="s">
        <v>2167</v>
      </c>
      <c r="D1932" s="52" t="s">
        <v>52</v>
      </c>
      <c r="E1932" s="52" t="s">
        <v>2944</v>
      </c>
      <c r="F1932" s="52" t="s">
        <v>593</v>
      </c>
      <c r="G1932" s="52" t="s">
        <v>2027</v>
      </c>
    </row>
    <row r="1933" spans="2:7" ht="15" customHeight="1">
      <c r="B1933" s="51">
        <v>46268</v>
      </c>
      <c r="C1933" s="52" t="s">
        <v>2167</v>
      </c>
      <c r="D1933" s="52" t="s">
        <v>213</v>
      </c>
      <c r="E1933" s="52" t="s">
        <v>2944</v>
      </c>
      <c r="F1933" s="52" t="s">
        <v>578</v>
      </c>
      <c r="G1933" s="52" t="s">
        <v>30</v>
      </c>
    </row>
    <row r="1934" spans="2:7" ht="15" customHeight="1">
      <c r="B1934" s="51">
        <v>46268</v>
      </c>
      <c r="C1934" s="52" t="s">
        <v>2167</v>
      </c>
      <c r="D1934" s="52" t="s">
        <v>62</v>
      </c>
      <c r="E1934" s="52" t="s">
        <v>2944</v>
      </c>
      <c r="F1934" s="52" t="s">
        <v>2965</v>
      </c>
      <c r="G1934" s="52" t="s">
        <v>2027</v>
      </c>
    </row>
    <row r="1935" spans="2:7" ht="15" customHeight="1">
      <c r="B1935" s="51">
        <v>46268</v>
      </c>
      <c r="C1935" s="52" t="s">
        <v>2966</v>
      </c>
      <c r="D1935" s="52" t="s">
        <v>2967</v>
      </c>
      <c r="E1935" s="52" t="s">
        <v>2944</v>
      </c>
      <c r="F1935" s="53" t="s">
        <v>2968</v>
      </c>
      <c r="G1935" s="52" t="s">
        <v>2967</v>
      </c>
    </row>
    <row r="1936" spans="2:7" ht="15" customHeight="1">
      <c r="B1936" s="51">
        <v>46268</v>
      </c>
      <c r="C1936" s="34" t="s">
        <v>2969</v>
      </c>
      <c r="D1936" s="34" t="s">
        <v>681</v>
      </c>
      <c r="E1936" s="34" t="s">
        <v>2970</v>
      </c>
      <c r="F1936" s="34" t="s">
        <v>2971</v>
      </c>
      <c r="G1936" s="34" t="s">
        <v>34</v>
      </c>
    </row>
    <row r="1937" spans="2:7" ht="15" customHeight="1">
      <c r="B1937" s="51">
        <v>46268</v>
      </c>
      <c r="C1937" s="34" t="s">
        <v>2972</v>
      </c>
      <c r="D1937" s="34" t="s">
        <v>19</v>
      </c>
      <c r="E1937" s="34" t="s">
        <v>2970</v>
      </c>
      <c r="F1937" s="34" t="s">
        <v>2973</v>
      </c>
      <c r="G1937" s="34" t="s">
        <v>34</v>
      </c>
    </row>
    <row r="1938" spans="2:7" ht="15" customHeight="1">
      <c r="B1938" s="51">
        <v>46268</v>
      </c>
      <c r="C1938" s="34" t="s">
        <v>2966</v>
      </c>
      <c r="D1938" s="34" t="s">
        <v>1523</v>
      </c>
      <c r="E1938" s="34" t="s">
        <v>2970</v>
      </c>
      <c r="F1938" s="34" t="s">
        <v>2974</v>
      </c>
      <c r="G1938" s="34" t="s">
        <v>34</v>
      </c>
    </row>
    <row r="1939" spans="2:7" ht="15" customHeight="1">
      <c r="B1939" s="51">
        <v>46272</v>
      </c>
      <c r="C1939" s="34" t="s">
        <v>2975</v>
      </c>
      <c r="D1939" s="34" t="s">
        <v>1406</v>
      </c>
      <c r="E1939" s="34" t="s">
        <v>2942</v>
      </c>
      <c r="F1939" s="34" t="s">
        <v>2976</v>
      </c>
      <c r="G1939" s="34" t="s">
        <v>34</v>
      </c>
    </row>
    <row r="1940" spans="2:7" ht="15" customHeight="1">
      <c r="B1940" s="51">
        <f>B1939</f>
        <v>46272</v>
      </c>
      <c r="C1940" s="34" t="s">
        <v>2977</v>
      </c>
      <c r="D1940" s="34" t="s">
        <v>42</v>
      </c>
      <c r="E1940" s="34" t="s">
        <v>2942</v>
      </c>
      <c r="F1940" s="34" t="s">
        <v>2978</v>
      </c>
      <c r="G1940" s="34" t="s">
        <v>34</v>
      </c>
    </row>
    <row r="1941" spans="2:7" ht="15" customHeight="1">
      <c r="B1941" s="51">
        <f>B1939</f>
        <v>46272</v>
      </c>
      <c r="C1941" s="52" t="s">
        <v>1331</v>
      </c>
      <c r="D1941" s="52" t="s">
        <v>207</v>
      </c>
      <c r="E1941" s="52" t="s">
        <v>2979</v>
      </c>
      <c r="F1941" s="52" t="s">
        <v>2980</v>
      </c>
      <c r="G1941" s="52" t="s">
        <v>34</v>
      </c>
    </row>
    <row r="1942" spans="2:7" ht="15" customHeight="1">
      <c r="B1942" s="51">
        <f>B1939</f>
        <v>46272</v>
      </c>
      <c r="C1942" s="34" t="s">
        <v>2981</v>
      </c>
      <c r="D1942" s="34" t="s">
        <v>2982</v>
      </c>
      <c r="E1942" s="34" t="s">
        <v>2970</v>
      </c>
      <c r="F1942" s="34" t="s">
        <v>2983</v>
      </c>
      <c r="G1942" s="34" t="s">
        <v>34</v>
      </c>
    </row>
    <row r="1943" spans="2:7" ht="15" customHeight="1">
      <c r="B1943" s="51">
        <f>B1942</f>
        <v>46272</v>
      </c>
      <c r="C1943" s="34" t="s">
        <v>2984</v>
      </c>
      <c r="D1943" s="34" t="s">
        <v>207</v>
      </c>
      <c r="E1943" s="34" t="s">
        <v>2970</v>
      </c>
      <c r="F1943" s="34" t="s">
        <v>2985</v>
      </c>
      <c r="G1943" s="34" t="s">
        <v>34</v>
      </c>
    </row>
    <row r="1944" spans="2:7" ht="15" customHeight="1">
      <c r="B1944" s="51">
        <f>B1942</f>
        <v>46272</v>
      </c>
      <c r="C1944" s="34" t="s">
        <v>2972</v>
      </c>
      <c r="D1944" s="34" t="s">
        <v>81</v>
      </c>
      <c r="E1944" s="34" t="s">
        <v>2970</v>
      </c>
      <c r="F1944" s="34" t="s">
        <v>2986</v>
      </c>
      <c r="G1944" s="34" t="s">
        <v>34</v>
      </c>
    </row>
    <row r="1945" spans="2:7" ht="15" customHeight="1">
      <c r="B1945" s="51">
        <f>B1942</f>
        <v>46272</v>
      </c>
      <c r="C1945" s="34" t="s">
        <v>2987</v>
      </c>
      <c r="D1945" s="34" t="s">
        <v>23</v>
      </c>
      <c r="E1945" s="34" t="s">
        <v>2970</v>
      </c>
      <c r="F1945" s="34" t="s">
        <v>2988</v>
      </c>
      <c r="G1945" s="34" t="s">
        <v>41</v>
      </c>
    </row>
    <row r="1946" spans="2:7" ht="15" customHeight="1">
      <c r="B1946" s="51">
        <v>46273</v>
      </c>
      <c r="C1946" s="52" t="s">
        <v>2989</v>
      </c>
      <c r="D1946" s="52" t="s">
        <v>23</v>
      </c>
      <c r="E1946" s="52" t="s">
        <v>2990</v>
      </c>
      <c r="F1946" s="52" t="s">
        <v>2991</v>
      </c>
      <c r="G1946" s="52" t="s">
        <v>83</v>
      </c>
    </row>
    <row r="1947" spans="2:7" ht="15" customHeight="1">
      <c r="B1947" s="51">
        <f>B1946</f>
        <v>46273</v>
      </c>
      <c r="C1947" s="52" t="s">
        <v>2167</v>
      </c>
      <c r="D1947" s="52" t="s">
        <v>44</v>
      </c>
      <c r="E1947" s="52" t="s">
        <v>2992</v>
      </c>
      <c r="F1947" s="52" t="s">
        <v>2717</v>
      </c>
      <c r="G1947" s="52" t="s">
        <v>21</v>
      </c>
    </row>
    <row r="1948" spans="2:7" ht="15" customHeight="1">
      <c r="B1948" s="51">
        <f>B1946</f>
        <v>46273</v>
      </c>
      <c r="C1948" s="52" t="s">
        <v>2993</v>
      </c>
      <c r="D1948" s="52" t="s">
        <v>81</v>
      </c>
      <c r="E1948" s="52" t="s">
        <v>2992</v>
      </c>
      <c r="F1948" s="52" t="s">
        <v>2994</v>
      </c>
      <c r="G1948" s="52" t="s">
        <v>34</v>
      </c>
    </row>
    <row r="1949" spans="2:7" ht="15" customHeight="1">
      <c r="B1949" s="51">
        <f>B1946</f>
        <v>46273</v>
      </c>
      <c r="C1949" s="52" t="s">
        <v>2995</v>
      </c>
      <c r="D1949" s="52" t="s">
        <v>385</v>
      </c>
      <c r="E1949" s="52" t="s">
        <v>2992</v>
      </c>
      <c r="F1949" s="52" t="s">
        <v>2996</v>
      </c>
      <c r="G1949" s="52" t="s">
        <v>51</v>
      </c>
    </row>
    <row r="1950" spans="2:7" ht="15" customHeight="1">
      <c r="B1950" s="51">
        <f>B1949</f>
        <v>46273</v>
      </c>
      <c r="C1950" s="52" t="s">
        <v>2167</v>
      </c>
      <c r="D1950" s="52" t="s">
        <v>385</v>
      </c>
      <c r="E1950" s="52" t="s">
        <v>2992</v>
      </c>
      <c r="F1950" s="52" t="s">
        <v>2997</v>
      </c>
      <c r="G1950" s="52" t="s">
        <v>64</v>
      </c>
    </row>
    <row r="1951" spans="2:7" ht="15" customHeight="1">
      <c r="B1951" s="51">
        <f>B1949</f>
        <v>46273</v>
      </c>
      <c r="C1951" s="42" t="s">
        <v>2167</v>
      </c>
      <c r="D1951" s="52" t="s">
        <v>385</v>
      </c>
      <c r="E1951" s="52" t="s">
        <v>2992</v>
      </c>
      <c r="F1951" s="52" t="s">
        <v>2998</v>
      </c>
      <c r="G1951" s="52" t="s">
        <v>64</v>
      </c>
    </row>
    <row r="1952" spans="2:7" ht="15" customHeight="1">
      <c r="B1952" s="51">
        <f>B1949</f>
        <v>46273</v>
      </c>
      <c r="C1952" s="52" t="s">
        <v>2167</v>
      </c>
      <c r="D1952" s="52" t="s">
        <v>385</v>
      </c>
      <c r="E1952" s="52" t="s">
        <v>2992</v>
      </c>
      <c r="F1952" s="52" t="s">
        <v>2999</v>
      </c>
      <c r="G1952" s="52" t="s">
        <v>64</v>
      </c>
    </row>
    <row r="1953" spans="2:7" ht="15" customHeight="1">
      <c r="B1953" s="51">
        <f>B1952</f>
        <v>46273</v>
      </c>
      <c r="C1953" s="52" t="s">
        <v>3000</v>
      </c>
      <c r="D1953" s="52" t="s">
        <v>1991</v>
      </c>
      <c r="E1953" s="52" t="s">
        <v>2992</v>
      </c>
      <c r="F1953" s="52" t="s">
        <v>3001</v>
      </c>
      <c r="G1953" s="52" t="s">
        <v>51</v>
      </c>
    </row>
    <row r="1954" spans="2:7" ht="15" customHeight="1">
      <c r="B1954" s="51">
        <f>B1952</f>
        <v>46273</v>
      </c>
      <c r="C1954" s="52" t="s">
        <v>3002</v>
      </c>
      <c r="D1954" s="52" t="s">
        <v>1991</v>
      </c>
      <c r="E1954" s="52" t="s">
        <v>2992</v>
      </c>
      <c r="F1954" s="52" t="s">
        <v>3003</v>
      </c>
      <c r="G1954" s="52" t="s">
        <v>51</v>
      </c>
    </row>
    <row r="1955" spans="2:7" ht="15" customHeight="1">
      <c r="B1955" s="44">
        <v>46274</v>
      </c>
      <c r="C1955" s="54" t="s">
        <v>3004</v>
      </c>
      <c r="D1955" s="54" t="s">
        <v>570</v>
      </c>
      <c r="E1955" s="54" t="s">
        <v>2992</v>
      </c>
      <c r="F1955" s="54" t="s">
        <v>3005</v>
      </c>
      <c r="G1955" s="54" t="s">
        <v>51</v>
      </c>
    </row>
    <row r="1956" spans="2:7" ht="15" customHeight="1">
      <c r="B1956" s="44">
        <f>B1955</f>
        <v>46274</v>
      </c>
      <c r="C1956" s="54" t="s">
        <v>2466</v>
      </c>
      <c r="D1956" s="54" t="s">
        <v>385</v>
      </c>
      <c r="E1956" s="54" t="s">
        <v>2992</v>
      </c>
      <c r="F1956" s="54" t="s">
        <v>3006</v>
      </c>
      <c r="G1956" s="54" t="s">
        <v>41</v>
      </c>
    </row>
    <row r="1957" spans="2:7" ht="15" customHeight="1">
      <c r="B1957" s="44">
        <f>B1955</f>
        <v>46274</v>
      </c>
      <c r="C1957" s="54" t="s">
        <v>3007</v>
      </c>
      <c r="D1957" s="54" t="s">
        <v>385</v>
      </c>
      <c r="E1957" s="54" t="s">
        <v>3008</v>
      </c>
      <c r="F1957" s="54" t="s">
        <v>3009</v>
      </c>
      <c r="G1957" s="54" t="s">
        <v>51</v>
      </c>
    </row>
    <row r="1958" spans="2:7" ht="15" customHeight="1">
      <c r="B1958" s="44">
        <f>B1955</f>
        <v>46274</v>
      </c>
      <c r="C1958" s="54" t="s">
        <v>3010</v>
      </c>
      <c r="D1958" s="54" t="s">
        <v>3011</v>
      </c>
      <c r="E1958" s="54" t="s">
        <v>3008</v>
      </c>
      <c r="F1958" s="54" t="s">
        <v>3012</v>
      </c>
      <c r="G1958" s="54" t="s">
        <v>51</v>
      </c>
    </row>
    <row r="1959" spans="2:7" ht="15" customHeight="1">
      <c r="B1959" s="44">
        <f>B1958</f>
        <v>46274</v>
      </c>
      <c r="C1959" s="54" t="s">
        <v>2466</v>
      </c>
      <c r="D1959" s="54" t="s">
        <v>23</v>
      </c>
      <c r="E1959" s="54" t="s">
        <v>3008</v>
      </c>
      <c r="F1959" s="54" t="s">
        <v>3013</v>
      </c>
      <c r="G1959" s="54" t="s">
        <v>64</v>
      </c>
    </row>
    <row r="1960" spans="2:7" ht="15" customHeight="1">
      <c r="B1960" s="44">
        <f>B1958</f>
        <v>46274</v>
      </c>
      <c r="C1960" s="54" t="s">
        <v>90</v>
      </c>
      <c r="D1960" s="54" t="s">
        <v>462</v>
      </c>
      <c r="E1960" s="54" t="s">
        <v>3014</v>
      </c>
      <c r="F1960" s="54" t="s">
        <v>3015</v>
      </c>
      <c r="G1960" s="54" t="s">
        <v>191</v>
      </c>
    </row>
    <row r="1961" spans="2:7" ht="15" customHeight="1">
      <c r="B1961" s="44">
        <f>B1958</f>
        <v>46274</v>
      </c>
      <c r="C1961" s="54" t="s">
        <v>90</v>
      </c>
      <c r="D1961" s="54" t="s">
        <v>570</v>
      </c>
      <c r="E1961" s="54" t="s">
        <v>3014</v>
      </c>
      <c r="F1961" s="54" t="s">
        <v>3016</v>
      </c>
      <c r="G1961" s="54" t="s">
        <v>191</v>
      </c>
    </row>
    <row r="1962" spans="2:7" ht="15" customHeight="1">
      <c r="B1962" s="44">
        <f>B1961</f>
        <v>46274</v>
      </c>
      <c r="C1962" s="54" t="s">
        <v>83</v>
      </c>
      <c r="D1962" s="54" t="s">
        <v>403</v>
      </c>
      <c r="E1962" s="54" t="s">
        <v>3014</v>
      </c>
      <c r="F1962" s="54" t="s">
        <v>3017</v>
      </c>
      <c r="G1962" s="54" t="s">
        <v>191</v>
      </c>
    </row>
    <row r="1963" spans="2:7" ht="15" customHeight="1">
      <c r="B1963" s="44">
        <f>B1961</f>
        <v>46274</v>
      </c>
      <c r="C1963" s="54" t="s">
        <v>90</v>
      </c>
      <c r="D1963" s="54" t="s">
        <v>462</v>
      </c>
      <c r="E1963" s="54" t="s">
        <v>3014</v>
      </c>
      <c r="F1963" s="54" t="s">
        <v>3018</v>
      </c>
      <c r="G1963" s="54" t="s">
        <v>191</v>
      </c>
    </row>
    <row r="1964" spans="2:7" ht="15" customHeight="1">
      <c r="B1964" s="44">
        <f>B1961</f>
        <v>46274</v>
      </c>
      <c r="C1964" s="54" t="s">
        <v>90</v>
      </c>
      <c r="D1964" s="54" t="s">
        <v>462</v>
      </c>
      <c r="E1964" s="54" t="s">
        <v>3014</v>
      </c>
      <c r="F1964" s="54" t="s">
        <v>3019</v>
      </c>
      <c r="G1964" s="54" t="s">
        <v>191</v>
      </c>
    </row>
    <row r="1965" spans="2:7" ht="15" customHeight="1">
      <c r="B1965" s="44">
        <f>B1964</f>
        <v>46274</v>
      </c>
      <c r="C1965" s="54" t="s">
        <v>90</v>
      </c>
      <c r="D1965" s="54" t="s">
        <v>213</v>
      </c>
      <c r="E1965" s="54" t="s">
        <v>3014</v>
      </c>
      <c r="F1965" s="54" t="s">
        <v>3020</v>
      </c>
      <c r="G1965" s="54" t="s">
        <v>191</v>
      </c>
    </row>
    <row r="1966" spans="2:7" ht="15" customHeight="1">
      <c r="B1966" s="44">
        <f>B1964</f>
        <v>46274</v>
      </c>
      <c r="C1966" s="54" t="s">
        <v>90</v>
      </c>
      <c r="D1966" s="54" t="s">
        <v>23</v>
      </c>
      <c r="E1966" s="54" t="s">
        <v>3014</v>
      </c>
      <c r="F1966" s="54" t="s">
        <v>3021</v>
      </c>
      <c r="G1966" s="54" t="s">
        <v>34</v>
      </c>
    </row>
    <row r="1967" spans="2:7" ht="15" customHeight="1">
      <c r="B1967" s="44">
        <f>B1964</f>
        <v>46274</v>
      </c>
      <c r="C1967" s="54" t="s">
        <v>3022</v>
      </c>
      <c r="D1967" s="54" t="s">
        <v>3023</v>
      </c>
      <c r="E1967" s="54" t="s">
        <v>2907</v>
      </c>
      <c r="F1967" s="54" t="s">
        <v>3024</v>
      </c>
      <c r="G1967" s="54" t="s">
        <v>51</v>
      </c>
    </row>
    <row r="1968" spans="2:7" ht="15" customHeight="1">
      <c r="B1968" s="44">
        <f>B1967</f>
        <v>46274</v>
      </c>
      <c r="C1968" s="54" t="s">
        <v>3025</v>
      </c>
      <c r="D1968" s="54" t="s">
        <v>403</v>
      </c>
      <c r="E1968" s="54" t="s">
        <v>2907</v>
      </c>
      <c r="F1968" s="54" t="s">
        <v>3026</v>
      </c>
      <c r="G1968" s="54" t="s">
        <v>51</v>
      </c>
    </row>
    <row r="1969" spans="2:7" ht="15" customHeight="1">
      <c r="B1969" s="44">
        <f>B1967</f>
        <v>46274</v>
      </c>
      <c r="C1969" s="55" t="s">
        <v>3027</v>
      </c>
      <c r="D1969" s="54" t="s">
        <v>385</v>
      </c>
      <c r="E1969" s="54" t="s">
        <v>2907</v>
      </c>
      <c r="F1969" s="54" t="s">
        <v>3028</v>
      </c>
      <c r="G1969" s="54" t="s">
        <v>51</v>
      </c>
    </row>
    <row r="1970" spans="2:7" ht="15" customHeight="1">
      <c r="B1970" s="44">
        <f>B1967</f>
        <v>46274</v>
      </c>
      <c r="C1970" s="55" t="s">
        <v>3029</v>
      </c>
      <c r="D1970" s="54" t="s">
        <v>385</v>
      </c>
      <c r="E1970" s="54" t="s">
        <v>2907</v>
      </c>
      <c r="F1970" s="54" t="s">
        <v>3030</v>
      </c>
      <c r="G1970" s="54" t="s">
        <v>51</v>
      </c>
    </row>
    <row r="1971" spans="2:7" ht="15" customHeight="1">
      <c r="B1971" s="44">
        <f>B1970</f>
        <v>46274</v>
      </c>
      <c r="C1971" s="55" t="s">
        <v>2993</v>
      </c>
      <c r="D1971" s="54" t="s">
        <v>1860</v>
      </c>
      <c r="E1971" s="54" t="s">
        <v>2907</v>
      </c>
      <c r="F1971" s="54" t="s">
        <v>3031</v>
      </c>
      <c r="G1971" s="54" t="s">
        <v>51</v>
      </c>
    </row>
    <row r="1972" spans="2:7" ht="15" customHeight="1">
      <c r="B1972" s="44">
        <f>B1970</f>
        <v>46274</v>
      </c>
      <c r="C1972" s="55" t="s">
        <v>3032</v>
      </c>
      <c r="D1972" s="54" t="s">
        <v>42</v>
      </c>
      <c r="E1972" s="54" t="s">
        <v>2907</v>
      </c>
      <c r="F1972" s="54" t="s">
        <v>3033</v>
      </c>
      <c r="G1972" s="54" t="s">
        <v>51</v>
      </c>
    </row>
    <row r="1973" spans="2:7" ht="15" customHeight="1">
      <c r="B1973" s="51">
        <v>46275</v>
      </c>
      <c r="C1973" s="71" t="s">
        <v>3034</v>
      </c>
      <c r="D1973" s="52" t="s">
        <v>570</v>
      </c>
      <c r="E1973" s="52" t="s">
        <v>2907</v>
      </c>
      <c r="F1973" s="52" t="s">
        <v>3035</v>
      </c>
      <c r="G1973" s="52" t="s">
        <v>51</v>
      </c>
    </row>
    <row r="1974" spans="2:7" ht="15" customHeight="1">
      <c r="B1974" s="51">
        <f>B1973</f>
        <v>46275</v>
      </c>
      <c r="C1974" s="52" t="s">
        <v>2167</v>
      </c>
      <c r="D1974" s="52" t="s">
        <v>207</v>
      </c>
      <c r="E1974" s="52" t="s">
        <v>2907</v>
      </c>
      <c r="F1974" s="72" t="s">
        <v>3036</v>
      </c>
      <c r="G1974" s="52" t="s">
        <v>30</v>
      </c>
    </row>
    <row r="1975" spans="2:7" ht="15" customHeight="1">
      <c r="B1975" s="51">
        <f>B1973</f>
        <v>46275</v>
      </c>
      <c r="C1975" s="52" t="s">
        <v>2930</v>
      </c>
      <c r="D1975" s="52" t="s">
        <v>612</v>
      </c>
      <c r="E1975" s="52" t="s">
        <v>2907</v>
      </c>
      <c r="F1975" s="52" t="s">
        <v>3006</v>
      </c>
      <c r="G1975" s="52" t="s">
        <v>51</v>
      </c>
    </row>
    <row r="1976" spans="2:7" ht="15" customHeight="1">
      <c r="B1976" s="51">
        <f>B1973</f>
        <v>46275</v>
      </c>
      <c r="C1976" s="52" t="s">
        <v>3037</v>
      </c>
      <c r="D1976" s="52" t="s">
        <v>38</v>
      </c>
      <c r="E1976" s="52" t="s">
        <v>2944</v>
      </c>
      <c r="F1976" s="52" t="s">
        <v>2951</v>
      </c>
      <c r="G1976" s="52" t="s">
        <v>51</v>
      </c>
    </row>
    <row r="1977" spans="2:7" ht="15" customHeight="1">
      <c r="B1977" s="51">
        <f>B1976</f>
        <v>46275</v>
      </c>
      <c r="C1977" s="52" t="s">
        <v>2167</v>
      </c>
      <c r="D1977" s="52" t="s">
        <v>15</v>
      </c>
      <c r="E1977" s="52" t="s">
        <v>2944</v>
      </c>
      <c r="F1977" s="52" t="s">
        <v>578</v>
      </c>
      <c r="G1977" s="52" t="s">
        <v>30</v>
      </c>
    </row>
    <row r="1978" spans="2:7" ht="15" customHeight="1">
      <c r="B1978" s="51">
        <f>B1976</f>
        <v>46275</v>
      </c>
      <c r="C1978" s="52" t="s">
        <v>2167</v>
      </c>
      <c r="D1978" s="52" t="s">
        <v>52</v>
      </c>
      <c r="E1978" s="52" t="s">
        <v>2944</v>
      </c>
      <c r="F1978" s="52" t="s">
        <v>2039</v>
      </c>
      <c r="G1978" s="52" t="s">
        <v>30</v>
      </c>
    </row>
    <row r="1979" spans="2:7" ht="15" customHeight="1">
      <c r="B1979" s="51">
        <f>B1976</f>
        <v>46275</v>
      </c>
      <c r="C1979" s="52" t="s">
        <v>2167</v>
      </c>
      <c r="D1979" s="52" t="s">
        <v>52</v>
      </c>
      <c r="E1979" s="52" t="s">
        <v>2944</v>
      </c>
      <c r="F1979" s="52" t="s">
        <v>578</v>
      </c>
      <c r="G1979" s="52" t="s">
        <v>30</v>
      </c>
    </row>
    <row r="1980" spans="2:7" ht="15" customHeight="1">
      <c r="B1980" s="51">
        <f>B1979</f>
        <v>46275</v>
      </c>
      <c r="C1980" s="52" t="s">
        <v>2167</v>
      </c>
      <c r="D1980" s="52" t="s">
        <v>52</v>
      </c>
      <c r="E1980" s="52" t="s">
        <v>2944</v>
      </c>
      <c r="F1980" s="52" t="s">
        <v>3038</v>
      </c>
      <c r="G1980" s="52" t="s">
        <v>30</v>
      </c>
    </row>
    <row r="1981" spans="2:7" ht="15" customHeight="1">
      <c r="B1981" s="51">
        <f>B1979</f>
        <v>46275</v>
      </c>
      <c r="C1981" s="52" t="s">
        <v>3039</v>
      </c>
      <c r="D1981" s="52" t="s">
        <v>570</v>
      </c>
      <c r="E1981" s="52" t="s">
        <v>2944</v>
      </c>
      <c r="F1981" s="52" t="s">
        <v>1506</v>
      </c>
      <c r="G1981" s="52" t="s">
        <v>51</v>
      </c>
    </row>
    <row r="1982" spans="2:7" ht="15" customHeight="1">
      <c r="B1982" s="51">
        <f>B1979</f>
        <v>46275</v>
      </c>
      <c r="C1982" s="52" t="s">
        <v>3040</v>
      </c>
      <c r="D1982" s="52" t="s">
        <v>213</v>
      </c>
      <c r="E1982" s="52" t="s">
        <v>2944</v>
      </c>
      <c r="F1982" s="52" t="s">
        <v>3041</v>
      </c>
      <c r="G1982" s="52" t="s">
        <v>30</v>
      </c>
    </row>
    <row r="1983" spans="2:7" ht="15" customHeight="1">
      <c r="B1983" s="51">
        <f>B1982</f>
        <v>46275</v>
      </c>
      <c r="C1983" s="52" t="s">
        <v>2167</v>
      </c>
      <c r="D1983" s="52" t="s">
        <v>44</v>
      </c>
      <c r="E1983" s="52" t="s">
        <v>2944</v>
      </c>
      <c r="F1983" s="52" t="s">
        <v>1571</v>
      </c>
      <c r="G1983" s="52" t="s">
        <v>30</v>
      </c>
    </row>
    <row r="1984" spans="2:7" ht="15" customHeight="1">
      <c r="B1984" s="51">
        <f>B1982</f>
        <v>46275</v>
      </c>
      <c r="C1984" s="52" t="s">
        <v>3042</v>
      </c>
      <c r="D1984" s="52" t="s">
        <v>352</v>
      </c>
      <c r="E1984" s="52" t="s">
        <v>2944</v>
      </c>
      <c r="F1984" s="52" t="s">
        <v>3043</v>
      </c>
      <c r="G1984" s="52" t="s">
        <v>30</v>
      </c>
    </row>
    <row r="1985" spans="2:7" ht="15" customHeight="1">
      <c r="B1985" s="51">
        <f>B1982</f>
        <v>46275</v>
      </c>
      <c r="C1985" s="52" t="s">
        <v>3004</v>
      </c>
      <c r="D1985" s="52" t="s">
        <v>213</v>
      </c>
      <c r="E1985" s="52" t="s">
        <v>2944</v>
      </c>
      <c r="F1985" s="52" t="s">
        <v>3044</v>
      </c>
      <c r="G1985" s="52" t="s">
        <v>51</v>
      </c>
    </row>
    <row r="1986" spans="2:7" ht="15" customHeight="1">
      <c r="B1986" s="51">
        <f>B1985</f>
        <v>46275</v>
      </c>
      <c r="C1986" s="52" t="s">
        <v>2167</v>
      </c>
      <c r="D1986" s="52" t="s">
        <v>52</v>
      </c>
      <c r="E1986" s="52" t="s">
        <v>2944</v>
      </c>
      <c r="F1986" s="52" t="s">
        <v>3045</v>
      </c>
      <c r="G1986" s="52" t="s">
        <v>371</v>
      </c>
    </row>
    <row r="1987" spans="2:7" ht="15" customHeight="1">
      <c r="B1987" s="51">
        <f>B1985</f>
        <v>46275</v>
      </c>
      <c r="C1987" s="52" t="s">
        <v>3046</v>
      </c>
      <c r="D1987" s="52" t="s">
        <v>2583</v>
      </c>
      <c r="E1987" s="52" t="s">
        <v>2942</v>
      </c>
      <c r="F1987" s="52" t="s">
        <v>3047</v>
      </c>
      <c r="G1987" s="52" t="s">
        <v>51</v>
      </c>
    </row>
    <row r="1988" spans="2:7" ht="15" customHeight="1">
      <c r="B1988" s="51">
        <v>46276</v>
      </c>
      <c r="C1988" s="52" t="s">
        <v>3048</v>
      </c>
      <c r="D1988" s="52" t="s">
        <v>3049</v>
      </c>
      <c r="E1988" s="52" t="s">
        <v>2942</v>
      </c>
      <c r="F1988" s="52" t="s">
        <v>3050</v>
      </c>
      <c r="G1988" s="52" t="s">
        <v>34</v>
      </c>
    </row>
    <row r="1989" spans="2:7" ht="15" customHeight="1">
      <c r="B1989" s="51">
        <v>46277</v>
      </c>
      <c r="C1989" s="52" t="s">
        <v>2167</v>
      </c>
      <c r="D1989" s="52" t="s">
        <v>207</v>
      </c>
      <c r="E1989" s="52" t="s">
        <v>3051</v>
      </c>
      <c r="F1989" s="52" t="s">
        <v>3052</v>
      </c>
      <c r="G1989" s="52" t="s">
        <v>70</v>
      </c>
    </row>
    <row r="1990" spans="2:7" ht="15" customHeight="1">
      <c r="B1990" s="51">
        <f>B1989</f>
        <v>46277</v>
      </c>
      <c r="C1990" s="52" t="s">
        <v>2167</v>
      </c>
      <c r="D1990" s="52" t="s">
        <v>3053</v>
      </c>
      <c r="E1990" s="52" t="s">
        <v>3051</v>
      </c>
      <c r="F1990" s="52" t="s">
        <v>3054</v>
      </c>
      <c r="G1990" s="52" t="s">
        <v>34</v>
      </c>
    </row>
    <row r="1991" spans="2:7" ht="15" customHeight="1">
      <c r="B1991" s="51">
        <f>B1989</f>
        <v>46277</v>
      </c>
      <c r="C1991" s="52" t="s">
        <v>2167</v>
      </c>
      <c r="D1991" s="52" t="s">
        <v>207</v>
      </c>
      <c r="E1991" s="52" t="s">
        <v>3051</v>
      </c>
      <c r="F1991" s="52" t="s">
        <v>808</v>
      </c>
      <c r="G1991" s="52" t="s">
        <v>34</v>
      </c>
    </row>
    <row r="1992" spans="2:7" ht="15" customHeight="1">
      <c r="B1992" s="51">
        <f>B1989</f>
        <v>46277</v>
      </c>
      <c r="C1992" s="70" t="s">
        <v>2167</v>
      </c>
      <c r="D1992" s="52" t="s">
        <v>15</v>
      </c>
      <c r="E1992" s="52" t="s">
        <v>3051</v>
      </c>
      <c r="F1992" s="52" t="s">
        <v>3055</v>
      </c>
      <c r="G1992" s="52"/>
    </row>
    <row r="1993" spans="2:7" ht="15" customHeight="1">
      <c r="B1993" s="44">
        <v>46279</v>
      </c>
      <c r="C1993" s="52" t="s">
        <v>3056</v>
      </c>
      <c r="D1993" s="52" t="s">
        <v>116</v>
      </c>
      <c r="E1993" s="52" t="s">
        <v>2942</v>
      </c>
      <c r="F1993" s="52" t="s">
        <v>3057</v>
      </c>
      <c r="G1993" s="52" t="s">
        <v>34</v>
      </c>
    </row>
    <row r="1994" spans="2:7" ht="15" customHeight="1">
      <c r="B1994" s="44">
        <f>B1993</f>
        <v>46279</v>
      </c>
      <c r="C1994" s="54" t="s">
        <v>492</v>
      </c>
      <c r="D1994" s="54" t="s">
        <v>3058</v>
      </c>
      <c r="E1994" s="54" t="s">
        <v>2942</v>
      </c>
      <c r="F1994" s="54" t="s">
        <v>3059</v>
      </c>
      <c r="G1994" s="54" t="s">
        <v>492</v>
      </c>
    </row>
    <row r="1995" spans="2:7" ht="15" customHeight="1">
      <c r="B1995" s="44">
        <f>B1993</f>
        <v>46279</v>
      </c>
      <c r="C1995" s="54" t="s">
        <v>3060</v>
      </c>
      <c r="D1995" s="54" t="s">
        <v>3061</v>
      </c>
      <c r="E1995" s="54" t="s">
        <v>2942</v>
      </c>
      <c r="F1995" s="54" t="s">
        <v>3062</v>
      </c>
      <c r="G1995" s="54" t="s">
        <v>3063</v>
      </c>
    </row>
    <row r="1996" spans="2:7" ht="15" customHeight="1">
      <c r="B1996" s="51">
        <v>46280</v>
      </c>
      <c r="C1996" s="34" t="s">
        <v>3064</v>
      </c>
      <c r="D1996" s="34" t="s">
        <v>1773</v>
      </c>
      <c r="E1996" s="34" t="s">
        <v>3065</v>
      </c>
      <c r="F1996" s="34" t="s">
        <v>3066</v>
      </c>
      <c r="G1996" s="34" t="s">
        <v>34</v>
      </c>
    </row>
    <row r="1997" spans="2:7" ht="15" customHeight="1">
      <c r="B1997" s="51">
        <f>B1996</f>
        <v>46280</v>
      </c>
      <c r="C1997" s="34" t="s">
        <v>3004</v>
      </c>
      <c r="D1997" s="52" t="s">
        <v>207</v>
      </c>
      <c r="E1997" s="34" t="s">
        <v>3065</v>
      </c>
      <c r="F1997" s="52" t="s">
        <v>3067</v>
      </c>
      <c r="G1997" s="34" t="s">
        <v>34</v>
      </c>
    </row>
    <row r="1998" spans="2:7" ht="15" customHeight="1">
      <c r="B1998" s="59">
        <v>46281</v>
      </c>
      <c r="C1998" s="60" t="s">
        <v>3068</v>
      </c>
      <c r="D1998" s="60" t="s">
        <v>121</v>
      </c>
      <c r="E1998" s="60" t="s">
        <v>2992</v>
      </c>
      <c r="F1998" s="60" t="s">
        <v>3069</v>
      </c>
      <c r="G1998" s="60" t="s">
        <v>51</v>
      </c>
    </row>
    <row r="1999" spans="2:7" ht="15" customHeight="1">
      <c r="B1999" s="59">
        <f>B1998</f>
        <v>46281</v>
      </c>
      <c r="C1999" s="60" t="s">
        <v>3070</v>
      </c>
      <c r="D1999" s="60" t="s">
        <v>44</v>
      </c>
      <c r="E1999" s="60" t="s">
        <v>2992</v>
      </c>
      <c r="F1999" s="60" t="s">
        <v>3071</v>
      </c>
      <c r="G1999" s="60" t="s">
        <v>51</v>
      </c>
    </row>
    <row r="2000" spans="2:7" ht="15" customHeight="1">
      <c r="B2000" s="59">
        <f>B1998</f>
        <v>46281</v>
      </c>
      <c r="C2000" s="60" t="s">
        <v>3072</v>
      </c>
      <c r="D2000" s="60" t="s">
        <v>94</v>
      </c>
      <c r="E2000" s="60" t="s">
        <v>2992</v>
      </c>
      <c r="F2000" s="60" t="s">
        <v>3073</v>
      </c>
      <c r="G2000" s="60" t="s">
        <v>51</v>
      </c>
    </row>
    <row r="2001" spans="2:7" ht="15" customHeight="1">
      <c r="B2001" s="59">
        <f>B1998</f>
        <v>46281</v>
      </c>
      <c r="C2001" s="60" t="s">
        <v>3074</v>
      </c>
      <c r="D2001" s="60" t="s">
        <v>23</v>
      </c>
      <c r="E2001" s="60" t="s">
        <v>2992</v>
      </c>
      <c r="F2001" s="60" t="s">
        <v>3075</v>
      </c>
      <c r="G2001" s="60" t="s">
        <v>51</v>
      </c>
    </row>
    <row r="2002" spans="2:7" ht="15" customHeight="1">
      <c r="B2002" s="59">
        <f>B2001</f>
        <v>46281</v>
      </c>
      <c r="C2002" s="60" t="s">
        <v>2167</v>
      </c>
      <c r="D2002" s="60" t="s">
        <v>44</v>
      </c>
      <c r="E2002" s="60" t="s">
        <v>2992</v>
      </c>
      <c r="F2002" s="60" t="s">
        <v>3076</v>
      </c>
      <c r="G2002" s="60" t="s">
        <v>64</v>
      </c>
    </row>
    <row r="2003" spans="2:7" ht="15" customHeight="1">
      <c r="B2003" s="44">
        <v>46282</v>
      </c>
      <c r="C2003" s="54" t="s">
        <v>3077</v>
      </c>
      <c r="D2003" s="54" t="s">
        <v>1860</v>
      </c>
      <c r="E2003" s="54" t="s">
        <v>2992</v>
      </c>
      <c r="F2003" s="54" t="s">
        <v>3078</v>
      </c>
      <c r="G2003" s="54" t="s">
        <v>51</v>
      </c>
    </row>
    <row r="2004" spans="2:7" ht="15" customHeight="1">
      <c r="B2004" s="44">
        <f>B2003</f>
        <v>46282</v>
      </c>
      <c r="C2004" s="54" t="s">
        <v>3079</v>
      </c>
      <c r="D2004" s="54" t="s">
        <v>1860</v>
      </c>
      <c r="E2004" s="54" t="s">
        <v>2907</v>
      </c>
      <c r="F2004" s="54" t="s">
        <v>3080</v>
      </c>
      <c r="G2004" s="54" t="s">
        <v>51</v>
      </c>
    </row>
    <row r="2005" spans="2:7" ht="15" customHeight="1">
      <c r="B2005" s="44">
        <f>B2003</f>
        <v>46282</v>
      </c>
      <c r="C2005" s="54" t="s">
        <v>3081</v>
      </c>
      <c r="D2005" s="54" t="s">
        <v>859</v>
      </c>
      <c r="E2005" s="54" t="s">
        <v>2907</v>
      </c>
      <c r="F2005" s="54" t="s">
        <v>3082</v>
      </c>
      <c r="G2005" s="54" t="s">
        <v>51</v>
      </c>
    </row>
    <row r="2006" spans="2:7" ht="15" customHeight="1">
      <c r="B2006" s="44">
        <f>B2003</f>
        <v>46282</v>
      </c>
      <c r="C2006" s="54" t="s">
        <v>3083</v>
      </c>
      <c r="D2006" s="54" t="s">
        <v>23</v>
      </c>
      <c r="E2006" s="54" t="s">
        <v>2907</v>
      </c>
      <c r="F2006" s="54" t="s">
        <v>3084</v>
      </c>
      <c r="G2006" s="54" t="s">
        <v>51</v>
      </c>
    </row>
    <row r="2007" spans="2:7" ht="15" customHeight="1">
      <c r="B2007" s="44">
        <f>B2006</f>
        <v>46282</v>
      </c>
      <c r="C2007" s="58" t="s">
        <v>3085</v>
      </c>
      <c r="D2007" s="54" t="s">
        <v>1860</v>
      </c>
      <c r="E2007" s="54" t="s">
        <v>2907</v>
      </c>
      <c r="F2007" s="54" t="s">
        <v>1790</v>
      </c>
      <c r="G2007" s="54" t="s">
        <v>51</v>
      </c>
    </row>
    <row r="2008" spans="2:7" ht="15" customHeight="1">
      <c r="B2008" s="44">
        <f>B2006</f>
        <v>46282</v>
      </c>
      <c r="C2008" s="54" t="s">
        <v>3086</v>
      </c>
      <c r="D2008" s="54" t="s">
        <v>1860</v>
      </c>
      <c r="E2008" s="54" t="s">
        <v>2907</v>
      </c>
      <c r="F2008" s="54" t="s">
        <v>3087</v>
      </c>
      <c r="G2008" s="54" t="s">
        <v>51</v>
      </c>
    </row>
    <row r="2009" spans="2:7" ht="15" customHeight="1">
      <c r="B2009" s="44">
        <v>46283</v>
      </c>
      <c r="C2009" s="54" t="s">
        <v>2923</v>
      </c>
      <c r="D2009" s="54" t="s">
        <v>462</v>
      </c>
      <c r="E2009" s="54" t="s">
        <v>2907</v>
      </c>
      <c r="F2009" s="54" t="s">
        <v>3088</v>
      </c>
      <c r="G2009" s="54" t="s">
        <v>51</v>
      </c>
    </row>
    <row r="2010" spans="2:7" ht="15" customHeight="1">
      <c r="B2010" s="44">
        <f>B2009</f>
        <v>46283</v>
      </c>
      <c r="C2010" s="54" t="s">
        <v>3089</v>
      </c>
      <c r="D2010" s="54" t="s">
        <v>42</v>
      </c>
      <c r="E2010" s="54" t="s">
        <v>2907</v>
      </c>
      <c r="F2010" s="54" t="s">
        <v>3090</v>
      </c>
      <c r="G2010" s="54" t="s">
        <v>51</v>
      </c>
    </row>
    <row r="2011" spans="2:7" ht="15" customHeight="1">
      <c r="B2011" s="44">
        <f>B2009</f>
        <v>46283</v>
      </c>
      <c r="C2011" s="54" t="s">
        <v>3091</v>
      </c>
      <c r="D2011" s="54" t="s">
        <v>202</v>
      </c>
      <c r="E2011" s="54" t="s">
        <v>3092</v>
      </c>
      <c r="F2011" s="54" t="s">
        <v>3093</v>
      </c>
      <c r="G2011" s="54" t="s">
        <v>92</v>
      </c>
    </row>
    <row r="2012" spans="2:7" ht="15" customHeight="1">
      <c r="B2012" s="44">
        <f>B2009</f>
        <v>46283</v>
      </c>
      <c r="C2012" s="54" t="s">
        <v>3091</v>
      </c>
      <c r="D2012" s="54" t="s">
        <v>42</v>
      </c>
      <c r="E2012" s="54" t="s">
        <v>3092</v>
      </c>
      <c r="F2012" s="54" t="s">
        <v>3094</v>
      </c>
      <c r="G2012" s="54" t="s">
        <v>51</v>
      </c>
    </row>
    <row r="2013" spans="2:7" ht="15" customHeight="1">
      <c r="B2013" s="44">
        <f>B2012</f>
        <v>46283</v>
      </c>
      <c r="C2013" s="58" t="s">
        <v>3095</v>
      </c>
      <c r="D2013" s="54" t="s">
        <v>1166</v>
      </c>
      <c r="E2013" s="54" t="s">
        <v>3092</v>
      </c>
      <c r="F2013" s="54" t="s">
        <v>3096</v>
      </c>
      <c r="G2013" s="54" t="s">
        <v>3097</v>
      </c>
    </row>
    <row r="2014" spans="2:7" ht="15" customHeight="1">
      <c r="B2014" s="44">
        <f>B2012</f>
        <v>46283</v>
      </c>
      <c r="C2014" s="54" t="s">
        <v>3098</v>
      </c>
      <c r="D2014" s="54" t="s">
        <v>352</v>
      </c>
      <c r="E2014" s="54" t="s">
        <v>3092</v>
      </c>
      <c r="F2014" s="54" t="s">
        <v>3099</v>
      </c>
      <c r="G2014" s="54" t="s">
        <v>92</v>
      </c>
    </row>
    <row r="2015" spans="2:7" ht="15" customHeight="1">
      <c r="B2015" s="44">
        <f>B2012</f>
        <v>46283</v>
      </c>
      <c r="C2015" s="54" t="s">
        <v>90</v>
      </c>
      <c r="D2015" s="54" t="s">
        <v>44</v>
      </c>
      <c r="E2015" s="54" t="s">
        <v>3092</v>
      </c>
      <c r="F2015" s="54" t="s">
        <v>3100</v>
      </c>
      <c r="G2015" s="54" t="s">
        <v>92</v>
      </c>
    </row>
    <row r="2016" spans="2:7" ht="15" customHeight="1">
      <c r="B2016" s="44">
        <f>B2015</f>
        <v>46283</v>
      </c>
      <c r="C2016" s="54" t="s">
        <v>3091</v>
      </c>
      <c r="D2016" s="54" t="s">
        <v>76</v>
      </c>
      <c r="E2016" s="54" t="s">
        <v>3092</v>
      </c>
      <c r="F2016" s="54" t="s">
        <v>3101</v>
      </c>
      <c r="G2016" s="54" t="s">
        <v>92</v>
      </c>
    </row>
    <row r="2017" spans="2:7" ht="15" customHeight="1">
      <c r="B2017" s="44">
        <f>B2015</f>
        <v>46283</v>
      </c>
      <c r="C2017" s="54" t="s">
        <v>92</v>
      </c>
      <c r="D2017" s="54" t="s">
        <v>3102</v>
      </c>
      <c r="E2017" s="54" t="s">
        <v>3092</v>
      </c>
      <c r="F2017" s="54" t="s">
        <v>3103</v>
      </c>
      <c r="G2017" s="54" t="s">
        <v>92</v>
      </c>
    </row>
    <row r="2018" spans="2:7" ht="15" customHeight="1">
      <c r="B2018" s="44">
        <f>B2015</f>
        <v>46283</v>
      </c>
      <c r="C2018" s="54" t="s">
        <v>34</v>
      </c>
      <c r="D2018" s="54" t="s">
        <v>261</v>
      </c>
      <c r="E2018" s="54" t="s">
        <v>3092</v>
      </c>
      <c r="F2018" s="62" t="s">
        <v>3104</v>
      </c>
      <c r="G2018" s="54" t="s">
        <v>3105</v>
      </c>
    </row>
    <row r="2019" spans="2:7" ht="15" customHeight="1">
      <c r="B2019" s="44">
        <f>B2018</f>
        <v>46283</v>
      </c>
      <c r="C2019" s="54" t="s">
        <v>3106</v>
      </c>
      <c r="D2019" s="54" t="s">
        <v>261</v>
      </c>
      <c r="E2019" s="54" t="s">
        <v>3092</v>
      </c>
      <c r="F2019" s="62" t="s">
        <v>3107</v>
      </c>
      <c r="G2019" s="54" t="s">
        <v>3106</v>
      </c>
    </row>
    <row r="2020" spans="2:7" ht="15" customHeight="1">
      <c r="B2020" s="51">
        <v>46284</v>
      </c>
      <c r="C2020" s="52" t="s">
        <v>3091</v>
      </c>
      <c r="D2020" s="52" t="s">
        <v>81</v>
      </c>
      <c r="E2020" s="52" t="s">
        <v>3092</v>
      </c>
      <c r="F2020" s="52" t="s">
        <v>3108</v>
      </c>
      <c r="G2020" s="52" t="s">
        <v>105</v>
      </c>
    </row>
    <row r="2021" spans="2:7" ht="15" customHeight="1">
      <c r="B2021" s="51">
        <f>B2020</f>
        <v>46284</v>
      </c>
      <c r="C2021" s="52" t="s">
        <v>92</v>
      </c>
      <c r="D2021" s="52" t="s">
        <v>2365</v>
      </c>
      <c r="E2021" s="52" t="s">
        <v>3092</v>
      </c>
      <c r="F2021" s="52" t="s">
        <v>3109</v>
      </c>
      <c r="G2021" s="52" t="s">
        <v>105</v>
      </c>
    </row>
    <row r="2022" spans="2:7" ht="15" customHeight="1">
      <c r="B2022" s="51">
        <f>B2020</f>
        <v>46284</v>
      </c>
      <c r="C2022" s="52" t="s">
        <v>2167</v>
      </c>
      <c r="D2022" s="52" t="s">
        <v>52</v>
      </c>
      <c r="E2022" s="52" t="s">
        <v>3110</v>
      </c>
      <c r="F2022" s="52" t="s">
        <v>3111</v>
      </c>
      <c r="G2022" s="52" t="s">
        <v>30</v>
      </c>
    </row>
    <row r="2023" spans="2:7" ht="15" customHeight="1">
      <c r="B2023" s="51">
        <f>B2020</f>
        <v>46284</v>
      </c>
      <c r="C2023" s="52" t="s">
        <v>3112</v>
      </c>
      <c r="D2023" s="52" t="s">
        <v>385</v>
      </c>
      <c r="E2023" s="52" t="s">
        <v>3110</v>
      </c>
      <c r="F2023" s="52" t="s">
        <v>3113</v>
      </c>
      <c r="G2023" s="52" t="s">
        <v>662</v>
      </c>
    </row>
    <row r="2024" spans="2:7" ht="15" customHeight="1">
      <c r="B2024" s="51">
        <f>B2023</f>
        <v>46284</v>
      </c>
      <c r="C2024" s="52" t="s">
        <v>2167</v>
      </c>
      <c r="D2024" s="52" t="s">
        <v>52</v>
      </c>
      <c r="E2024" s="52" t="s">
        <v>3110</v>
      </c>
      <c r="F2024" s="52" t="s">
        <v>3114</v>
      </c>
      <c r="G2024" s="52" t="s">
        <v>2874</v>
      </c>
    </row>
    <row r="2025" spans="2:7" ht="15" customHeight="1">
      <c r="B2025" s="51">
        <f>B2023</f>
        <v>46284</v>
      </c>
      <c r="C2025" s="52" t="s">
        <v>3115</v>
      </c>
      <c r="D2025" s="52" t="s">
        <v>456</v>
      </c>
      <c r="E2025" s="52" t="s">
        <v>3110</v>
      </c>
      <c r="F2025" s="52" t="s">
        <v>1327</v>
      </c>
      <c r="G2025" s="52" t="s">
        <v>2874</v>
      </c>
    </row>
    <row r="2026" spans="2:7" ht="15" customHeight="1">
      <c r="B2026" s="51">
        <f>B2023</f>
        <v>46284</v>
      </c>
      <c r="C2026" s="52" t="s">
        <v>2167</v>
      </c>
      <c r="D2026" s="52" t="s">
        <v>81</v>
      </c>
      <c r="E2026" s="52" t="s">
        <v>3110</v>
      </c>
      <c r="F2026" s="52" t="s">
        <v>3116</v>
      </c>
      <c r="G2026" s="52" t="s">
        <v>2874</v>
      </c>
    </row>
    <row r="2027" spans="2:7" ht="15" customHeight="1">
      <c r="B2027" s="51">
        <f>B2026</f>
        <v>46284</v>
      </c>
      <c r="C2027" s="52" t="s">
        <v>3117</v>
      </c>
      <c r="D2027" s="52" t="s">
        <v>62</v>
      </c>
      <c r="E2027" s="52" t="s">
        <v>3110</v>
      </c>
      <c r="F2027" s="52" t="s">
        <v>3118</v>
      </c>
      <c r="G2027" s="52" t="s">
        <v>187</v>
      </c>
    </row>
    <row r="2028" spans="2:7" ht="15" customHeight="1">
      <c r="B2028" s="51">
        <f>B2026</f>
        <v>46284</v>
      </c>
      <c r="C2028" s="52" t="s">
        <v>2167</v>
      </c>
      <c r="D2028" s="52" t="s">
        <v>1935</v>
      </c>
      <c r="E2028" s="52" t="s">
        <v>3110</v>
      </c>
      <c r="F2028" s="52" t="s">
        <v>1413</v>
      </c>
      <c r="G2028" s="52" t="s">
        <v>2874</v>
      </c>
    </row>
    <row r="2029" spans="2:7" ht="15" customHeight="1">
      <c r="B2029" s="51">
        <f>B2026</f>
        <v>46284</v>
      </c>
      <c r="C2029" s="52" t="s">
        <v>2167</v>
      </c>
      <c r="D2029" s="52" t="s">
        <v>385</v>
      </c>
      <c r="E2029" s="52" t="s">
        <v>3110</v>
      </c>
      <c r="F2029" s="53" t="s">
        <v>578</v>
      </c>
      <c r="G2029" s="52" t="s">
        <v>3119</v>
      </c>
    </row>
    <row r="2030" spans="2:7" ht="15" customHeight="1">
      <c r="B2030" s="51">
        <f>B2029</f>
        <v>46284</v>
      </c>
      <c r="C2030" s="52" t="s">
        <v>2167</v>
      </c>
      <c r="D2030" s="52" t="s">
        <v>389</v>
      </c>
      <c r="E2030" s="52" t="s">
        <v>3110</v>
      </c>
      <c r="F2030" s="53" t="s">
        <v>3120</v>
      </c>
      <c r="G2030" s="52" t="s">
        <v>3119</v>
      </c>
    </row>
    <row r="2031" spans="2:7" ht="15" customHeight="1">
      <c r="B2031" s="51">
        <f>B2029</f>
        <v>46284</v>
      </c>
      <c r="C2031" s="52" t="s">
        <v>3121</v>
      </c>
      <c r="D2031" s="52" t="s">
        <v>385</v>
      </c>
      <c r="E2031" s="52" t="s">
        <v>3110</v>
      </c>
      <c r="F2031" s="53" t="s">
        <v>3122</v>
      </c>
      <c r="G2031" s="52" t="s">
        <v>187</v>
      </c>
    </row>
    <row r="2032" spans="2:7" ht="15" customHeight="1">
      <c r="B2032" s="51">
        <f>B2029</f>
        <v>46284</v>
      </c>
      <c r="C2032" s="52" t="s">
        <v>3123</v>
      </c>
      <c r="D2032" s="52" t="s">
        <v>716</v>
      </c>
      <c r="E2032" s="52" t="s">
        <v>3110</v>
      </c>
      <c r="F2032" s="53" t="s">
        <v>3124</v>
      </c>
      <c r="G2032" s="52" t="s">
        <v>187</v>
      </c>
    </row>
    <row r="2033" spans="2:7" ht="15" customHeight="1">
      <c r="B2033" s="51">
        <f>B2032</f>
        <v>46284</v>
      </c>
      <c r="C2033" s="52" t="s">
        <v>3117</v>
      </c>
      <c r="D2033" s="52" t="s">
        <v>385</v>
      </c>
      <c r="E2033" s="52" t="s">
        <v>3110</v>
      </c>
      <c r="F2033" s="52" t="s">
        <v>3118</v>
      </c>
      <c r="G2033" s="52" t="s">
        <v>662</v>
      </c>
    </row>
    <row r="2034" spans="2:7" ht="15" customHeight="1">
      <c r="B2034" s="51">
        <f>B2032</f>
        <v>46284</v>
      </c>
      <c r="C2034" s="52" t="s">
        <v>3125</v>
      </c>
      <c r="D2034" s="52" t="s">
        <v>462</v>
      </c>
      <c r="E2034" s="52" t="s">
        <v>3110</v>
      </c>
      <c r="F2034" s="53" t="s">
        <v>3126</v>
      </c>
      <c r="G2034" s="52" t="s">
        <v>187</v>
      </c>
    </row>
    <row r="2035" spans="2:7" ht="15" customHeight="1">
      <c r="B2035" s="51">
        <f>B2032</f>
        <v>46284</v>
      </c>
      <c r="C2035" s="52" t="s">
        <v>3127</v>
      </c>
      <c r="D2035" s="52" t="s">
        <v>459</v>
      </c>
      <c r="E2035" s="52" t="s">
        <v>3110</v>
      </c>
      <c r="F2035" s="53" t="s">
        <v>3128</v>
      </c>
      <c r="G2035" s="52" t="s">
        <v>662</v>
      </c>
    </row>
    <row r="2036" spans="2:7" ht="15" customHeight="1">
      <c r="B2036" s="51">
        <f>B2035</f>
        <v>46284</v>
      </c>
      <c r="C2036" s="52" t="s">
        <v>3129</v>
      </c>
      <c r="D2036" s="52" t="s">
        <v>456</v>
      </c>
      <c r="E2036" s="52" t="s">
        <v>3110</v>
      </c>
      <c r="F2036" s="52" t="s">
        <v>3130</v>
      </c>
      <c r="G2036" s="52" t="s">
        <v>187</v>
      </c>
    </row>
    <row r="2037" spans="2:7" ht="15" customHeight="1">
      <c r="B2037" s="51">
        <f>B2035</f>
        <v>46284</v>
      </c>
      <c r="C2037" s="52" t="s">
        <v>3131</v>
      </c>
      <c r="D2037" s="52" t="s">
        <v>385</v>
      </c>
      <c r="E2037" s="52" t="s">
        <v>3110</v>
      </c>
      <c r="F2037" s="52" t="s">
        <v>3132</v>
      </c>
      <c r="G2037" s="52" t="s">
        <v>187</v>
      </c>
    </row>
    <row r="2038" spans="2:7" ht="15" customHeight="1">
      <c r="B2038" s="51">
        <f>B2035</f>
        <v>46284</v>
      </c>
      <c r="C2038" s="52" t="s">
        <v>2167</v>
      </c>
      <c r="D2038" s="52" t="s">
        <v>62</v>
      </c>
      <c r="E2038" s="52" t="s">
        <v>3110</v>
      </c>
      <c r="F2038" s="52" t="s">
        <v>3133</v>
      </c>
      <c r="G2038" s="52" t="s">
        <v>371</v>
      </c>
    </row>
    <row r="2039" spans="2:7" ht="15" customHeight="1">
      <c r="B2039" s="51">
        <f>B2038</f>
        <v>46284</v>
      </c>
      <c r="C2039" s="52" t="s">
        <v>2167</v>
      </c>
      <c r="D2039" s="52" t="s">
        <v>213</v>
      </c>
      <c r="E2039" s="52" t="s">
        <v>3110</v>
      </c>
      <c r="F2039" s="52" t="s">
        <v>3133</v>
      </c>
      <c r="G2039" s="52" t="s">
        <v>371</v>
      </c>
    </row>
    <row r="2040" spans="2:7" ht="15" customHeight="1">
      <c r="B2040" s="51">
        <v>46285</v>
      </c>
      <c r="C2040" s="52" t="s">
        <v>2701</v>
      </c>
      <c r="D2040" s="52" t="s">
        <v>44</v>
      </c>
      <c r="E2040" s="52" t="s">
        <v>3134</v>
      </c>
      <c r="F2040" s="52" t="s">
        <v>3135</v>
      </c>
      <c r="G2040" s="52" t="s">
        <v>70</v>
      </c>
    </row>
    <row r="2041" spans="2:7" ht="15" customHeight="1">
      <c r="B2041" s="51">
        <f>B2040</f>
        <v>46285</v>
      </c>
      <c r="C2041" s="52" t="s">
        <v>2167</v>
      </c>
      <c r="D2041" s="52" t="s">
        <v>62</v>
      </c>
      <c r="E2041" s="52" t="s">
        <v>3134</v>
      </c>
      <c r="F2041" s="52" t="s">
        <v>578</v>
      </c>
      <c r="G2041" s="52" t="s">
        <v>2874</v>
      </c>
    </row>
    <row r="2042" spans="2:7" ht="15" customHeight="1">
      <c r="B2042" s="51">
        <f>B2040</f>
        <v>46285</v>
      </c>
      <c r="C2042" s="52" t="s">
        <v>3136</v>
      </c>
      <c r="D2042" s="52" t="s">
        <v>52</v>
      </c>
      <c r="E2042" s="52" t="s">
        <v>3134</v>
      </c>
      <c r="F2042" s="52" t="s">
        <v>3137</v>
      </c>
      <c r="G2042" s="52" t="s">
        <v>83</v>
      </c>
    </row>
    <row r="2043" spans="2:7" ht="15" customHeight="1">
      <c r="B2043" s="51">
        <f>B2040</f>
        <v>46285</v>
      </c>
      <c r="C2043" s="52" t="s">
        <v>3138</v>
      </c>
      <c r="D2043" s="52" t="s">
        <v>796</v>
      </c>
      <c r="E2043" s="52" t="s">
        <v>3134</v>
      </c>
      <c r="F2043" s="52" t="s">
        <v>3139</v>
      </c>
      <c r="G2043" s="52" t="s">
        <v>2874</v>
      </c>
    </row>
    <row r="2044" spans="2:7" ht="15" customHeight="1">
      <c r="B2044" s="51">
        <f>B2043</f>
        <v>46285</v>
      </c>
      <c r="C2044" s="52" t="s">
        <v>3140</v>
      </c>
      <c r="D2044" s="52" t="s">
        <v>44</v>
      </c>
      <c r="E2044" s="52" t="s">
        <v>3134</v>
      </c>
      <c r="F2044" s="52" t="s">
        <v>3141</v>
      </c>
      <c r="G2044" s="52" t="s">
        <v>70</v>
      </c>
    </row>
    <row r="2045" spans="2:7" ht="15" customHeight="1">
      <c r="B2045" s="51">
        <f>B2043</f>
        <v>46285</v>
      </c>
      <c r="C2045" s="52" t="s">
        <v>3142</v>
      </c>
      <c r="D2045" s="52" t="s">
        <v>19</v>
      </c>
      <c r="E2045" s="52" t="s">
        <v>3134</v>
      </c>
      <c r="F2045" s="52" t="s">
        <v>3143</v>
      </c>
      <c r="G2045" s="52" t="s">
        <v>83</v>
      </c>
    </row>
    <row r="2046" spans="2:7" ht="15" customHeight="1">
      <c r="B2046" s="51">
        <f>B2043</f>
        <v>46285</v>
      </c>
      <c r="C2046" s="52" t="s">
        <v>2167</v>
      </c>
      <c r="D2046" s="52" t="s">
        <v>44</v>
      </c>
      <c r="E2046" s="52" t="s">
        <v>3134</v>
      </c>
      <c r="F2046" s="52" t="s">
        <v>3144</v>
      </c>
      <c r="G2046" s="52" t="s">
        <v>70</v>
      </c>
    </row>
    <row r="2047" spans="2:7" ht="15" customHeight="1">
      <c r="B2047" s="51">
        <f>B2046</f>
        <v>46285</v>
      </c>
      <c r="C2047" s="52" t="s">
        <v>3145</v>
      </c>
      <c r="D2047" s="52" t="s">
        <v>52</v>
      </c>
      <c r="E2047" s="52" t="s">
        <v>3134</v>
      </c>
      <c r="F2047" s="52" t="s">
        <v>3120</v>
      </c>
      <c r="G2047" s="52" t="s">
        <v>2874</v>
      </c>
    </row>
    <row r="2048" spans="2:7" ht="15" customHeight="1">
      <c r="B2048" s="51">
        <f>B2046</f>
        <v>46285</v>
      </c>
      <c r="C2048" s="52" t="s">
        <v>2556</v>
      </c>
      <c r="D2048" s="52" t="s">
        <v>44</v>
      </c>
      <c r="E2048" s="52" t="s">
        <v>3134</v>
      </c>
      <c r="F2048" s="52" t="s">
        <v>3146</v>
      </c>
      <c r="G2048" s="52" t="s">
        <v>70</v>
      </c>
    </row>
    <row r="2049" spans="2:7" ht="15" customHeight="1">
      <c r="B2049" s="51">
        <f>B2046</f>
        <v>46285</v>
      </c>
      <c r="C2049" s="52" t="s">
        <v>3147</v>
      </c>
      <c r="D2049" s="52" t="s">
        <v>3148</v>
      </c>
      <c r="E2049" s="52" t="s">
        <v>3134</v>
      </c>
      <c r="F2049" s="53" t="s">
        <v>3149</v>
      </c>
      <c r="G2049" s="52" t="s">
        <v>187</v>
      </c>
    </row>
    <row r="2050" spans="2:7" ht="15" customHeight="1">
      <c r="B2050" s="51">
        <f>B2049</f>
        <v>46285</v>
      </c>
      <c r="C2050" s="52" t="s">
        <v>2799</v>
      </c>
      <c r="D2050" s="52" t="s">
        <v>456</v>
      </c>
      <c r="E2050" s="52" t="s">
        <v>3134</v>
      </c>
      <c r="F2050" s="53" t="s">
        <v>3150</v>
      </c>
      <c r="G2050" s="52" t="s">
        <v>187</v>
      </c>
    </row>
    <row r="2051" spans="2:7" ht="15" customHeight="1">
      <c r="B2051" s="51">
        <f>B2049</f>
        <v>46285</v>
      </c>
      <c r="C2051" s="52" t="s">
        <v>2167</v>
      </c>
      <c r="D2051" s="52" t="s">
        <v>385</v>
      </c>
      <c r="E2051" s="52" t="s">
        <v>3151</v>
      </c>
      <c r="F2051" s="52" t="s">
        <v>3152</v>
      </c>
      <c r="G2051" s="52" t="s">
        <v>41</v>
      </c>
    </row>
    <row r="2052" spans="2:7" ht="15" customHeight="1">
      <c r="B2052" s="51">
        <f>B2049</f>
        <v>46285</v>
      </c>
      <c r="C2052" s="52" t="s">
        <v>3153</v>
      </c>
      <c r="D2052" s="52" t="s">
        <v>62</v>
      </c>
      <c r="E2052" s="52" t="s">
        <v>3151</v>
      </c>
      <c r="F2052" s="53" t="s">
        <v>3154</v>
      </c>
      <c r="G2052" s="52" t="s">
        <v>83</v>
      </c>
    </row>
    <row r="2053" spans="2:7" ht="15" customHeight="1">
      <c r="B2053" s="51">
        <f>B2052</f>
        <v>46285</v>
      </c>
      <c r="C2053" s="52" t="s">
        <v>3155</v>
      </c>
      <c r="D2053" s="52" t="s">
        <v>256</v>
      </c>
      <c r="E2053" s="52" t="s">
        <v>3151</v>
      </c>
      <c r="F2053" s="52" t="s">
        <v>3156</v>
      </c>
      <c r="G2053" s="52" t="s">
        <v>51</v>
      </c>
    </row>
    <row r="2054" spans="2:7" ht="15" customHeight="1">
      <c r="B2054" s="51">
        <f>B2052</f>
        <v>46285</v>
      </c>
      <c r="C2054" s="52" t="s">
        <v>3157</v>
      </c>
      <c r="D2054" s="52" t="s">
        <v>385</v>
      </c>
      <c r="E2054" s="52" t="s">
        <v>3151</v>
      </c>
      <c r="F2054" s="52" t="s">
        <v>3158</v>
      </c>
      <c r="G2054" s="52" t="s">
        <v>51</v>
      </c>
    </row>
    <row r="2055" spans="2:7" ht="15" customHeight="1">
      <c r="B2055" s="51">
        <f>B2052</f>
        <v>46285</v>
      </c>
      <c r="C2055" s="52" t="s">
        <v>3159</v>
      </c>
      <c r="D2055" s="52" t="s">
        <v>44</v>
      </c>
      <c r="E2055" s="52" t="s">
        <v>3151</v>
      </c>
      <c r="F2055" s="52" t="s">
        <v>2860</v>
      </c>
      <c r="G2055" s="52" t="s">
        <v>51</v>
      </c>
    </row>
    <row r="2056" spans="2:7" ht="15" customHeight="1">
      <c r="B2056" s="51">
        <f>B2055</f>
        <v>46285</v>
      </c>
      <c r="C2056" s="52" t="s">
        <v>3160</v>
      </c>
      <c r="D2056" s="52" t="s">
        <v>633</v>
      </c>
      <c r="E2056" s="52" t="s">
        <v>3151</v>
      </c>
      <c r="F2056" s="52" t="s">
        <v>3161</v>
      </c>
      <c r="G2056" s="52" t="s">
        <v>51</v>
      </c>
    </row>
    <row r="2057" spans="2:7" ht="15" customHeight="1">
      <c r="B2057" s="51">
        <f>B2055</f>
        <v>46285</v>
      </c>
      <c r="C2057" s="52" t="s">
        <v>3153</v>
      </c>
      <c r="D2057" s="52" t="s">
        <v>19</v>
      </c>
      <c r="E2057" s="52" t="s">
        <v>3151</v>
      </c>
      <c r="F2057" s="33" t="s">
        <v>3162</v>
      </c>
      <c r="G2057" s="52" t="s">
        <v>83</v>
      </c>
    </row>
    <row r="2058" spans="2:7" ht="15" customHeight="1">
      <c r="B2058" s="51">
        <f>B2055</f>
        <v>46285</v>
      </c>
      <c r="C2058" s="52" t="s">
        <v>3163</v>
      </c>
      <c r="D2058" s="52" t="s">
        <v>62</v>
      </c>
      <c r="E2058" s="52" t="s">
        <v>3151</v>
      </c>
      <c r="F2058" s="52" t="s">
        <v>3164</v>
      </c>
      <c r="G2058" s="52" t="s">
        <v>51</v>
      </c>
    </row>
    <row r="2059" spans="2:7" ht="15" customHeight="1">
      <c r="B2059" s="51">
        <f>B2058</f>
        <v>46285</v>
      </c>
      <c r="C2059" s="52" t="s">
        <v>3165</v>
      </c>
      <c r="D2059" s="52" t="s">
        <v>507</v>
      </c>
      <c r="E2059" s="52" t="s">
        <v>3151</v>
      </c>
      <c r="F2059" s="52" t="s">
        <v>3166</v>
      </c>
      <c r="G2059" s="52" t="s">
        <v>51</v>
      </c>
    </row>
    <row r="2060" spans="2:7" ht="15" customHeight="1">
      <c r="B2060" s="51">
        <f>B2058</f>
        <v>46285</v>
      </c>
      <c r="C2060" s="52" t="s">
        <v>3167</v>
      </c>
      <c r="D2060" s="52" t="s">
        <v>44</v>
      </c>
      <c r="E2060" s="52" t="s">
        <v>3151</v>
      </c>
      <c r="F2060" s="52" t="s">
        <v>3168</v>
      </c>
      <c r="G2060" s="52" t="s">
        <v>51</v>
      </c>
    </row>
    <row r="2061" spans="2:7" ht="15" customHeight="1">
      <c r="B2061" s="51">
        <v>46286</v>
      </c>
      <c r="C2061" s="52" t="s">
        <v>3169</v>
      </c>
      <c r="D2061" s="52" t="s">
        <v>3170</v>
      </c>
      <c r="E2061" s="52" t="s">
        <v>3151</v>
      </c>
      <c r="F2061" s="52" t="s">
        <v>3171</v>
      </c>
      <c r="G2061" s="52" t="s">
        <v>51</v>
      </c>
    </row>
    <row r="2062" spans="2:7" ht="15" customHeight="1">
      <c r="B2062" s="51">
        <v>46286</v>
      </c>
      <c r="C2062" s="52" t="s">
        <v>3172</v>
      </c>
      <c r="D2062" s="52" t="s">
        <v>385</v>
      </c>
      <c r="E2062" s="52" t="s">
        <v>3151</v>
      </c>
      <c r="F2062" s="52" t="s">
        <v>3173</v>
      </c>
      <c r="G2062" s="52" t="s">
        <v>51</v>
      </c>
    </row>
    <row r="2063" spans="2:7" ht="15" customHeight="1">
      <c r="B2063" s="51">
        <v>46286</v>
      </c>
      <c r="C2063" s="52" t="s">
        <v>3174</v>
      </c>
      <c r="D2063" s="52" t="s">
        <v>394</v>
      </c>
      <c r="E2063" s="52" t="s">
        <v>2907</v>
      </c>
      <c r="F2063" s="52" t="s">
        <v>3175</v>
      </c>
      <c r="G2063" s="52" t="s">
        <v>51</v>
      </c>
    </row>
    <row r="2064" spans="2:7" ht="15" customHeight="1">
      <c r="B2064" s="51">
        <v>46286</v>
      </c>
      <c r="C2064" s="52" t="s">
        <v>3176</v>
      </c>
      <c r="D2064" s="52" t="s">
        <v>385</v>
      </c>
      <c r="E2064" s="52" t="s">
        <v>2907</v>
      </c>
      <c r="F2064" s="52" t="s">
        <v>3177</v>
      </c>
      <c r="G2064" s="52" t="s">
        <v>51</v>
      </c>
    </row>
    <row r="2065" spans="2:7" ht="15" customHeight="1">
      <c r="B2065" s="51">
        <v>46286</v>
      </c>
      <c r="C2065" s="52" t="s">
        <v>3178</v>
      </c>
      <c r="D2065" s="52" t="s">
        <v>1860</v>
      </c>
      <c r="E2065" s="52" t="s">
        <v>2907</v>
      </c>
      <c r="F2065" s="52" t="s">
        <v>3179</v>
      </c>
      <c r="G2065" s="52" t="s">
        <v>51</v>
      </c>
    </row>
    <row r="2066" spans="2:7" ht="15" customHeight="1">
      <c r="B2066" s="51">
        <v>46286</v>
      </c>
      <c r="C2066" s="52" t="s">
        <v>3180</v>
      </c>
      <c r="D2066" s="52" t="s">
        <v>459</v>
      </c>
      <c r="E2066" s="52" t="s">
        <v>2907</v>
      </c>
      <c r="F2066" s="52" t="s">
        <v>3181</v>
      </c>
      <c r="G2066" s="52" t="s">
        <v>51</v>
      </c>
    </row>
    <row r="2067" spans="2:7" ht="15" customHeight="1">
      <c r="B2067" s="51">
        <v>46286</v>
      </c>
      <c r="C2067" s="52" t="s">
        <v>3182</v>
      </c>
      <c r="D2067" s="52" t="s">
        <v>1860</v>
      </c>
      <c r="E2067" s="52" t="s">
        <v>2907</v>
      </c>
      <c r="F2067" s="52" t="s">
        <v>3183</v>
      </c>
      <c r="G2067" s="52" t="s">
        <v>51</v>
      </c>
    </row>
    <row r="2068" spans="2:7" ht="15" customHeight="1">
      <c r="B2068" s="51">
        <v>46286</v>
      </c>
      <c r="C2068" s="52" t="s">
        <v>3184</v>
      </c>
      <c r="D2068" s="52" t="s">
        <v>52</v>
      </c>
      <c r="E2068" s="52" t="s">
        <v>2907</v>
      </c>
      <c r="F2068" s="52" t="s">
        <v>3185</v>
      </c>
      <c r="G2068" s="52" t="s">
        <v>51</v>
      </c>
    </row>
    <row r="2069" spans="2:7" ht="15" customHeight="1">
      <c r="B2069" s="51">
        <v>46286</v>
      </c>
      <c r="C2069" s="52" t="s">
        <v>3186</v>
      </c>
      <c r="D2069" s="52" t="s">
        <v>38</v>
      </c>
      <c r="E2069" s="52" t="s">
        <v>2907</v>
      </c>
      <c r="F2069" s="52" t="s">
        <v>3187</v>
      </c>
      <c r="G2069" s="52" t="s">
        <v>51</v>
      </c>
    </row>
    <row r="2070" spans="2:7" ht="15" customHeight="1">
      <c r="B2070" s="51">
        <v>46287</v>
      </c>
      <c r="C2070" s="52" t="s">
        <v>3188</v>
      </c>
      <c r="D2070" s="52" t="s">
        <v>42</v>
      </c>
      <c r="E2070" s="52" t="s">
        <v>2907</v>
      </c>
      <c r="F2070" s="52" t="s">
        <v>1973</v>
      </c>
      <c r="G2070" s="52" t="s">
        <v>51</v>
      </c>
    </row>
    <row r="2071" spans="2:7" ht="15" customHeight="1">
      <c r="B2071" s="51">
        <v>46287</v>
      </c>
      <c r="C2071" s="52" t="s">
        <v>3189</v>
      </c>
      <c r="D2071" s="52" t="s">
        <v>42</v>
      </c>
      <c r="E2071" s="52" t="s">
        <v>2907</v>
      </c>
      <c r="F2071" s="52" t="s">
        <v>3190</v>
      </c>
      <c r="G2071" s="52" t="s">
        <v>51</v>
      </c>
    </row>
    <row r="2072" spans="2:7" ht="15" customHeight="1">
      <c r="B2072" s="51">
        <v>46287</v>
      </c>
      <c r="C2072" s="52" t="s">
        <v>3191</v>
      </c>
      <c r="D2072" s="52" t="s">
        <v>3192</v>
      </c>
      <c r="E2072" s="52" t="s">
        <v>2907</v>
      </c>
      <c r="F2072" s="52" t="s">
        <v>3193</v>
      </c>
      <c r="G2072" s="52" t="s">
        <v>51</v>
      </c>
    </row>
    <row r="2073" spans="2:7" ht="15" customHeight="1">
      <c r="B2073" s="51">
        <v>46287</v>
      </c>
      <c r="C2073" s="52" t="s">
        <v>2327</v>
      </c>
      <c r="D2073" s="52" t="s">
        <v>261</v>
      </c>
      <c r="E2073" s="52" t="s">
        <v>3194</v>
      </c>
      <c r="F2073" s="52" t="s">
        <v>3195</v>
      </c>
      <c r="G2073" s="52" t="s">
        <v>30</v>
      </c>
    </row>
    <row r="2074" spans="2:7" ht="15" customHeight="1">
      <c r="B2074" s="51">
        <v>46287</v>
      </c>
      <c r="C2074" s="52" t="s">
        <v>3196</v>
      </c>
      <c r="D2074" s="52" t="s">
        <v>403</v>
      </c>
      <c r="E2074" s="52" t="s">
        <v>3194</v>
      </c>
      <c r="F2074" s="52" t="s">
        <v>3197</v>
      </c>
      <c r="G2074" s="52" t="s">
        <v>51</v>
      </c>
    </row>
    <row r="2075" spans="2:7" ht="15" customHeight="1">
      <c r="B2075" s="51">
        <v>46287</v>
      </c>
      <c r="C2075" s="52" t="s">
        <v>3198</v>
      </c>
      <c r="D2075" s="52" t="s">
        <v>62</v>
      </c>
      <c r="E2075" s="52" t="s">
        <v>3194</v>
      </c>
      <c r="F2075" s="52" t="s">
        <v>3199</v>
      </c>
      <c r="G2075" s="52" t="s">
        <v>51</v>
      </c>
    </row>
    <row r="2076" spans="2:7" ht="15" customHeight="1">
      <c r="B2076" s="51">
        <v>46287</v>
      </c>
      <c r="C2076" s="52" t="s">
        <v>1331</v>
      </c>
      <c r="D2076" s="52" t="s">
        <v>596</v>
      </c>
      <c r="E2076" s="52" t="s">
        <v>3194</v>
      </c>
      <c r="F2076" s="52" t="s">
        <v>3200</v>
      </c>
      <c r="G2076" s="52" t="s">
        <v>30</v>
      </c>
    </row>
    <row r="2077" spans="2:7" ht="15" customHeight="1">
      <c r="B2077" s="51">
        <v>46287</v>
      </c>
      <c r="C2077" s="52" t="s">
        <v>2339</v>
      </c>
      <c r="D2077" s="52" t="s">
        <v>834</v>
      </c>
      <c r="E2077" s="52" t="s">
        <v>3194</v>
      </c>
      <c r="F2077" s="52" t="s">
        <v>3201</v>
      </c>
      <c r="G2077" s="52" t="s">
        <v>371</v>
      </c>
    </row>
    <row r="2078" spans="2:7" ht="15" customHeight="1">
      <c r="B2078" s="51">
        <v>46287</v>
      </c>
      <c r="C2078" s="52" t="s">
        <v>1331</v>
      </c>
      <c r="D2078" s="52" t="s">
        <v>456</v>
      </c>
      <c r="E2078" s="52" t="s">
        <v>3194</v>
      </c>
      <c r="F2078" s="52" t="s">
        <v>3202</v>
      </c>
      <c r="G2078" s="52" t="s">
        <v>30</v>
      </c>
    </row>
    <row r="2079" spans="2:7" ht="15" customHeight="1">
      <c r="B2079" s="51">
        <v>46287</v>
      </c>
      <c r="C2079" s="52" t="s">
        <v>1331</v>
      </c>
      <c r="D2079" s="52" t="s">
        <v>2754</v>
      </c>
      <c r="E2079" s="52" t="s">
        <v>3194</v>
      </c>
      <c r="F2079" s="52" t="s">
        <v>3203</v>
      </c>
      <c r="G2079" s="52" t="s">
        <v>70</v>
      </c>
    </row>
    <row r="2080" spans="2:7" ht="15" customHeight="1">
      <c r="B2080" s="51">
        <v>46287</v>
      </c>
      <c r="C2080" s="52" t="s">
        <v>1331</v>
      </c>
      <c r="D2080" s="52" t="s">
        <v>103</v>
      </c>
      <c r="E2080" s="52" t="s">
        <v>3194</v>
      </c>
      <c r="F2080" s="52" t="s">
        <v>3204</v>
      </c>
      <c r="G2080" s="52" t="s">
        <v>70</v>
      </c>
    </row>
    <row r="2081" spans="2:7" ht="15" customHeight="1">
      <c r="B2081" s="51">
        <v>46287</v>
      </c>
      <c r="C2081" s="52" t="s">
        <v>2481</v>
      </c>
      <c r="D2081" s="52" t="s">
        <v>352</v>
      </c>
      <c r="E2081" s="52" t="s">
        <v>3194</v>
      </c>
      <c r="F2081" s="52" t="s">
        <v>312</v>
      </c>
      <c r="G2081" s="52" t="s">
        <v>51</v>
      </c>
    </row>
    <row r="2082" spans="2:7" ht="15" customHeight="1">
      <c r="B2082" s="51">
        <v>46287</v>
      </c>
      <c r="C2082" s="52" t="s">
        <v>176</v>
      </c>
      <c r="D2082" s="52" t="s">
        <v>94</v>
      </c>
      <c r="E2082" s="52" t="s">
        <v>3194</v>
      </c>
      <c r="F2082" s="52" t="s">
        <v>3205</v>
      </c>
      <c r="G2082" s="52" t="s">
        <v>237</v>
      </c>
    </row>
    <row r="2083" spans="2:7" ht="15" customHeight="1">
      <c r="B2083" s="51">
        <v>46287</v>
      </c>
      <c r="C2083" s="52" t="s">
        <v>3198</v>
      </c>
      <c r="D2083" s="52" t="s">
        <v>44</v>
      </c>
      <c r="E2083" s="52" t="s">
        <v>3194</v>
      </c>
      <c r="F2083" s="52" t="s">
        <v>3206</v>
      </c>
      <c r="G2083" s="52" t="s">
        <v>51</v>
      </c>
    </row>
    <row r="2084" spans="2:7" ht="15" customHeight="1">
      <c r="B2084" s="51">
        <v>46287</v>
      </c>
      <c r="C2084" s="52" t="s">
        <v>176</v>
      </c>
      <c r="D2084" s="52" t="s">
        <v>44</v>
      </c>
      <c r="E2084" s="52" t="s">
        <v>3194</v>
      </c>
      <c r="F2084" s="52" t="s">
        <v>3207</v>
      </c>
      <c r="G2084" s="52" t="s">
        <v>30</v>
      </c>
    </row>
    <row r="2085" spans="2:7" ht="15" customHeight="1">
      <c r="B2085" s="51">
        <v>46287</v>
      </c>
      <c r="C2085" s="52" t="s">
        <v>3196</v>
      </c>
      <c r="D2085" s="52" t="s">
        <v>910</v>
      </c>
      <c r="E2085" s="52" t="s">
        <v>3194</v>
      </c>
      <c r="F2085" s="52" t="s">
        <v>3208</v>
      </c>
      <c r="G2085" s="52" t="s">
        <v>51</v>
      </c>
    </row>
    <row r="2086" spans="2:7" ht="15" customHeight="1">
      <c r="B2086" s="51">
        <v>46287</v>
      </c>
      <c r="C2086" s="52" t="s">
        <v>35</v>
      </c>
      <c r="D2086" s="52" t="s">
        <v>62</v>
      </c>
      <c r="E2086" s="52" t="s">
        <v>3194</v>
      </c>
      <c r="F2086" s="52" t="s">
        <v>2617</v>
      </c>
      <c r="G2086" s="52" t="s">
        <v>237</v>
      </c>
    </row>
    <row r="2087" spans="2:7" ht="15" customHeight="1">
      <c r="B2087" s="51">
        <v>46287</v>
      </c>
      <c r="C2087" s="52" t="s">
        <v>1331</v>
      </c>
      <c r="D2087" s="52" t="s">
        <v>10</v>
      </c>
      <c r="E2087" s="52" t="s">
        <v>3194</v>
      </c>
      <c r="F2087" s="52" t="s">
        <v>3209</v>
      </c>
      <c r="G2087" s="52" t="s">
        <v>70</v>
      </c>
    </row>
    <row r="2088" spans="2:7" ht="15" customHeight="1">
      <c r="B2088" s="51">
        <v>46287</v>
      </c>
      <c r="C2088" s="52" t="s">
        <v>2161</v>
      </c>
      <c r="D2088" s="52" t="s">
        <v>459</v>
      </c>
      <c r="E2088" s="52" t="s">
        <v>3210</v>
      </c>
      <c r="F2088" s="52" t="s">
        <v>3211</v>
      </c>
      <c r="G2088" s="52" t="s">
        <v>70</v>
      </c>
    </row>
    <row r="2089" spans="2:7" ht="15" customHeight="1">
      <c r="B2089" s="51">
        <v>46287</v>
      </c>
      <c r="C2089" s="52" t="s">
        <v>3212</v>
      </c>
      <c r="D2089" s="52" t="s">
        <v>44</v>
      </c>
      <c r="E2089" s="52" t="s">
        <v>3210</v>
      </c>
      <c r="F2089" s="52" t="s">
        <v>3213</v>
      </c>
      <c r="G2089" s="52" t="s">
        <v>70</v>
      </c>
    </row>
    <row r="2090" spans="2:7" ht="15" customHeight="1">
      <c r="B2090" s="51">
        <v>46287</v>
      </c>
      <c r="C2090" s="52" t="s">
        <v>3214</v>
      </c>
      <c r="D2090" s="52" t="s">
        <v>570</v>
      </c>
      <c r="E2090" s="52" t="s">
        <v>3210</v>
      </c>
      <c r="F2090" s="53" t="s">
        <v>3215</v>
      </c>
      <c r="G2090" s="52" t="s">
        <v>187</v>
      </c>
    </row>
    <row r="2091" spans="2:7" ht="15" customHeight="1">
      <c r="B2091" s="51">
        <v>46288</v>
      </c>
      <c r="C2091" s="52" t="s">
        <v>27</v>
      </c>
      <c r="D2091" s="52" t="s">
        <v>3216</v>
      </c>
      <c r="E2091" s="52" t="s">
        <v>3217</v>
      </c>
      <c r="F2091" s="52" t="s">
        <v>3218</v>
      </c>
      <c r="G2091" s="52" t="s">
        <v>83</v>
      </c>
    </row>
    <row r="2092" spans="2:7" ht="15" customHeight="1">
      <c r="B2092" s="51">
        <v>46288</v>
      </c>
      <c r="C2092" s="52" t="s">
        <v>27</v>
      </c>
      <c r="D2092" s="52" t="s">
        <v>23</v>
      </c>
      <c r="E2092" s="52" t="s">
        <v>3217</v>
      </c>
      <c r="F2092" s="52" t="s">
        <v>3219</v>
      </c>
      <c r="G2092" s="52"/>
    </row>
    <row r="2093" spans="2:7" ht="15" customHeight="1">
      <c r="B2093" s="51">
        <v>46288</v>
      </c>
      <c r="C2093" s="52" t="s">
        <v>27</v>
      </c>
      <c r="D2093" s="52" t="s">
        <v>42</v>
      </c>
      <c r="E2093" s="52" t="s">
        <v>3217</v>
      </c>
      <c r="F2093" s="52" t="s">
        <v>3220</v>
      </c>
      <c r="G2093" s="52" t="s">
        <v>83</v>
      </c>
    </row>
    <row r="2094" spans="2:7" ht="15" customHeight="1">
      <c r="B2094" s="51">
        <v>46289</v>
      </c>
      <c r="C2094" s="52" t="s">
        <v>3221</v>
      </c>
      <c r="D2094" s="52" t="s">
        <v>385</v>
      </c>
      <c r="E2094" s="52" t="s">
        <v>3222</v>
      </c>
      <c r="F2094" s="52" t="s">
        <v>3223</v>
      </c>
      <c r="G2094" s="52" t="s">
        <v>51</v>
      </c>
    </row>
    <row r="2095" spans="2:7" ht="15" customHeight="1">
      <c r="B2095" s="51">
        <v>46289</v>
      </c>
      <c r="C2095" s="52" t="s">
        <v>2167</v>
      </c>
      <c r="D2095" s="52" t="s">
        <v>23</v>
      </c>
      <c r="E2095" s="52" t="s">
        <v>3222</v>
      </c>
      <c r="F2095" s="52" t="s">
        <v>3224</v>
      </c>
      <c r="G2095" s="52" t="s">
        <v>54</v>
      </c>
    </row>
    <row r="2096" spans="2:7" ht="15" customHeight="1">
      <c r="B2096" s="51">
        <v>46289</v>
      </c>
      <c r="C2096" s="52" t="s">
        <v>2167</v>
      </c>
      <c r="D2096" s="52" t="s">
        <v>62</v>
      </c>
      <c r="E2096" s="52" t="s">
        <v>3222</v>
      </c>
      <c r="F2096" s="52" t="s">
        <v>3225</v>
      </c>
      <c r="G2096" s="52" t="s">
        <v>64</v>
      </c>
    </row>
    <row r="2097" spans="2:7" ht="15" customHeight="1">
      <c r="B2097" s="51">
        <v>46289</v>
      </c>
      <c r="C2097" s="52" t="s">
        <v>3226</v>
      </c>
      <c r="D2097" s="52" t="s">
        <v>3227</v>
      </c>
      <c r="E2097" s="52" t="s">
        <v>3222</v>
      </c>
      <c r="F2097" s="52" t="s">
        <v>3228</v>
      </c>
      <c r="G2097" s="52" t="s">
        <v>51</v>
      </c>
    </row>
    <row r="2098" spans="2:7" ht="15" customHeight="1">
      <c r="B2098" s="51">
        <v>46289</v>
      </c>
      <c r="C2098" s="52" t="s">
        <v>3025</v>
      </c>
      <c r="D2098" s="52" t="s">
        <v>385</v>
      </c>
      <c r="E2098" s="52" t="s">
        <v>3222</v>
      </c>
      <c r="F2098" s="52" t="s">
        <v>3229</v>
      </c>
      <c r="G2098" s="52" t="s">
        <v>51</v>
      </c>
    </row>
    <row r="2099" spans="2:7" ht="15" customHeight="1">
      <c r="B2099" s="51">
        <v>46289</v>
      </c>
      <c r="C2099" s="52" t="s">
        <v>2167</v>
      </c>
      <c r="D2099" s="52" t="s">
        <v>3230</v>
      </c>
      <c r="E2099" s="52" t="s">
        <v>3222</v>
      </c>
      <c r="F2099" s="52" t="s">
        <v>1790</v>
      </c>
      <c r="G2099" s="52" t="s">
        <v>21</v>
      </c>
    </row>
    <row r="2100" spans="2:7" ht="15" customHeight="1">
      <c r="B2100" s="51">
        <v>46289</v>
      </c>
      <c r="C2100" s="52" t="s">
        <v>3231</v>
      </c>
      <c r="D2100" s="52" t="s">
        <v>3232</v>
      </c>
      <c r="E2100" s="52" t="s">
        <v>3222</v>
      </c>
      <c r="F2100" s="52" t="s">
        <v>3233</v>
      </c>
      <c r="G2100" s="52" t="s">
        <v>51</v>
      </c>
    </row>
    <row r="2101" spans="2:7" ht="15" customHeight="1">
      <c r="B2101" s="51">
        <v>46289</v>
      </c>
      <c r="C2101" s="52" t="s">
        <v>3231</v>
      </c>
      <c r="D2101" s="52" t="s">
        <v>1860</v>
      </c>
      <c r="E2101" s="52" t="s">
        <v>3222</v>
      </c>
      <c r="F2101" s="52" t="s">
        <v>3234</v>
      </c>
      <c r="G2101" s="52" t="s">
        <v>51</v>
      </c>
    </row>
    <row r="2102" spans="2:7" ht="15" customHeight="1">
      <c r="B2102" s="51">
        <v>46290</v>
      </c>
      <c r="C2102" s="54" t="s">
        <v>2167</v>
      </c>
      <c r="D2102" s="54" t="s">
        <v>62</v>
      </c>
      <c r="E2102" s="52" t="s">
        <v>3222</v>
      </c>
      <c r="F2102" s="54" t="s">
        <v>3235</v>
      </c>
      <c r="G2102" s="54" t="s">
        <v>41</v>
      </c>
    </row>
    <row r="2103" spans="2:7" ht="15" customHeight="1">
      <c r="B2103" s="51">
        <v>46290</v>
      </c>
      <c r="C2103" s="54" t="s">
        <v>2167</v>
      </c>
      <c r="D2103" s="54" t="s">
        <v>385</v>
      </c>
      <c r="E2103" s="52" t="s">
        <v>3222</v>
      </c>
      <c r="F2103" s="54" t="s">
        <v>3236</v>
      </c>
      <c r="G2103" s="54" t="s">
        <v>64</v>
      </c>
    </row>
    <row r="2104" spans="2:7" ht="15" customHeight="1">
      <c r="B2104" s="51">
        <v>46290</v>
      </c>
      <c r="C2104" s="54" t="s">
        <v>3237</v>
      </c>
      <c r="D2104" s="54" t="s">
        <v>859</v>
      </c>
      <c r="E2104" s="52" t="s">
        <v>3238</v>
      </c>
      <c r="F2104" s="54" t="s">
        <v>135</v>
      </c>
      <c r="G2104" s="54" t="s">
        <v>51</v>
      </c>
    </row>
    <row r="2105" spans="2:7" ht="15" customHeight="1">
      <c r="B2105" s="51">
        <v>46290</v>
      </c>
      <c r="C2105" s="54" t="s">
        <v>3239</v>
      </c>
      <c r="D2105" s="54" t="s">
        <v>3240</v>
      </c>
      <c r="E2105" s="52" t="s">
        <v>3238</v>
      </c>
      <c r="F2105" s="54" t="s">
        <v>3241</v>
      </c>
      <c r="G2105" s="54" t="s">
        <v>51</v>
      </c>
    </row>
    <row r="2106" spans="2:7" ht="15" customHeight="1">
      <c r="B2106" s="51">
        <v>46290</v>
      </c>
      <c r="C2106" s="54" t="s">
        <v>3242</v>
      </c>
      <c r="D2106" s="54" t="s">
        <v>52</v>
      </c>
      <c r="E2106" s="52" t="s">
        <v>3238</v>
      </c>
      <c r="F2106" s="54" t="s">
        <v>3243</v>
      </c>
      <c r="G2106" s="54" t="s">
        <v>51</v>
      </c>
    </row>
    <row r="2107" spans="2:7" ht="15" customHeight="1">
      <c r="B2107" s="51">
        <v>46290</v>
      </c>
      <c r="C2107" s="54" t="s">
        <v>2993</v>
      </c>
      <c r="D2107" s="54" t="s">
        <v>1860</v>
      </c>
      <c r="E2107" s="52" t="s">
        <v>3238</v>
      </c>
      <c r="F2107" s="54" t="s">
        <v>384</v>
      </c>
      <c r="G2107" s="54" t="s">
        <v>51</v>
      </c>
    </row>
    <row r="2108" spans="2:7" ht="15" customHeight="1">
      <c r="B2108" s="51">
        <v>46290</v>
      </c>
      <c r="C2108" s="54" t="s">
        <v>3244</v>
      </c>
      <c r="D2108" s="54" t="s">
        <v>385</v>
      </c>
      <c r="E2108" s="52" t="s">
        <v>3238</v>
      </c>
      <c r="F2108" s="54" t="s">
        <v>3245</v>
      </c>
      <c r="G2108" s="54" t="s">
        <v>51</v>
      </c>
    </row>
    <row r="2109" spans="2:7" ht="15" customHeight="1">
      <c r="B2109" s="51">
        <v>46290</v>
      </c>
      <c r="C2109" s="54" t="s">
        <v>3010</v>
      </c>
      <c r="D2109" s="54" t="s">
        <v>94</v>
      </c>
      <c r="E2109" s="52" t="s">
        <v>3238</v>
      </c>
      <c r="F2109" s="54" t="s">
        <v>3246</v>
      </c>
      <c r="G2109" s="54" t="s">
        <v>51</v>
      </c>
    </row>
    <row r="2110" spans="2:7" ht="15" customHeight="1">
      <c r="B2110" s="51">
        <v>46291</v>
      </c>
      <c r="C2110" s="52" t="s">
        <v>3247</v>
      </c>
      <c r="D2110" s="52" t="s">
        <v>207</v>
      </c>
      <c r="E2110" s="52" t="s">
        <v>3248</v>
      </c>
      <c r="F2110" s="52" t="s">
        <v>3249</v>
      </c>
      <c r="G2110" s="52" t="s">
        <v>51</v>
      </c>
    </row>
    <row r="2111" spans="2:7" ht="15" customHeight="1">
      <c r="B2111" s="51">
        <v>46291</v>
      </c>
      <c r="C2111" s="52" t="s">
        <v>3250</v>
      </c>
      <c r="D2111" s="52" t="s">
        <v>1860</v>
      </c>
      <c r="E2111" s="52" t="s">
        <v>3238</v>
      </c>
      <c r="F2111" s="52" t="s">
        <v>3251</v>
      </c>
      <c r="G2111" s="52" t="s">
        <v>51</v>
      </c>
    </row>
    <row r="2112" spans="2:7" ht="15" customHeight="1">
      <c r="B2112" s="51">
        <v>46291</v>
      </c>
      <c r="C2112" s="52" t="s">
        <v>3252</v>
      </c>
      <c r="D2112" s="52" t="s">
        <v>256</v>
      </c>
      <c r="E2112" s="52" t="s">
        <v>3238</v>
      </c>
      <c r="F2112" s="52" t="s">
        <v>3253</v>
      </c>
      <c r="G2112" s="52" t="s">
        <v>51</v>
      </c>
    </row>
    <row r="2113" spans="2:7" ht="15" customHeight="1">
      <c r="B2113" s="51">
        <v>46291</v>
      </c>
      <c r="C2113" s="52" t="s">
        <v>2987</v>
      </c>
      <c r="D2113" s="52" t="s">
        <v>1662</v>
      </c>
      <c r="E2113" s="52" t="s">
        <v>3238</v>
      </c>
      <c r="F2113" s="52" t="s">
        <v>3254</v>
      </c>
      <c r="G2113" s="52" t="s">
        <v>51</v>
      </c>
    </row>
    <row r="2114" spans="2:7" ht="15" customHeight="1">
      <c r="B2114" s="51">
        <v>46291</v>
      </c>
      <c r="C2114" s="52" t="s">
        <v>2793</v>
      </c>
      <c r="D2114" s="52" t="s">
        <v>42</v>
      </c>
      <c r="E2114" s="52" t="s">
        <v>3255</v>
      </c>
      <c r="F2114" s="52" t="s">
        <v>3256</v>
      </c>
      <c r="G2114" s="52" t="s">
        <v>51</v>
      </c>
    </row>
    <row r="2115" spans="2:7" ht="15" customHeight="1">
      <c r="B2115" s="51">
        <v>46291</v>
      </c>
      <c r="C2115" s="52" t="s">
        <v>3247</v>
      </c>
      <c r="D2115" s="52" t="s">
        <v>94</v>
      </c>
      <c r="E2115" s="52" t="s">
        <v>3255</v>
      </c>
      <c r="F2115" s="52" t="s">
        <v>2309</v>
      </c>
      <c r="G2115" s="52" t="s">
        <v>30</v>
      </c>
    </row>
    <row r="2116" spans="2:7" ht="15" customHeight="1">
      <c r="B2116" s="51">
        <v>46291</v>
      </c>
      <c r="C2116" s="52" t="s">
        <v>2481</v>
      </c>
      <c r="D2116" s="52" t="s">
        <v>15</v>
      </c>
      <c r="E2116" s="52" t="s">
        <v>3255</v>
      </c>
      <c r="F2116" s="52" t="s">
        <v>2214</v>
      </c>
      <c r="G2116" s="52" t="s">
        <v>51</v>
      </c>
    </row>
    <row r="2117" spans="2:7" ht="15" customHeight="1">
      <c r="B2117" s="51">
        <v>46291</v>
      </c>
      <c r="C2117" s="52" t="s">
        <v>1331</v>
      </c>
      <c r="D2117" s="52" t="s">
        <v>32</v>
      </c>
      <c r="E2117" s="52" t="s">
        <v>3255</v>
      </c>
      <c r="F2117" s="52" t="s">
        <v>3257</v>
      </c>
      <c r="G2117" s="52" t="s">
        <v>34</v>
      </c>
    </row>
    <row r="2118" spans="2:7" ht="15" customHeight="1">
      <c r="B2118" s="51">
        <v>46291</v>
      </c>
      <c r="C2118" s="52" t="s">
        <v>3258</v>
      </c>
      <c r="D2118" s="52" t="s">
        <v>19</v>
      </c>
      <c r="E2118" s="52" t="s">
        <v>3255</v>
      </c>
      <c r="F2118" s="52" t="s">
        <v>442</v>
      </c>
      <c r="G2118" s="52" t="s">
        <v>30</v>
      </c>
    </row>
    <row r="2119" spans="2:7" ht="15" customHeight="1">
      <c r="B2119" s="51">
        <v>46291</v>
      </c>
      <c r="C2119" s="52" t="s">
        <v>3198</v>
      </c>
      <c r="D2119" s="52" t="s">
        <v>1070</v>
      </c>
      <c r="E2119" s="52" t="s">
        <v>3255</v>
      </c>
      <c r="F2119" s="52" t="s">
        <v>3259</v>
      </c>
      <c r="G2119" s="52" t="s">
        <v>34</v>
      </c>
    </row>
    <row r="2120" spans="2:7" ht="15" customHeight="1">
      <c r="B2120" s="51">
        <v>46291</v>
      </c>
      <c r="C2120" s="52" t="s">
        <v>35</v>
      </c>
      <c r="D2120" s="52" t="s">
        <v>202</v>
      </c>
      <c r="E2120" s="52" t="s">
        <v>3255</v>
      </c>
      <c r="F2120" s="52" t="s">
        <v>399</v>
      </c>
      <c r="G2120" s="52" t="s">
        <v>30</v>
      </c>
    </row>
    <row r="2121" spans="2:7" ht="15" customHeight="1">
      <c r="B2121" s="51">
        <v>46291</v>
      </c>
      <c r="C2121" s="52" t="s">
        <v>1331</v>
      </c>
      <c r="D2121" s="52" t="s">
        <v>44</v>
      </c>
      <c r="E2121" s="52" t="s">
        <v>3255</v>
      </c>
      <c r="F2121" s="52" t="s">
        <v>3260</v>
      </c>
      <c r="G2121" s="52" t="s">
        <v>70</v>
      </c>
    </row>
    <row r="2122" spans="2:7" ht="15" customHeight="1">
      <c r="B2122" s="51">
        <v>46291</v>
      </c>
      <c r="C2122" s="52" t="s">
        <v>1331</v>
      </c>
      <c r="D2122" s="52" t="s">
        <v>42</v>
      </c>
      <c r="E2122" s="52" t="s">
        <v>3255</v>
      </c>
      <c r="F2122" s="52" t="s">
        <v>3261</v>
      </c>
      <c r="G2122" s="52" t="s">
        <v>34</v>
      </c>
    </row>
    <row r="2123" spans="2:7" ht="15" customHeight="1">
      <c r="B2123" s="51">
        <v>46291</v>
      </c>
      <c r="C2123" s="52" t="s">
        <v>3258</v>
      </c>
      <c r="D2123" s="52" t="s">
        <v>389</v>
      </c>
      <c r="E2123" s="52" t="s">
        <v>3255</v>
      </c>
      <c r="F2123" s="52" t="s">
        <v>372</v>
      </c>
      <c r="G2123" s="52" t="s">
        <v>30</v>
      </c>
    </row>
    <row r="2124" spans="2:7" ht="15" customHeight="1">
      <c r="B2124" s="51">
        <v>46291</v>
      </c>
      <c r="C2124" s="52" t="s">
        <v>2327</v>
      </c>
      <c r="D2124" s="52" t="s">
        <v>44</v>
      </c>
      <c r="E2124" s="52" t="s">
        <v>3255</v>
      </c>
      <c r="F2124" s="52" t="s">
        <v>3262</v>
      </c>
      <c r="G2124" s="52" t="s">
        <v>371</v>
      </c>
    </row>
    <row r="2125" spans="2:7" ht="15" customHeight="1">
      <c r="B2125" s="51">
        <v>46291</v>
      </c>
      <c r="C2125" s="52" t="s">
        <v>83</v>
      </c>
      <c r="D2125" s="52" t="s">
        <v>44</v>
      </c>
      <c r="E2125" s="52" t="s">
        <v>3255</v>
      </c>
      <c r="F2125" s="52" t="s">
        <v>3263</v>
      </c>
      <c r="G2125" s="52" t="s">
        <v>70</v>
      </c>
    </row>
    <row r="2126" spans="2:7" ht="15" customHeight="1">
      <c r="B2126" s="51">
        <v>46291</v>
      </c>
      <c r="C2126" s="52" t="s">
        <v>1331</v>
      </c>
      <c r="D2126" s="52" t="s">
        <v>44</v>
      </c>
      <c r="E2126" s="52" t="s">
        <v>3255</v>
      </c>
      <c r="F2126" s="52" t="s">
        <v>3264</v>
      </c>
      <c r="G2126" s="52" t="s">
        <v>70</v>
      </c>
    </row>
    <row r="2127" spans="2:7" ht="15" customHeight="1">
      <c r="B2127" s="51">
        <v>46291</v>
      </c>
      <c r="C2127" s="52" t="s">
        <v>176</v>
      </c>
      <c r="D2127" s="52" t="s">
        <v>23</v>
      </c>
      <c r="E2127" s="52" t="s">
        <v>3255</v>
      </c>
      <c r="F2127" s="52" t="s">
        <v>3265</v>
      </c>
      <c r="G2127" s="52" t="s">
        <v>30</v>
      </c>
    </row>
    <row r="2128" spans="2:7" ht="15" customHeight="1">
      <c r="B2128" s="51">
        <v>46291</v>
      </c>
      <c r="C2128" s="52" t="s">
        <v>3196</v>
      </c>
      <c r="D2128" s="52" t="s">
        <v>76</v>
      </c>
      <c r="E2128" s="52" t="s">
        <v>3255</v>
      </c>
      <c r="F2128" s="52" t="s">
        <v>3266</v>
      </c>
      <c r="G2128" s="52" t="s">
        <v>34</v>
      </c>
    </row>
    <row r="2129" spans="2:7" ht="15" customHeight="1">
      <c r="B2129" s="51">
        <v>46291</v>
      </c>
      <c r="C2129" s="52" t="s">
        <v>1331</v>
      </c>
      <c r="D2129" s="52" t="s">
        <v>44</v>
      </c>
      <c r="E2129" s="52" t="s">
        <v>3255</v>
      </c>
      <c r="F2129" s="52" t="s">
        <v>3267</v>
      </c>
      <c r="G2129" s="52" t="s">
        <v>34</v>
      </c>
    </row>
    <row r="2130" spans="2:7" ht="15" customHeight="1">
      <c r="B2130" s="51">
        <v>46291</v>
      </c>
      <c r="C2130" s="52" t="s">
        <v>3198</v>
      </c>
      <c r="D2130" s="52" t="s">
        <v>42</v>
      </c>
      <c r="E2130" s="52" t="s">
        <v>3255</v>
      </c>
      <c r="F2130" s="52" t="s">
        <v>3268</v>
      </c>
      <c r="G2130" s="52" t="s">
        <v>34</v>
      </c>
    </row>
    <row r="2131" spans="2:7" ht="15" customHeight="1">
      <c r="B2131" s="51">
        <v>46291</v>
      </c>
      <c r="C2131" s="52" t="s">
        <v>176</v>
      </c>
      <c r="D2131" s="52" t="s">
        <v>42</v>
      </c>
      <c r="E2131" s="52" t="s">
        <v>3255</v>
      </c>
      <c r="F2131" s="52" t="s">
        <v>372</v>
      </c>
      <c r="G2131" s="52" t="s">
        <v>30</v>
      </c>
    </row>
    <row r="2132" spans="2:7" ht="15" customHeight="1">
      <c r="B2132" s="51">
        <v>46291</v>
      </c>
      <c r="C2132" s="52" t="s">
        <v>2958</v>
      </c>
      <c r="D2132" s="52" t="s">
        <v>19</v>
      </c>
      <c r="E2132" s="52" t="s">
        <v>3269</v>
      </c>
      <c r="F2132" s="53" t="s">
        <v>3270</v>
      </c>
      <c r="G2132" s="52" t="s">
        <v>187</v>
      </c>
    </row>
    <row r="2133" spans="2:7" ht="15" customHeight="1">
      <c r="B2133" s="51">
        <v>46291</v>
      </c>
      <c r="C2133" s="52" t="s">
        <v>3042</v>
      </c>
      <c r="D2133" s="52" t="s">
        <v>3271</v>
      </c>
      <c r="E2133" s="52" t="s">
        <v>3269</v>
      </c>
      <c r="F2133" s="52" t="s">
        <v>3272</v>
      </c>
      <c r="G2133" s="52" t="s">
        <v>30</v>
      </c>
    </row>
    <row r="2134" spans="2:7" ht="15" customHeight="1">
      <c r="B2134" s="51">
        <v>46291</v>
      </c>
      <c r="C2134" s="52" t="s">
        <v>2167</v>
      </c>
      <c r="D2134" s="52" t="s">
        <v>44</v>
      </c>
      <c r="E2134" s="52" t="s">
        <v>3269</v>
      </c>
      <c r="F2134" s="52" t="s">
        <v>2192</v>
      </c>
      <c r="G2134" s="52" t="s">
        <v>30</v>
      </c>
    </row>
    <row r="2135" spans="2:7" ht="15" customHeight="1">
      <c r="B2135" s="51">
        <v>46292</v>
      </c>
      <c r="C2135" s="52" t="s">
        <v>27</v>
      </c>
      <c r="D2135" s="52" t="s">
        <v>44</v>
      </c>
      <c r="E2135" s="52" t="s">
        <v>3273</v>
      </c>
      <c r="F2135" s="52" t="s">
        <v>3274</v>
      </c>
      <c r="G2135" s="52" t="s">
        <v>34</v>
      </c>
    </row>
    <row r="2136" spans="2:7" ht="15" customHeight="1">
      <c r="B2136" s="51">
        <v>46292</v>
      </c>
      <c r="C2136" s="52" t="s">
        <v>27</v>
      </c>
      <c r="D2136" s="52" t="s">
        <v>403</v>
      </c>
      <c r="E2136" s="52" t="s">
        <v>3273</v>
      </c>
      <c r="F2136" s="52" t="s">
        <v>3275</v>
      </c>
      <c r="G2136" s="52" t="s">
        <v>70</v>
      </c>
    </row>
    <row r="2137" spans="2:7" ht="15" customHeight="1">
      <c r="B2137" s="51">
        <v>46292</v>
      </c>
      <c r="C2137" s="52" t="s">
        <v>1904</v>
      </c>
      <c r="D2137" s="52" t="s">
        <v>922</v>
      </c>
      <c r="E2137" s="52" t="s">
        <v>3273</v>
      </c>
      <c r="F2137" s="52" t="s">
        <v>3276</v>
      </c>
      <c r="G2137" s="52" t="s">
        <v>34</v>
      </c>
    </row>
    <row r="2138" spans="2:7" ht="15" customHeight="1">
      <c r="B2138" s="51">
        <v>46292</v>
      </c>
      <c r="C2138" s="52" t="s">
        <v>2496</v>
      </c>
      <c r="D2138" s="52" t="s">
        <v>1991</v>
      </c>
      <c r="E2138" s="52" t="s">
        <v>3273</v>
      </c>
      <c r="F2138" s="52" t="s">
        <v>442</v>
      </c>
      <c r="G2138" s="52" t="s">
        <v>30</v>
      </c>
    </row>
    <row r="2139" spans="2:7" ht="15" customHeight="1">
      <c r="B2139" s="51">
        <v>46292</v>
      </c>
      <c r="C2139" s="52" t="s">
        <v>83</v>
      </c>
      <c r="D2139" s="52" t="s">
        <v>1591</v>
      </c>
      <c r="E2139" s="52" t="s">
        <v>3273</v>
      </c>
      <c r="F2139" s="52" t="s">
        <v>3277</v>
      </c>
      <c r="G2139" s="52" t="s">
        <v>34</v>
      </c>
    </row>
    <row r="2140" spans="2:7" ht="15" customHeight="1">
      <c r="B2140" s="51">
        <v>46292</v>
      </c>
      <c r="C2140" s="52" t="s">
        <v>27</v>
      </c>
      <c r="D2140" s="52" t="s">
        <v>15</v>
      </c>
      <c r="E2140" s="52" t="s">
        <v>3273</v>
      </c>
      <c r="F2140" s="52" t="s">
        <v>3278</v>
      </c>
      <c r="G2140" s="52" t="s">
        <v>30</v>
      </c>
    </row>
    <row r="2141" spans="2:7" ht="15" customHeight="1">
      <c r="B2141" s="51">
        <v>46292</v>
      </c>
      <c r="C2141" s="52" t="s">
        <v>27</v>
      </c>
      <c r="D2141" s="52" t="s">
        <v>44</v>
      </c>
      <c r="E2141" s="52" t="s">
        <v>3273</v>
      </c>
      <c r="F2141" s="52" t="s">
        <v>3279</v>
      </c>
      <c r="G2141" s="52" t="s">
        <v>34</v>
      </c>
    </row>
    <row r="2142" spans="2:7" ht="15" customHeight="1">
      <c r="B2142" s="51">
        <v>46292</v>
      </c>
      <c r="C2142" s="52" t="s">
        <v>2240</v>
      </c>
      <c r="D2142" s="52" t="s">
        <v>44</v>
      </c>
      <c r="E2142" s="52" t="s">
        <v>3273</v>
      </c>
      <c r="F2142" s="52" t="s">
        <v>3280</v>
      </c>
      <c r="G2142" s="52" t="s">
        <v>70</v>
      </c>
    </row>
    <row r="2143" spans="2:7" ht="15" customHeight="1">
      <c r="B2143" s="51">
        <v>46292</v>
      </c>
      <c r="C2143" s="52" t="s">
        <v>27</v>
      </c>
      <c r="D2143" s="52" t="s">
        <v>509</v>
      </c>
      <c r="E2143" s="52" t="s">
        <v>3273</v>
      </c>
      <c r="F2143" s="52" t="s">
        <v>3281</v>
      </c>
      <c r="G2143" s="52" t="s">
        <v>34</v>
      </c>
    </row>
    <row r="2144" spans="2:7" ht="15" customHeight="1">
      <c r="B2144" s="51">
        <v>46292</v>
      </c>
      <c r="C2144" s="52" t="s">
        <v>3282</v>
      </c>
      <c r="D2144" s="52" t="s">
        <v>44</v>
      </c>
      <c r="E2144" s="52" t="s">
        <v>3273</v>
      </c>
      <c r="F2144" s="52" t="s">
        <v>3283</v>
      </c>
      <c r="G2144" s="52" t="s">
        <v>70</v>
      </c>
    </row>
    <row r="2145" spans="2:7" ht="15" customHeight="1">
      <c r="B2145" s="51">
        <v>46292</v>
      </c>
      <c r="C2145" s="52" t="s">
        <v>27</v>
      </c>
      <c r="D2145" s="52" t="s">
        <v>42</v>
      </c>
      <c r="E2145" s="52" t="s">
        <v>3273</v>
      </c>
      <c r="F2145" s="52" t="s">
        <v>3284</v>
      </c>
      <c r="G2145" s="52" t="s">
        <v>34</v>
      </c>
    </row>
    <row r="2146" spans="2:7" ht="15" customHeight="1">
      <c r="B2146" s="51">
        <v>46292</v>
      </c>
      <c r="C2146" s="52" t="s">
        <v>1904</v>
      </c>
      <c r="D2146" s="52" t="s">
        <v>3285</v>
      </c>
      <c r="E2146" s="52" t="s">
        <v>3273</v>
      </c>
      <c r="F2146" s="52" t="s">
        <v>3286</v>
      </c>
      <c r="G2146" s="52" t="s">
        <v>34</v>
      </c>
    </row>
    <row r="2147" spans="2:7" ht="15" customHeight="1">
      <c r="B2147" s="51">
        <v>46292</v>
      </c>
      <c r="C2147" s="52" t="s">
        <v>83</v>
      </c>
      <c r="D2147" s="52" t="s">
        <v>374</v>
      </c>
      <c r="E2147" s="52" t="s">
        <v>3273</v>
      </c>
      <c r="F2147" s="52" t="s">
        <v>508</v>
      </c>
      <c r="G2147" s="52" t="s">
        <v>34</v>
      </c>
    </row>
    <row r="2148" spans="2:7" ht="15" customHeight="1">
      <c r="B2148" s="51">
        <v>46292</v>
      </c>
      <c r="C2148" s="52" t="s">
        <v>3287</v>
      </c>
      <c r="D2148" s="52" t="s">
        <v>62</v>
      </c>
      <c r="E2148" s="52" t="s">
        <v>3288</v>
      </c>
      <c r="F2148" s="42" t="s">
        <v>3289</v>
      </c>
      <c r="G2148" s="52" t="s">
        <v>70</v>
      </c>
    </row>
    <row r="2149" spans="2:7" ht="15" customHeight="1">
      <c r="B2149" s="51">
        <v>46292</v>
      </c>
      <c r="C2149" s="52" t="s">
        <v>3290</v>
      </c>
      <c r="D2149" s="52" t="s">
        <v>385</v>
      </c>
      <c r="E2149" s="52" t="s">
        <v>3288</v>
      </c>
      <c r="F2149" s="42" t="s">
        <v>3291</v>
      </c>
      <c r="G2149" s="52" t="s">
        <v>70</v>
      </c>
    </row>
    <row r="2150" spans="2:7" ht="15" customHeight="1">
      <c r="B2150" s="51">
        <v>46292</v>
      </c>
      <c r="C2150" s="52" t="s">
        <v>3292</v>
      </c>
      <c r="D2150" s="52" t="s">
        <v>44</v>
      </c>
      <c r="E2150" s="52" t="s">
        <v>3288</v>
      </c>
      <c r="F2150" s="42" t="s">
        <v>3293</v>
      </c>
      <c r="G2150" s="52" t="s">
        <v>70</v>
      </c>
    </row>
    <row r="2151" spans="2:7" ht="15" customHeight="1">
      <c r="B2151" s="51">
        <v>46292</v>
      </c>
      <c r="C2151" s="52" t="s">
        <v>3294</v>
      </c>
      <c r="D2151" s="52" t="s">
        <v>44</v>
      </c>
      <c r="E2151" s="52" t="s">
        <v>3288</v>
      </c>
      <c r="F2151" s="52" t="s">
        <v>3295</v>
      </c>
      <c r="G2151" s="52" t="s">
        <v>70</v>
      </c>
    </row>
    <row r="2152" spans="2:7" ht="15" customHeight="1">
      <c r="B2152" s="51">
        <v>46292</v>
      </c>
      <c r="C2152" s="52" t="s">
        <v>3296</v>
      </c>
      <c r="D2152" s="52" t="s">
        <v>1591</v>
      </c>
      <c r="E2152" s="52" t="s">
        <v>3288</v>
      </c>
      <c r="F2152" s="52" t="s">
        <v>3297</v>
      </c>
      <c r="G2152" s="52" t="s">
        <v>30</v>
      </c>
    </row>
    <row r="2153" spans="2:7" ht="15" customHeight="1">
      <c r="B2153" s="51">
        <v>46293</v>
      </c>
      <c r="C2153" s="52" t="s">
        <v>3298</v>
      </c>
      <c r="D2153" s="52" t="s">
        <v>15</v>
      </c>
      <c r="E2153" s="52" t="s">
        <v>3288</v>
      </c>
      <c r="F2153" s="52" t="s">
        <v>3299</v>
      </c>
      <c r="G2153" s="52" t="s">
        <v>187</v>
      </c>
    </row>
    <row r="2154" spans="2:7" ht="15" customHeight="1">
      <c r="B2154" s="51">
        <v>46293</v>
      </c>
      <c r="C2154" s="52" t="s">
        <v>2142</v>
      </c>
      <c r="D2154" s="52" t="s">
        <v>52</v>
      </c>
      <c r="E2154" s="52" t="s">
        <v>3288</v>
      </c>
      <c r="F2154" s="52" t="s">
        <v>1597</v>
      </c>
      <c r="G2154" s="52" t="s">
        <v>30</v>
      </c>
    </row>
    <row r="2155" spans="2:7" ht="15" customHeight="1">
      <c r="B2155" s="51">
        <v>46293</v>
      </c>
      <c r="C2155" s="52" t="s">
        <v>2142</v>
      </c>
      <c r="D2155" s="52" t="s">
        <v>3300</v>
      </c>
      <c r="E2155" s="52" t="s">
        <v>3288</v>
      </c>
      <c r="F2155" s="52" t="s">
        <v>3301</v>
      </c>
      <c r="G2155" s="52" t="s">
        <v>30</v>
      </c>
    </row>
    <row r="2156" spans="2:7" ht="15" customHeight="1">
      <c r="B2156" s="51">
        <v>46293</v>
      </c>
      <c r="C2156" s="52" t="s">
        <v>3302</v>
      </c>
      <c r="D2156" s="52" t="s">
        <v>3303</v>
      </c>
      <c r="E2156" s="52" t="s">
        <v>3288</v>
      </c>
      <c r="F2156" s="52" t="s">
        <v>3304</v>
      </c>
      <c r="G2156" s="52" t="s">
        <v>187</v>
      </c>
    </row>
    <row r="2157" spans="2:7" ht="15" customHeight="1">
      <c r="B2157" s="51">
        <v>46293</v>
      </c>
      <c r="C2157" s="52" t="s">
        <v>2161</v>
      </c>
      <c r="D2157" s="52" t="s">
        <v>1935</v>
      </c>
      <c r="E2157" s="52" t="s">
        <v>3305</v>
      </c>
      <c r="F2157" s="52" t="s">
        <v>3306</v>
      </c>
      <c r="G2157" s="52" t="s">
        <v>51</v>
      </c>
    </row>
    <row r="2158" spans="2:7" ht="15" customHeight="1">
      <c r="B2158" s="51">
        <v>46293</v>
      </c>
      <c r="C2158" s="52" t="s">
        <v>3247</v>
      </c>
      <c r="D2158" s="52" t="s">
        <v>23</v>
      </c>
      <c r="E2158" s="52" t="s">
        <v>3305</v>
      </c>
      <c r="F2158" s="52" t="s">
        <v>3307</v>
      </c>
      <c r="G2158" s="52" t="s">
        <v>51</v>
      </c>
    </row>
    <row r="2159" spans="2:7" ht="15" customHeight="1">
      <c r="B2159" s="51">
        <v>46294</v>
      </c>
      <c r="C2159" s="52" t="s">
        <v>3308</v>
      </c>
      <c r="D2159" s="52" t="s">
        <v>1687</v>
      </c>
      <c r="E2159" s="52" t="s">
        <v>3305</v>
      </c>
      <c r="F2159" s="52" t="s">
        <v>3309</v>
      </c>
      <c r="G2159" s="52" t="s">
        <v>51</v>
      </c>
    </row>
    <row r="2160" spans="2:7" ht="15" customHeight="1">
      <c r="B2160" s="51">
        <v>46294</v>
      </c>
      <c r="C2160" s="52" t="s">
        <v>3310</v>
      </c>
      <c r="D2160" s="52" t="s">
        <v>52</v>
      </c>
      <c r="E2160" s="52" t="s">
        <v>3305</v>
      </c>
      <c r="F2160" s="52" t="s">
        <v>3311</v>
      </c>
      <c r="G2160" s="52" t="s">
        <v>51</v>
      </c>
    </row>
    <row r="2161" spans="2:7" ht="15" customHeight="1">
      <c r="B2161" s="51">
        <v>46294</v>
      </c>
      <c r="C2161" s="52" t="s">
        <v>3312</v>
      </c>
      <c r="D2161" s="52" t="s">
        <v>52</v>
      </c>
      <c r="E2161" s="52" t="s">
        <v>3305</v>
      </c>
      <c r="F2161" s="52" t="s">
        <v>3313</v>
      </c>
      <c r="G2161" s="52" t="s">
        <v>51</v>
      </c>
    </row>
    <row r="2162" spans="2:7" ht="15" customHeight="1">
      <c r="B2162" s="51">
        <v>46294</v>
      </c>
      <c r="C2162" s="52" t="s">
        <v>3314</v>
      </c>
      <c r="D2162" s="52" t="s">
        <v>570</v>
      </c>
      <c r="E2162" s="52" t="s">
        <v>3305</v>
      </c>
      <c r="F2162" s="52" t="s">
        <v>3315</v>
      </c>
      <c r="G2162" s="52" t="s">
        <v>51</v>
      </c>
    </row>
    <row r="2163" spans="2:7" ht="15" customHeight="1">
      <c r="B2163" s="51">
        <v>46294</v>
      </c>
      <c r="C2163" s="52" t="s">
        <v>3042</v>
      </c>
      <c r="D2163" s="52" t="s">
        <v>52</v>
      </c>
      <c r="E2163" s="52" t="s">
        <v>2907</v>
      </c>
      <c r="F2163" s="52" t="s">
        <v>3316</v>
      </c>
      <c r="G2163" s="52" t="s">
        <v>51</v>
      </c>
    </row>
    <row r="2164" spans="2:7" ht="15" customHeight="1">
      <c r="B2164" s="51">
        <v>46294</v>
      </c>
      <c r="C2164" s="52" t="s">
        <v>3317</v>
      </c>
      <c r="D2164" s="52" t="s">
        <v>23</v>
      </c>
      <c r="E2164" s="52" t="s">
        <v>2907</v>
      </c>
      <c r="F2164" s="52" t="s">
        <v>3318</v>
      </c>
      <c r="G2164" s="52" t="s">
        <v>51</v>
      </c>
    </row>
    <row r="2165" spans="2:7" ht="15" customHeight="1">
      <c r="B2165" s="51">
        <v>46294</v>
      </c>
      <c r="C2165" s="52" t="s">
        <v>2167</v>
      </c>
      <c r="D2165" s="52" t="s">
        <v>385</v>
      </c>
      <c r="E2165" s="52" t="s">
        <v>2907</v>
      </c>
      <c r="F2165" s="52" t="s">
        <v>3319</v>
      </c>
      <c r="G2165" s="52" t="s">
        <v>64</v>
      </c>
    </row>
    <row r="2166" spans="2:7" ht="15" customHeight="1">
      <c r="B2166" s="51">
        <v>46294</v>
      </c>
      <c r="C2166" s="52" t="s">
        <v>2167</v>
      </c>
      <c r="D2166" s="52" t="s">
        <v>570</v>
      </c>
      <c r="E2166" s="52" t="s">
        <v>2907</v>
      </c>
      <c r="F2166" s="52" t="s">
        <v>3320</v>
      </c>
      <c r="G2166" s="52" t="s">
        <v>87</v>
      </c>
    </row>
    <row r="2167" spans="2:7" ht="15" customHeight="1">
      <c r="B2167" s="51">
        <v>46294</v>
      </c>
      <c r="C2167" s="52" t="s">
        <v>2167</v>
      </c>
      <c r="D2167" s="52" t="s">
        <v>385</v>
      </c>
      <c r="E2167" s="52" t="s">
        <v>2907</v>
      </c>
      <c r="F2167" s="52" t="s">
        <v>3321</v>
      </c>
      <c r="G2167" s="52" t="s">
        <v>41</v>
      </c>
    </row>
    <row r="2168" spans="2:7" ht="15" customHeight="1">
      <c r="B2168" s="51">
        <v>46294</v>
      </c>
      <c r="C2168" s="52" t="s">
        <v>2167</v>
      </c>
      <c r="D2168" s="52" t="s">
        <v>385</v>
      </c>
      <c r="E2168" s="52" t="s">
        <v>2907</v>
      </c>
      <c r="F2168" s="52" t="s">
        <v>3322</v>
      </c>
      <c r="G2168" s="52" t="s">
        <v>64</v>
      </c>
    </row>
    <row r="2169" spans="2:7" ht="15" customHeight="1">
      <c r="B2169" s="51">
        <v>46294</v>
      </c>
      <c r="C2169" s="52" t="s">
        <v>3323</v>
      </c>
      <c r="D2169" s="52" t="s">
        <v>52</v>
      </c>
      <c r="E2169" s="52" t="s">
        <v>2907</v>
      </c>
      <c r="F2169" s="52" t="s">
        <v>3324</v>
      </c>
      <c r="G2169" s="52" t="s">
        <v>51</v>
      </c>
    </row>
    <row r="2170" spans="2:7" ht="15" customHeight="1">
      <c r="B2170" s="51">
        <v>46294</v>
      </c>
      <c r="C2170" s="52" t="s">
        <v>3325</v>
      </c>
      <c r="D2170" s="52" t="s">
        <v>456</v>
      </c>
      <c r="E2170" s="52" t="s">
        <v>2907</v>
      </c>
      <c r="F2170" s="52" t="s">
        <v>2277</v>
      </c>
      <c r="G2170" s="52" t="s">
        <v>51</v>
      </c>
    </row>
    <row r="2171" spans="2:7" ht="15" customHeight="1">
      <c r="B2171" s="51">
        <v>46294</v>
      </c>
      <c r="C2171" s="52" t="s">
        <v>2167</v>
      </c>
      <c r="D2171" s="52" t="s">
        <v>256</v>
      </c>
      <c r="E2171" s="52" t="s">
        <v>2907</v>
      </c>
      <c r="F2171" s="52" t="s">
        <v>3326</v>
      </c>
      <c r="G2171" s="52" t="s">
        <v>64</v>
      </c>
    </row>
    <row r="2172" spans="2:7" ht="15" customHeight="1">
      <c r="B2172" s="51">
        <v>46295</v>
      </c>
      <c r="C2172" s="52" t="s">
        <v>2167</v>
      </c>
      <c r="D2172" s="52" t="s">
        <v>741</v>
      </c>
      <c r="E2172" s="52" t="s">
        <v>2907</v>
      </c>
      <c r="F2172" s="52" t="s">
        <v>3327</v>
      </c>
      <c r="G2172" s="52" t="s">
        <v>64</v>
      </c>
    </row>
    <row r="2173" spans="2:7" ht="15" customHeight="1">
      <c r="B2173" s="51">
        <v>46295</v>
      </c>
      <c r="C2173" s="52" t="s">
        <v>3328</v>
      </c>
      <c r="D2173" s="52" t="s">
        <v>570</v>
      </c>
      <c r="E2173" s="52" t="s">
        <v>2907</v>
      </c>
      <c r="F2173" s="52" t="s">
        <v>1191</v>
      </c>
      <c r="G2173" s="52" t="s">
        <v>51</v>
      </c>
    </row>
    <row r="2174" spans="2:7" ht="15" customHeight="1">
      <c r="B2174" s="51">
        <v>46295</v>
      </c>
      <c r="C2174" s="52" t="s">
        <v>3329</v>
      </c>
      <c r="D2174" s="52" t="s">
        <v>278</v>
      </c>
      <c r="E2174" s="52" t="s">
        <v>2907</v>
      </c>
      <c r="F2174" s="52" t="s">
        <v>3330</v>
      </c>
      <c r="G2174" s="52" t="s">
        <v>64</v>
      </c>
    </row>
    <row r="2175" spans="2:7" ht="15" customHeight="1">
      <c r="B2175" s="51">
        <v>46295</v>
      </c>
      <c r="C2175" s="52"/>
      <c r="D2175" s="52"/>
      <c r="E2175" s="52"/>
      <c r="F2175" s="52"/>
      <c r="G2175" s="52"/>
    </row>
    <row r="2176" spans="2:7" ht="15" customHeight="1">
      <c r="B2176" s="51">
        <v>46295</v>
      </c>
      <c r="C2176" s="52" t="s">
        <v>176</v>
      </c>
      <c r="D2176" s="52" t="s">
        <v>42</v>
      </c>
      <c r="E2176" s="73" t="s">
        <v>3331</v>
      </c>
      <c r="F2176" s="52" t="s">
        <v>3332</v>
      </c>
      <c r="G2176" s="52" t="s">
        <v>92</v>
      </c>
    </row>
    <row r="2177" spans="2:7" ht="15" customHeight="1">
      <c r="B2177" s="51">
        <v>46295</v>
      </c>
      <c r="C2177" s="52" t="s">
        <v>176</v>
      </c>
      <c r="D2177" s="52" t="s">
        <v>3333</v>
      </c>
      <c r="E2177" s="73" t="s">
        <v>3331</v>
      </c>
      <c r="F2177" s="52" t="s">
        <v>3334</v>
      </c>
      <c r="G2177" s="52" t="s">
        <v>92</v>
      </c>
    </row>
    <row r="2178" spans="2:7" ht="15" customHeight="1">
      <c r="B2178" s="51">
        <v>46295</v>
      </c>
      <c r="C2178" s="52" t="s">
        <v>176</v>
      </c>
      <c r="D2178" s="52" t="s">
        <v>741</v>
      </c>
      <c r="E2178" s="73" t="s">
        <v>3331</v>
      </c>
      <c r="F2178" s="52" t="s">
        <v>3334</v>
      </c>
      <c r="G2178" s="52" t="s">
        <v>92</v>
      </c>
    </row>
    <row r="2179" spans="2:7" ht="15" customHeight="1">
      <c r="B2179" s="51">
        <v>46295</v>
      </c>
      <c r="C2179" s="52" t="s">
        <v>176</v>
      </c>
      <c r="D2179" s="52" t="s">
        <v>741</v>
      </c>
      <c r="E2179" s="73" t="s">
        <v>3331</v>
      </c>
      <c r="F2179" s="52" t="s">
        <v>3334</v>
      </c>
      <c r="G2179" s="52" t="s">
        <v>92</v>
      </c>
    </row>
    <row r="2180" spans="2:7" ht="15" customHeight="1">
      <c r="B2180" s="51">
        <v>46295</v>
      </c>
      <c r="C2180" s="52" t="s">
        <v>176</v>
      </c>
      <c r="D2180" s="52" t="s">
        <v>741</v>
      </c>
      <c r="E2180" s="73" t="s">
        <v>3331</v>
      </c>
      <c r="F2180" s="52" t="s">
        <v>3335</v>
      </c>
      <c r="G2180" s="52" t="s">
        <v>92</v>
      </c>
    </row>
    <row r="2181" spans="2:7" ht="15" customHeight="1">
      <c r="B2181" s="51">
        <v>46295</v>
      </c>
      <c r="C2181" s="52" t="s">
        <v>176</v>
      </c>
      <c r="D2181" s="52" t="s">
        <v>42</v>
      </c>
      <c r="E2181" s="73" t="s">
        <v>3331</v>
      </c>
      <c r="F2181" s="52" t="s">
        <v>3336</v>
      </c>
      <c r="G2181" s="52" t="s">
        <v>3337</v>
      </c>
    </row>
    <row r="2182" spans="2:7" ht="15" customHeight="1">
      <c r="B2182" s="51">
        <v>46295</v>
      </c>
      <c r="C2182" s="52" t="s">
        <v>3338</v>
      </c>
      <c r="D2182" s="52" t="s">
        <v>42</v>
      </c>
      <c r="E2182" s="73" t="s">
        <v>3331</v>
      </c>
      <c r="F2182" s="53" t="s">
        <v>3339</v>
      </c>
      <c r="G2182" s="52" t="s">
        <v>92</v>
      </c>
    </row>
  </sheetData>
  <phoneticPr fontId="25" type="noConversion"/>
  <pageMargins left="0.51180555555555596" right="0.51180555555555596" top="0.78749999999999998" bottom="0.78749999999999998" header="0.511811023622047" footer="0.511811023622047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Eduardo</dc:creator>
  <dc:description/>
  <cp:lastModifiedBy>Planejamento COR</cp:lastModifiedBy>
  <cp:revision>1</cp:revision>
  <dcterms:created xsi:type="dcterms:W3CDTF">2026-07-14T12:38:20Z</dcterms:created>
  <dcterms:modified xsi:type="dcterms:W3CDTF">2026-10-02T12:54:20Z</dcterms:modified>
  <dc:language>pt-BR</dc:language>
</cp:coreProperties>
</file>