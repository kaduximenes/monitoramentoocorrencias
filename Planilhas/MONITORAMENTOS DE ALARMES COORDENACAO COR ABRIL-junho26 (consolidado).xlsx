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4080" yWindow="4848" windowWidth="22980" windowHeight="9024"/>
  </bookViews>
  <sheets>
    <sheet name="plan1" sheetId="1" r:id="rId1"/>
  </sheets>
  <definedNames>
    <definedName name="_xlnm._FilterDatabase" localSheetId="0" hidden="1">plan1!$B$3:$G$1010</definedName>
  </definedNames>
  <calcPr calcId="145621"/>
  <fileRecoveryPr repairLoad="1"/>
</workbook>
</file>

<file path=xl/calcChain.xml><?xml version="1.0" encoding="utf-8"?>
<calcChain xmlns="http://schemas.openxmlformats.org/spreadsheetml/2006/main">
  <c r="J6" i="1" l="1"/>
  <c r="K6" i="1" l="1"/>
  <c r="I6" i="1"/>
  <c r="B1005" i="1" l="1"/>
  <c r="B1006" i="1" s="1"/>
  <c r="B1007" i="1" s="1"/>
  <c r="B1008" i="1" s="1"/>
  <c r="B1009" i="1" s="1"/>
  <c r="B1010" i="1" s="1"/>
  <c r="B1000" i="1"/>
  <c r="B1001" i="1" s="1"/>
  <c r="B1002" i="1" s="1"/>
  <c r="B1003" i="1" s="1"/>
  <c r="B994" i="1"/>
  <c r="B995" i="1" s="1"/>
  <c r="B996" i="1" s="1"/>
  <c r="B997" i="1" s="1"/>
  <c r="B998" i="1" s="1"/>
  <c r="B990" i="1"/>
  <c r="B991" i="1" s="1"/>
  <c r="B992" i="1" s="1"/>
  <c r="B970" i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55" i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53" i="1"/>
  <c r="B924" i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22" i="1"/>
  <c r="B920" i="1"/>
  <c r="B918" i="1"/>
  <c r="B916" i="1"/>
  <c r="B886" i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849" i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46" i="1"/>
  <c r="B847" i="1" s="1"/>
  <c r="B838" i="1"/>
  <c r="B839" i="1" s="1"/>
  <c r="B840" i="1" s="1"/>
  <c r="B841" i="1" s="1"/>
  <c r="B842" i="1" s="1"/>
  <c r="B843" i="1" s="1"/>
  <c r="B844" i="1" s="1"/>
  <c r="B816" i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796" i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792" i="1"/>
  <c r="B793" i="1" s="1"/>
  <c r="B794" i="1" s="1"/>
  <c r="B777" i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69" i="1"/>
  <c r="B770" i="1" s="1"/>
  <c r="B771" i="1" s="1"/>
  <c r="B772" i="1" s="1"/>
  <c r="B773" i="1" s="1"/>
  <c r="B774" i="1" s="1"/>
  <c r="B755" i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32" i="1" l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24" i="1"/>
  <c r="B725" i="1" s="1"/>
  <c r="B726" i="1" s="1"/>
  <c r="B727" i="1" s="1"/>
  <c r="B728" i="1" s="1"/>
  <c r="B729" i="1" s="1"/>
  <c r="B730" i="1" s="1"/>
  <c r="B717" i="1"/>
  <c r="B718" i="1" s="1"/>
  <c r="B719" i="1" s="1"/>
  <c r="B720" i="1" s="1"/>
  <c r="B721" i="1" s="1"/>
  <c r="B722" i="1" s="1"/>
  <c r="B695" i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677" i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74" i="1"/>
  <c r="B675" i="1" s="1"/>
  <c r="B656" i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29" i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12" i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583" i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578" i="1"/>
  <c r="B579" i="1" s="1"/>
  <c r="B580" i="1" s="1"/>
  <c r="B581" i="1" s="1"/>
  <c r="B569" i="1"/>
  <c r="B570" i="1" s="1"/>
  <c r="B571" i="1" s="1"/>
  <c r="B572" i="1" s="1"/>
  <c r="B573" i="1" s="1"/>
  <c r="B574" i="1" s="1"/>
  <c r="B575" i="1" s="1"/>
  <c r="B576" i="1" s="1"/>
  <c r="B529" i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09" i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491" i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462" i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47" i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43" i="1"/>
  <c r="B444" i="1" s="1"/>
  <c r="B445" i="1" s="1"/>
  <c r="B432" i="1"/>
  <c r="B433" i="1" s="1"/>
  <c r="B434" i="1" s="1"/>
  <c r="B435" i="1" s="1"/>
  <c r="B436" i="1" s="1"/>
  <c r="B437" i="1" s="1"/>
  <c r="B438" i="1" s="1"/>
  <c r="B439" i="1" s="1"/>
  <c r="B440" i="1" s="1"/>
  <c r="B441" i="1" s="1"/>
  <c r="B414" i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393" i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384" i="1"/>
  <c r="B385" i="1" s="1"/>
  <c r="B386" i="1" s="1"/>
  <c r="B387" i="1" s="1"/>
  <c r="B388" i="1" s="1"/>
  <c r="B389" i="1" s="1"/>
  <c r="B390" i="1" s="1"/>
  <c r="B391" i="1" s="1"/>
  <c r="B369" i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49" i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37" i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33" i="1"/>
  <c r="B334" i="1" s="1"/>
  <c r="B335" i="1" s="1"/>
  <c r="B301" i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290" i="1"/>
  <c r="B291" i="1" s="1"/>
  <c r="B292" i="1" s="1"/>
  <c r="B293" i="1" s="1"/>
  <c r="B294" i="1" s="1"/>
  <c r="B295" i="1" s="1"/>
  <c r="B296" i="1" s="1"/>
  <c r="B297" i="1" s="1"/>
  <c r="B298" i="1" s="1"/>
  <c r="B299" i="1" s="1"/>
  <c r="B282" i="1"/>
  <c r="B283" i="1" s="1"/>
  <c r="B284" i="1" s="1"/>
  <c r="B285" i="1" s="1"/>
  <c r="B286" i="1" s="1"/>
  <c r="B287" i="1" s="1"/>
  <c r="B288" i="1" s="1"/>
  <c r="B280" i="1"/>
  <c r="B265" i="1" l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40" i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35" i="1"/>
  <c r="B236" i="1" s="1"/>
  <c r="B237" i="1" s="1"/>
  <c r="B238" i="1" s="1"/>
  <c r="B229" i="1"/>
  <c r="B230" i="1" s="1"/>
  <c r="B231" i="1" s="1"/>
  <c r="B232" i="1" s="1"/>
  <c r="B233" i="1" s="1"/>
  <c r="B210" i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196" i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188" i="1"/>
  <c r="B189" i="1" s="1"/>
  <c r="B190" i="1" s="1"/>
  <c r="B191" i="1" s="1"/>
  <c r="B192" i="1" s="1"/>
  <c r="B193" i="1" s="1"/>
  <c r="B194" i="1" s="1"/>
  <c r="B165" i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50" i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43" i="1"/>
  <c r="B144" i="1" s="1"/>
  <c r="B145" i="1" s="1"/>
  <c r="B146" i="1" s="1"/>
  <c r="B147" i="1" s="1"/>
  <c r="B148" i="1" s="1"/>
  <c r="B131" i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0" i="1"/>
  <c r="B121" i="1" s="1"/>
  <c r="B122" i="1" s="1"/>
  <c r="B123" i="1" s="1"/>
  <c r="B124" i="1" s="1"/>
  <c r="B125" i="1" s="1"/>
  <c r="B126" i="1" s="1"/>
  <c r="B127" i="1" s="1"/>
  <c r="B128" i="1" s="1"/>
  <c r="B129" i="1" s="1"/>
  <c r="B116" i="1"/>
  <c r="B117" i="1" s="1"/>
  <c r="B118" i="1" s="1"/>
  <c r="B98" i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66" i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58" i="1"/>
  <c r="B59" i="1" s="1"/>
  <c r="B60" i="1" s="1"/>
  <c r="B61" i="1" s="1"/>
  <c r="B62" i="1" s="1"/>
  <c r="B63" i="1" s="1"/>
  <c r="B64" i="1" s="1"/>
  <c r="B56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35" i="1"/>
  <c r="B36" i="1" s="1"/>
  <c r="B37" i="1" s="1"/>
  <c r="B38" i="1" s="1"/>
  <c r="B39" i="1" s="1"/>
  <c r="B40" i="1" s="1"/>
  <c r="B41" i="1" s="1"/>
  <c r="B22" i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18" i="1"/>
  <c r="B19" i="1" s="1"/>
  <c r="B20" i="1" s="1"/>
  <c r="B10" i="1"/>
  <c r="B11" i="1" s="1"/>
  <c r="B12" i="1" s="1"/>
  <c r="B13" i="1" s="1"/>
  <c r="B14" i="1" s="1"/>
  <c r="B15" i="1" s="1"/>
  <c r="B16" i="1" s="1"/>
  <c r="B7" i="1"/>
  <c r="B8" i="1" s="1"/>
  <c r="B5" i="1"/>
</calcChain>
</file>

<file path=xl/sharedStrings.xml><?xml version="1.0" encoding="utf-8"?>
<sst xmlns="http://schemas.openxmlformats.org/spreadsheetml/2006/main" count="5021" uniqueCount="1570">
  <si>
    <t>Data</t>
  </si>
  <si>
    <t>Alarmes utilizados</t>
  </si>
  <si>
    <t>Ocorrência</t>
  </si>
  <si>
    <t>Endereço</t>
  </si>
  <si>
    <t>Agência Validadora</t>
  </si>
  <si>
    <t>Videowall - TIXXI - Cam - 45</t>
  </si>
  <si>
    <t>AC 2 MT</t>
  </si>
  <si>
    <t>Av Padre Leonel Franca - Alt. Praça Sibélius - Sent. Lagoa</t>
  </si>
  <si>
    <t>VideoWall - TIXX - 4398</t>
  </si>
  <si>
    <t>Enguiço UT</t>
  </si>
  <si>
    <t>Av Brasil - Alt. Marinha Mercante - Sent. Z. Oeste - P. Central</t>
  </si>
  <si>
    <t xml:space="preserve">Google maps </t>
  </si>
  <si>
    <t xml:space="preserve">Operação Policial </t>
  </si>
  <si>
    <t xml:space="preserve">Av. Dom João VI - Alt. Saída do túnel - Sent. Santa Cruz - Guaratiba </t>
  </si>
  <si>
    <t xml:space="preserve">CET-RIO </t>
  </si>
  <si>
    <t>Wazer - TIXXI - Cam - 493</t>
  </si>
  <si>
    <t>AC 2 VP</t>
  </si>
  <si>
    <t>Wazer - TIXXI - Cam - 4348</t>
  </si>
  <si>
    <t>AC VP xPoste</t>
  </si>
  <si>
    <t>Av Brasil - Caju - Alt. Estação BRT Vasco da Gama - Sent. Centro</t>
  </si>
  <si>
    <t>Google Maps - Tixxi</t>
  </si>
  <si>
    <t>Avenida Brasil - Alt. Passarela 14 - Sent. Centro - Olaria</t>
  </si>
  <si>
    <t>CET-RIO</t>
  </si>
  <si>
    <t>Manutenção na via (COMLURB)</t>
  </si>
  <si>
    <t>Avenida Brasil - Alt. Passarela 35 - Ambos sentidos - Guadalupe</t>
  </si>
  <si>
    <t>TIXXI</t>
  </si>
  <si>
    <t xml:space="preserve">Google Maps </t>
  </si>
  <si>
    <t>Manutenção na via (SECONSERVA)</t>
  </si>
  <si>
    <t>Elevado Engenheiro Freyssinet - Sent. Lagoa - Rio Comprido</t>
  </si>
  <si>
    <t>AC ON x MT</t>
  </si>
  <si>
    <t>Av. Dom Helder Câmara - Alt. Rua Eng. Nazareth - Sent. Benfica - Abolição</t>
  </si>
  <si>
    <t>Av. Eng. Carlos de Carvalho - Alt. Av. Imperatriz Leopoldina - Sent. Av. Ayrton Senna - Barra Olímpica</t>
  </si>
  <si>
    <t>CICC</t>
  </si>
  <si>
    <t>Enguiço VP</t>
  </si>
  <si>
    <t>Avenida Brasil - Alt. Passarela 2 - Sent. Centro - Caju</t>
  </si>
  <si>
    <t>AC VP x MT</t>
  </si>
  <si>
    <t>Avenida Brasil - Alt. Passarela 5 - Sent. Z. Oeste - Benfica</t>
  </si>
  <si>
    <t>Avenida Brasil - Alt. Passarela 8 - Sent. Centro - Bonsucesso</t>
  </si>
  <si>
    <t>Wazer - TIXXI -Cam - 5580</t>
  </si>
  <si>
    <t>Rua Prefeito Olímpio de Melo - Alt. ALERJ - Ambos sentidos( Meio da Via )</t>
  </si>
  <si>
    <t xml:space="preserve">Tixxi - Cam 112 </t>
  </si>
  <si>
    <t xml:space="preserve">Av. Borges de Medeiros - Alt. Av. Epitácio Pessoa - Sent. Centro - Lagoa </t>
  </si>
  <si>
    <t xml:space="preserve">TIXXI </t>
  </si>
  <si>
    <t xml:space="preserve">Enguiço VP </t>
  </si>
  <si>
    <t xml:space="preserve">Linha Amarela - Alt. Acesso 8 - Sent. Barra da Tijuca - Bonsucesso </t>
  </si>
  <si>
    <t xml:space="preserve">LAMSA </t>
  </si>
  <si>
    <t>Tixxi - Cam 18</t>
  </si>
  <si>
    <t xml:space="preserve">AC TX x MT </t>
  </si>
  <si>
    <t xml:space="preserve">Av. Borges de Medeiros - Alt. R. Márioi Ribeiro - Sent. Leblon - Lagoa </t>
  </si>
  <si>
    <t xml:space="preserve">TIXXI - CET-RIO </t>
  </si>
  <si>
    <t>Google Maps - Tixxi - Cam 4209</t>
  </si>
  <si>
    <t xml:space="preserve">AC ON x VP </t>
  </si>
  <si>
    <t xml:space="preserve">Avenida Dom Hélder Câmara - Alt. Vto. de Cascadura - Sent. Del Castilho - Cascadura </t>
  </si>
  <si>
    <t xml:space="preserve">AC 2 VP </t>
  </si>
  <si>
    <t xml:space="preserve">Avenida Brasil - Alt. R. Petroria - Sent. Centro - Bangu </t>
  </si>
  <si>
    <t xml:space="preserve">CICC </t>
  </si>
  <si>
    <t>Google.maps</t>
  </si>
  <si>
    <t>Túnel Rebouças, 1º galeria - Santa Teresa - Sentido Lagoa</t>
  </si>
  <si>
    <t>Informação coletada com o CBMERJ</t>
  </si>
  <si>
    <t xml:space="preserve">Incêndio em Imóvel </t>
  </si>
  <si>
    <t>Av. São Francisco Xavier, Alt. UERJ - Maracanã</t>
  </si>
  <si>
    <t>CBMERJ</t>
  </si>
  <si>
    <t>Alarme Hexagon, Jarvis, Google.maps</t>
  </si>
  <si>
    <t>Av. das Américas, Alt. Golfe Olímpico - Barra da Tijuca - Sentido S. Conrado</t>
  </si>
  <si>
    <t>Av. Ayrton Senna, Alt. Ponte Santos Dumont - Sentido Orla</t>
  </si>
  <si>
    <t>Av. Ayrton Senna, Alt. Hospital Lourenço Jorge - Barra da Tijuca - Sentido Linha Amarela</t>
  </si>
  <si>
    <t>Google.maps, Tixxi</t>
  </si>
  <si>
    <t>Enguiço ON</t>
  </si>
  <si>
    <t>Av. Brasil, ALt. Passarela 14 - Olaria - Sentido Oeste</t>
  </si>
  <si>
    <t>Obra na via (LIGHT)</t>
  </si>
  <si>
    <t xml:space="preserve">R. das Laranjeiras, 125 - Laranjeiras </t>
  </si>
  <si>
    <t>CET-RIO, LIGHT</t>
  </si>
  <si>
    <t>Operação Policial</t>
  </si>
  <si>
    <t>Av. Rei Pelé, Alt. Museu do Índio - Maracanã - Sentido Meier</t>
  </si>
  <si>
    <t>Tixxi</t>
  </si>
  <si>
    <t>Linha Vermelha, Km 11 - Sentido Baixada</t>
  </si>
  <si>
    <t>AC 6 VP</t>
  </si>
  <si>
    <t xml:space="preserve">Transolímpica - Alt. Est. Marechal Fontenelle - Sent. Av. Brasil - Jardim Sulacap </t>
  </si>
  <si>
    <t xml:space="preserve">CCO Transolímpica </t>
  </si>
  <si>
    <t>Tixxi - Cam 6729</t>
  </si>
  <si>
    <t xml:space="preserve">Av. das Américas - Alt. Est. BRT Nova Barra - Sent. Barra da Tijuca - Recreio dos Bandeirantes </t>
  </si>
  <si>
    <t>Maps</t>
  </si>
  <si>
    <t>Av. Lucio Costa. Alt Posto 8 - Sent. São Conrado</t>
  </si>
  <si>
    <t>CET RIO</t>
  </si>
  <si>
    <t>Maps / Tixxi</t>
  </si>
  <si>
    <t>Enguiço CM</t>
  </si>
  <si>
    <t>Elevado do gasômetro - Sent. Centro</t>
  </si>
  <si>
    <t>Atropelamento</t>
  </si>
  <si>
    <t xml:space="preserve">AV LUIS CARLOS PRESTES,  ALT. BARRA SHOOPING </t>
  </si>
  <si>
    <t>AV DAS AMERICAS , 7907 - BRT AMERICAS PARQUES</t>
  </si>
  <si>
    <t>AC VP x BC</t>
  </si>
  <si>
    <t>AV BRASIL , 17515 - IRAJA - ALT. INSS DE IRAJA - SENTIDO CENTRO</t>
  </si>
  <si>
    <t>Av. Brasil, Caju - Alt. Acesso a Ponte Rio Niterói - Sent. Niterói.</t>
  </si>
  <si>
    <t>Maps - TIXXI - Cam 65</t>
  </si>
  <si>
    <t>AC UT x MT</t>
  </si>
  <si>
    <t>Av das Américas - Barra - Alt. Bosque Marapendi - Sent. Recreio</t>
  </si>
  <si>
    <t>CET RIO - TIXXI</t>
  </si>
  <si>
    <t>Maps - TIXXI - Cam 03</t>
  </si>
  <si>
    <t>Emguiço VP</t>
  </si>
  <si>
    <t>Av Presidente Vargas - P. Central - Alt. Central do Brasil - Sent. Praça da Bandeira.</t>
  </si>
  <si>
    <t>LINHA VERMELHA - ALT. KM 12 - SENT. CENTRO - CORDOVIL</t>
  </si>
  <si>
    <t xml:space="preserve">Google Maps / wase </t>
  </si>
  <si>
    <t>ac 3 VP</t>
  </si>
  <si>
    <t>LINHA AMARELA - ALT. VIADUTO DA GABINAL, SENT. BARRA - CIDADE DE DEUS</t>
  </si>
  <si>
    <t>OPVIA</t>
  </si>
  <si>
    <t>AVENIDA AYRTON SENNA - ALT. CIDADE DAS ARTES - SENT. ORLA - BARRA DA TIJUCA</t>
  </si>
  <si>
    <t xml:space="preserve">Google Maps / wase / Tixxi </t>
  </si>
  <si>
    <t>Atropelamento VP</t>
  </si>
  <si>
    <t>AVENIDA DAS AMÉRICAS - ALT. AV. ALFREDO BALTHAZAR DA SILVEIRA - SENT. SÃO CONRADO - RECREIO DOS BANDEIRANTES</t>
  </si>
  <si>
    <t>ELEVADO DAS BANDEIRAS - SENT. SÃO CONRADO - JOÁ</t>
  </si>
  <si>
    <t xml:space="preserve">AC UT x VP   </t>
  </si>
  <si>
    <t>AVENIDA ATLÂNTICA - ALT. AV. PRINCESA ISABEL - COPACABANA</t>
  </si>
  <si>
    <t xml:space="preserve">Manifestação </t>
  </si>
  <si>
    <t xml:space="preserve"> LINHA VERMELHA - ALT. KM 3.5 - SENT. CENTRO - CAJU</t>
  </si>
  <si>
    <t>TIxxi</t>
  </si>
  <si>
    <t>TÚNEL ANDRÉ REBOUÇAS - 1° GALERIA SENT. CENTRO - COSME VELHO</t>
  </si>
  <si>
    <t>Wazer - TIXXI - Cam - 4049</t>
  </si>
  <si>
    <t>Estrada do Monteiro - Alt. N° 648</t>
  </si>
  <si>
    <t>VideoWall - TIXXI - Cam 135</t>
  </si>
  <si>
    <t>Avenida Ayrton Senna - Acesso para Gardênia</t>
  </si>
  <si>
    <t>VideoWall - TIXXI</t>
  </si>
  <si>
    <t>Incêndio em Imóvel</t>
  </si>
  <si>
    <t>Avenida Ayrton Senna - N° 4260</t>
  </si>
  <si>
    <t xml:space="preserve">AC Envol. VP </t>
  </si>
  <si>
    <t xml:space="preserve">Estr. da Barra da Tijuca - Alt. Av. Armando Lombardi - Sent. Recreio dos Bandeirantes - Barra da Tijuca </t>
  </si>
  <si>
    <t xml:space="preserve">Enguiçio VP </t>
  </si>
  <si>
    <t xml:space="preserve">R. Voluntários da Pátria - Alt. R. Nelson Mandela - Botafogo </t>
  </si>
  <si>
    <t>Av. Ayrton Senna - Alt. Ponte Santos Dumont - Sent. Linha Amarela - Barra da Tijuca</t>
  </si>
  <si>
    <t>Wazer - TIXXI - Cam 4018</t>
  </si>
  <si>
    <t>AC MT x Poste</t>
  </si>
  <si>
    <t>Estrada dos Bandeirantes - N° 100 - Taquara - Sent. Tanque</t>
  </si>
  <si>
    <t>CBMERJ COR - TIXXI</t>
  </si>
  <si>
    <t>Wazer - Google Maps</t>
  </si>
  <si>
    <t>Capotamento VP</t>
  </si>
  <si>
    <t>Av. Infante Dom Henrique - Alt. Museu Carmen Miranda - Sent. Centro</t>
  </si>
  <si>
    <t>GM - Wazer</t>
  </si>
  <si>
    <t>Wazer - Google Maps - TIXXI - Cam 3212</t>
  </si>
  <si>
    <t>Av Ayrton Senna - Alt. Ponte Santos Drumont - Sent. Orla</t>
  </si>
  <si>
    <t>TIXXI - Wazer - Google Maps</t>
  </si>
  <si>
    <t xml:space="preserve">Wazzer - Google Maps - TIXXI - Cam </t>
  </si>
  <si>
    <t>OperaçãoPolicial</t>
  </si>
  <si>
    <t>Rua Humaitá - Alt. N° 425 - Sent. Gávea</t>
  </si>
  <si>
    <t>TIXXI - Cam 112</t>
  </si>
  <si>
    <t>Acesso Viaduto Saint Hilaire - Sent. Centro</t>
  </si>
  <si>
    <t>Ocorrência CBMERJ</t>
  </si>
  <si>
    <t>Ponte Santos Drumont - P. Lateral - Sent. Linha Amarela</t>
  </si>
  <si>
    <t>Wazer - CET RIO</t>
  </si>
  <si>
    <t>Wazer - TIXXI - Cam 421</t>
  </si>
  <si>
    <t>Av Brigadeiro Trompowski - Alt. Av Horácio de Macedo</t>
  </si>
  <si>
    <t>Wazer - TIXXI</t>
  </si>
  <si>
    <t>Wazer - TIXXI - Cam - 7183</t>
  </si>
  <si>
    <t>Av Geremário Dantas - Alt. Estrada do Timdiba</t>
  </si>
  <si>
    <t>TIXXI - Cam - 5217</t>
  </si>
  <si>
    <t>Rua araújo de Porto Alegre - Alt. Av Graça Aranha</t>
  </si>
  <si>
    <t>Google.maps / Tixxi</t>
  </si>
  <si>
    <t>Manutenção na via (LIGHT)</t>
  </si>
  <si>
    <t>Av. Geremário Dantas x Estr. dos Três Rios - Freguesia</t>
  </si>
  <si>
    <t>Alarme Hexagon, Google.maps</t>
  </si>
  <si>
    <t>AC TX x MT</t>
  </si>
  <si>
    <t>Av. Brasil, Alt. Vila Militar - Sentido Centro</t>
  </si>
  <si>
    <t>Elevado 31 de Março, Alt. Sambódromo - Sentido Sto Cristo</t>
  </si>
  <si>
    <t>Av. Prudente de Moraes, 830- Ipanema</t>
  </si>
  <si>
    <t>Estr. do Tindiba, 673 - Taquara</t>
  </si>
  <si>
    <t>AC 2 VPs</t>
  </si>
  <si>
    <t>R. Adelaide Badajos, 15 - Osvaldo Cruz</t>
  </si>
  <si>
    <t>R. Vinte de Abril - Centro</t>
  </si>
  <si>
    <t>Av. Emb. Abelardo Bueno, Alt. BRT Minha Praia - Barra Olímpica</t>
  </si>
  <si>
    <t>Google Maps</t>
  </si>
  <si>
    <t>Operação Lei Seca</t>
  </si>
  <si>
    <t>Avenida Salvador Allende - Alt. N° 6300 - P. lateral - Sent. Transolímpica.</t>
  </si>
  <si>
    <t>Google Maps - CET RIO</t>
  </si>
  <si>
    <t>AC 3 VPs</t>
  </si>
  <si>
    <t>Avenida Brasil - P. Central - Alt. Hospital Municipal Albert Schweitzer - Sent. Z. Oeste</t>
  </si>
  <si>
    <t>Google Maps - TIXXI - Cam 5330</t>
  </si>
  <si>
    <t>Av Borgues de Medeiros - Alt. N° 1627 - Sent. Gávea.</t>
  </si>
  <si>
    <t>Av. Brasil - Alt. Batan - P. Central - Sent. Z. Oeste</t>
  </si>
  <si>
    <t xml:space="preserve">Enguiço vp </t>
  </si>
  <si>
    <t>LINHA AMARELA - ALT. SAÍDA 07 - SENT. FUNDÃO - BONSUCESSO</t>
  </si>
  <si>
    <t xml:space="preserve">Tixxi </t>
  </si>
  <si>
    <t>AC CM X 2VP</t>
  </si>
  <si>
    <t xml:space="preserve"> TRANSOLÍMPICA - ALT. R. SAMPAIO CORRÊA - SENT. RECREIO DOS BANDEIRANTES - CURICICA</t>
  </si>
  <si>
    <t>ELEVADO DAS BANDEIRAS - TABLADO SUPERIOR - SENT. SÃO CONRADO - JOÁ</t>
  </si>
  <si>
    <t>CET</t>
  </si>
  <si>
    <t>Google maps / Tixxi</t>
  </si>
  <si>
    <t>ENguiço Tx</t>
  </si>
  <si>
    <t>ELEVADO DO GASÔMETRO - ALT. INTO - SENT. CENTRO - CAJU</t>
  </si>
  <si>
    <t>MANUTENÇÃO NA VIA (ÁGUAS DO RIO)</t>
  </si>
  <si>
    <t>RUA TEIXEIRA SOARES - ALT. R. PARÁ - - MARACANÃ</t>
  </si>
  <si>
    <t>Google maps / TIxxi</t>
  </si>
  <si>
    <t>ATROPELAMENTO MT</t>
  </si>
  <si>
    <t>VIADUTO SAN TIAGO DANTAS - SENT. CENTRO - BOTAFOGO</t>
  </si>
  <si>
    <t>OPERAÇÃO POLICIAL</t>
  </si>
  <si>
    <t>AVENIDA REI PELÉ - ALT. MUSEU DO ÍNDIO - SENT. MÉIER - MARACANÃ</t>
  </si>
  <si>
    <t>AC UT x VP</t>
  </si>
  <si>
    <t xml:space="preserve">Rua Elias Da Silva - Piedade - Alt. Viaduto </t>
  </si>
  <si>
    <t>Av. Embaixador Abelardo Bueno, 1316 - Barra Olímpica</t>
  </si>
  <si>
    <t>INCÊNDIO EM IMÓVEL RESIDENCIAL</t>
  </si>
  <si>
    <t>RUA HENRIQUE DE ALBUQUERQUE - MARECHAL HERMES - N° 07</t>
  </si>
  <si>
    <t>AC VP X MT</t>
  </si>
  <si>
    <t>AVENIDA MARECHAL RONDON - SAMPAIO - ALT. N° 2500</t>
  </si>
  <si>
    <t>QUEDA MT</t>
  </si>
  <si>
    <t>AVENIDA DAS AMÉRICAS - BARRA DA TIJUCA - ALT. PONTE DA JOATINGA - SENT. SÃO CONRADO</t>
  </si>
  <si>
    <t>AVENIDA TRINTA E UM DE MARÇO - ALT. AV. PRESIDENTE VARGAS - SENT. SANTO CRISTO - CIDADE NOVA</t>
  </si>
  <si>
    <t>AVENIDA BRASIL - ALT. EST. BRT  VIGÁRIO GERAL  - SENT. CENTRO - CORDOVIL</t>
  </si>
  <si>
    <t>Queda MT</t>
  </si>
  <si>
    <t xml:space="preserve"> PRAIA DE BOTAFOGO - ALT. R. VISC. DE OURO PRETO - BOTAFOGO</t>
  </si>
  <si>
    <t>Google Maps - TIXXI</t>
  </si>
  <si>
    <t>Ponte Presidente Costa e Silva - Alt. Vão Central - Sent. Niteroi</t>
  </si>
  <si>
    <t>ECOVIAS</t>
  </si>
  <si>
    <t>TIXXI - Cam 7156</t>
  </si>
  <si>
    <t>Estrada do Tindiba - Sent. Pechincha</t>
  </si>
  <si>
    <t>TIXXI - Cam 471</t>
  </si>
  <si>
    <t>AC VP x Poste Informativo</t>
  </si>
  <si>
    <t>Av Salvador Allende - Alt. Rua Abrahão Jabour - Sent. Av das Américas</t>
  </si>
  <si>
    <t>TIXXI - CAM 116</t>
  </si>
  <si>
    <t>AC Envol. VP</t>
  </si>
  <si>
    <t>Av Borgues de Medeiros - Alt. Posto BR - Sent. Rebouças</t>
  </si>
  <si>
    <t>AC 3 VPS</t>
  </si>
  <si>
    <t>Avenida das Américas - Alt. BRT Bosque Marapendi - Sent. São Conrado - Barra da Tijuca</t>
  </si>
  <si>
    <t>Avenida Brasil - Alt. Posto Vagão - Sent. Centro - Realengo</t>
  </si>
  <si>
    <t>Estrada do Monteiro - Alt. Park Shopping - Sent. Guaratiba - Campo Grande</t>
  </si>
  <si>
    <t>Av. Ayrton Senna - Alt. Ponte Santos Dumont - Sent. Orla - Barra da Tijuca</t>
  </si>
  <si>
    <t>Linha Vermelha - Alt. KM 2 - Sent. Centro - Caju</t>
  </si>
  <si>
    <t xml:space="preserve">Manutenção na via </t>
  </si>
  <si>
    <t>Avenida Meriti - Alt. Av. Padre Roser - Sent. Vicente de Carvalho - Vila da Penha</t>
  </si>
  <si>
    <t>GMSUBTRAN</t>
  </si>
  <si>
    <t>Ponte da Joatinga - Sent. São Conrado - Barra da Tijuca</t>
  </si>
  <si>
    <t>Ponte Rio Niterói - Alt. Vão Central - Sent. Niterói - Caju</t>
  </si>
  <si>
    <t>ECOPONTE</t>
  </si>
  <si>
    <t>Av. Armando Lombardi - Alt. Mergulhão - Sent. São Conrado - Barra da Tijuca</t>
  </si>
  <si>
    <t>Estrada do Galeão - Alt. N° 646 - Cacuia</t>
  </si>
  <si>
    <t>Av. Nilo Peçanha - Alt. R. Debret - Centro</t>
  </si>
  <si>
    <t xml:space="preserve">Av. Salvador Allende - Alt. Est. BRT Ilha Pura - Sent. Transolímpica - Barra Olímpica </t>
  </si>
  <si>
    <t>Atropelamento envolv. ON</t>
  </si>
  <si>
    <t>Av. Vicente de Carvalho - Alt. N° 1096 - Sent. Penha - Vila Cosmos</t>
  </si>
  <si>
    <t xml:space="preserve">Av. Amaro Cavalcanti - Alt. R. Dois de Fevereiro - Sent. Engenho de Dentro - Encantado </t>
  </si>
  <si>
    <t>R. Edgard Werneck - Alt. N° 1622 - Sent. Taquara - Cidade de Deus</t>
  </si>
  <si>
    <t>Av. Ayrton Senna - Alt. Espaço Hall - Sent. Orla - Barra da Tijuca</t>
  </si>
  <si>
    <t>R. Olívia Maia - Alt. Praça Magno - Sent. Irajá - Madureira</t>
  </si>
  <si>
    <t>Túnel André Rebouças - Primeira Galeria - Sent. Centro.</t>
  </si>
  <si>
    <t>Google Maps - Alarme HXG - Tixxi</t>
  </si>
  <si>
    <t>AC UT x 2 VP</t>
  </si>
  <si>
    <t>Linha Vermelha  - Alt. Km 1,5 - Sent. Centro - Caju</t>
  </si>
  <si>
    <t>Linha Vermelha - Alt. Km 10 - Sent. Baixada - Galeão</t>
  </si>
  <si>
    <t>Enguiço TX</t>
  </si>
  <si>
    <t>Túnel Rebouças - 1ª Galeria - Sent. Centro - Cosme Velho</t>
  </si>
  <si>
    <t>CAM - 4395</t>
  </si>
  <si>
    <t xml:space="preserve">AC VP x Mureta </t>
  </si>
  <si>
    <t xml:space="preserve">Av. Brasil - Alt. Est. BRT Lobo Júnior - Sent. Z. Oeste - Penha </t>
  </si>
  <si>
    <t xml:space="preserve">Google Maps - Tixxi </t>
  </si>
  <si>
    <t>Elevado Engenheiro Freyssinet - Sent. Centro - Rio Comprido</t>
  </si>
  <si>
    <t>Google Maps - Tixxi - Alarme HXG</t>
  </si>
  <si>
    <t>AC 3 VP</t>
  </si>
  <si>
    <t>Rua Uranos - Alt. N° 1469 - Sent. Bonsucesso - Olaria</t>
  </si>
  <si>
    <t>Avenida Brasil - Alt. Passarela 9 - Sent. Z. Oeste - Bonsucesso</t>
  </si>
  <si>
    <t>Avenida Brasil - Alt. Taigo - Sent. Santa Cruz - Santíssimo</t>
  </si>
  <si>
    <t>Linha Vermelha - Alt. Km 7 - Sent. Centro - Cidade Universitária</t>
  </si>
  <si>
    <t xml:space="preserve">Linha Vermelha - Alt. Km 1,5 - Sent. Centro - São Cristóvão - </t>
  </si>
  <si>
    <t>Avenida das Américas - Alt. BRT Pedra de Itaúna - Sent. São Conrado - Barra da Tijuca</t>
  </si>
  <si>
    <t>Avenida Marechal Rondon - Alt. R. São Paulo - Sampaio</t>
  </si>
  <si>
    <t>Avenida Salvador Allende - Alt. BRT Tapebuias - Sent. Transolímpica - Barra de Tijuca</t>
  </si>
  <si>
    <t>VP x MT</t>
  </si>
  <si>
    <t>Av. das Américas, Alt. BRT Guimar de Novaes - Recreio</t>
  </si>
  <si>
    <t>3 VPs</t>
  </si>
  <si>
    <t>Av. Ayrton Senna, Alt. Ponte Santos Dumont - Barra da Tijuca</t>
  </si>
  <si>
    <t>Estr. da Barra da Tijuca, Alt. Av. Fidelfo de Azevedo - Itanhangá</t>
  </si>
  <si>
    <t>CBMERJ, CET-RIO</t>
  </si>
  <si>
    <t>BRT x VP</t>
  </si>
  <si>
    <t>Av. das Américas, Alt. BRT Pontões/Barra Sul - Recreio</t>
  </si>
  <si>
    <t>Ocorrência Policial</t>
  </si>
  <si>
    <t>Av. Radial Oeste, Alt. R. Gal Canabarro - Maracanã</t>
  </si>
  <si>
    <t>PMERJ</t>
  </si>
  <si>
    <t>Ocorrência coletada com o CBMERJ</t>
  </si>
  <si>
    <t>R. Augusto de Vasconcelos, 680 - Campo Grande</t>
  </si>
  <si>
    <t>CM x ON x MT</t>
  </si>
  <si>
    <t>R. Mal Rondon, Alt. R. Mal Bittencourt - Sampaio</t>
  </si>
  <si>
    <t>ON x MT</t>
  </si>
  <si>
    <t>R. Marmiari, Alt. CMS Alexander Fleming - Senador Camará</t>
  </si>
  <si>
    <t>TIXXI - Cam 4666</t>
  </si>
  <si>
    <t>Estrada Marechal Alencastro - Alt. Praça Claudio de Souza - Sent. Deodoro</t>
  </si>
  <si>
    <t>TIXXI - Cam 324</t>
  </si>
  <si>
    <t>Rua Pompeu Loureiro x Rua Bolivar</t>
  </si>
  <si>
    <t>TIXXI - Cam 7323</t>
  </si>
  <si>
    <t>Enguiço MT</t>
  </si>
  <si>
    <t>Estrada Intendente Magalhães x Rua Jambeiro</t>
  </si>
  <si>
    <t>TIXX</t>
  </si>
  <si>
    <t xml:space="preserve">Google Maps / Tixxi </t>
  </si>
  <si>
    <t>ESTRADA DOS BANDEIRANTES - ALT. R. SOLDADO JOSÉ COSTA - SENT. BARRA DA TIJUCA - TAQUARA</t>
  </si>
  <si>
    <t>Manutenção na via (SMARTLUZ)</t>
  </si>
  <si>
    <t>AVENIDA PADRE LEONEL FRANCA - ALT. PRAÇA SIBÉLIUS - SENT. LAGOA - GÁVEA</t>
  </si>
  <si>
    <t xml:space="preserve"> LINHA VERMELHA - ALT. KM 12 - SENT. BAIXADA - CORDOVIL</t>
  </si>
  <si>
    <t>AVENIDA BRASIL - BATAN - SENT. CENTRO - REALENGO</t>
  </si>
  <si>
    <t xml:space="preserve"> TÚNEL SANTA BÁRBARA - SENT. LARANJEIRAS - SANTA TERESA</t>
  </si>
  <si>
    <t>TÚNEL SANTA BÁRBARA - SENT. LARANJEIRAS - SANTA TERESA</t>
  </si>
  <si>
    <t>LINHA VERMELHA - ALT. KM 17 - SENT. BAIXADA - PAVUNA</t>
  </si>
  <si>
    <t>Av. das Américas - Alt. Est. BRT Interlagos - Sent. São Conrado - Barra da Tijuca</t>
  </si>
  <si>
    <t>Transolímpica - Alt. BRT Outeiro Santo - Sent. Recreio - Taquara</t>
  </si>
  <si>
    <t>VIA-RIO</t>
  </si>
  <si>
    <t>Av. Marechal Alencastro - Alt. Parque Radical - Ambos sentidos - Deodoro</t>
  </si>
  <si>
    <t>Google Maps - TIxxi</t>
  </si>
  <si>
    <t>AC VTR X VP</t>
  </si>
  <si>
    <t>Rua Conde de Bonfim - Alt. R. Alves de Brito - Sent. Centro - Tijuca</t>
  </si>
  <si>
    <t>Av. Brasil - Alt. Passarela 32 - Sent. Z. Oeste - Guadalupe</t>
  </si>
  <si>
    <t>Av. Brasil - Alt. Passarela 32 - Sent. Centro - Guadalupe</t>
  </si>
  <si>
    <t xml:space="preserve">Viaduto dos Aviadores - Sent. Centro - Praça da Bandeira </t>
  </si>
  <si>
    <t>Av. Ayrton Senna - Alt. Espaço Hall - Sent. Orla - Gardênia Azul</t>
  </si>
  <si>
    <t>Incêndio ON</t>
  </si>
  <si>
    <t>Av. Nuta James - Alt. Condado do Caiscais - Barra da Tijuca</t>
  </si>
  <si>
    <t>AC envolv. VP</t>
  </si>
  <si>
    <t>Av. das Américas - Alt. Est. BRT Nova Barra - Sent. Barra - Recreio dos Bandeirantes</t>
  </si>
  <si>
    <t>Av. Ayrton Senna - Alt. UPTOWN - Sent. Orla - Gardênia Azul</t>
  </si>
  <si>
    <t>Linha Vermelha - Alt. KM 13 - Sent. Baixada - Cordovil</t>
  </si>
  <si>
    <t xml:space="preserve">Av. Salvador Allende - Alt. Est. BRT Catedral do Recreio - Sent. Transolímpica - Recreio dos Bandeirantes </t>
  </si>
  <si>
    <t>Av. Ayrton Senna - Alt. Assaí - Sent. Linha Amarela - Gardênia Azul</t>
  </si>
  <si>
    <t>Linha Vermelha - Alt. Km 8 - Sent. Baixada - Cidade Universitária</t>
  </si>
  <si>
    <t>Túnel Rebouças, Alt 2º Galeria - Sentido Lagoa</t>
  </si>
  <si>
    <t>Av. Borges de Medeiros, Alt. R. Maria Angélica - Sentido Rebouças</t>
  </si>
  <si>
    <t>UT x 4 VPs</t>
  </si>
  <si>
    <t>Av. Brasil, Alt. Passarela 5 - Manguinhos - Sentido Centro</t>
  </si>
  <si>
    <t>Linha Verrmelha, Km 10 - Sentido Baixada</t>
  </si>
  <si>
    <t>VP x Mureta</t>
  </si>
  <si>
    <t>Túnel Rebouças, Alt 2º Galeria - Sentido Centro</t>
  </si>
  <si>
    <t>Queda de MT</t>
  </si>
  <si>
    <t>Av. Brasil, Alt. Passarela 15 - Senti Centro</t>
  </si>
  <si>
    <t>Av. Brasil, Alt. Passarela 8 - Sentido Oeste</t>
  </si>
  <si>
    <t>Estr. da Posse, 1.206 - Campo Grande - Sentido Guaratiba</t>
  </si>
  <si>
    <t>2 MTs</t>
  </si>
  <si>
    <t>Estr. do Campinho. 4.591 - Inhoaíba - Sent. Campo Grande</t>
  </si>
  <si>
    <t xml:space="preserve">Av. de Santa Cruz, Alt. Cavalo de Aço - Senador Camará </t>
  </si>
  <si>
    <t>Incêndio imóvel Residencial</t>
  </si>
  <si>
    <t>R. Estácio de Sá, 67 - Estácio</t>
  </si>
  <si>
    <t>Estr. Guandu do Sena, 1.440 - Bangu</t>
  </si>
  <si>
    <t>Av. Brig. Delamare, 55 - Mal. Hermes</t>
  </si>
  <si>
    <t>R. Nepomuceno, Alt. R. Limites - Realengo</t>
  </si>
  <si>
    <t>Av. Areia Branca, 1.370 - Santa Cruz</t>
  </si>
  <si>
    <t>R. Dias da Cruz, 371 - Méier - Sentido Centro</t>
  </si>
  <si>
    <t>R. Ibipoara, 46 - Santa Cruz</t>
  </si>
  <si>
    <t>Av. Lúcio Costa, Alt. Ilha 9 - Barra da Tijuca</t>
  </si>
  <si>
    <t>Av. Dom João VI, Alt. BRT Magarça - Guaratiba - Sent. Barra</t>
  </si>
  <si>
    <t>Av. Pastor Martin Luther King, Alt. Nova América - Del Castilho, Sentido Pavuna</t>
  </si>
  <si>
    <t>Estr. do Cabuçu, 4356 - Campo Gande</t>
  </si>
  <si>
    <t>R. Manhuaçu, Alt. Bar Ortega - Vargem Grande</t>
  </si>
  <si>
    <t>Av. Rodrigues Alves, Alt. R. Prof. Pereira Reis - Sto. Cristo</t>
  </si>
  <si>
    <t>Enguiço CR</t>
  </si>
  <si>
    <t>AVENIDA BRASIL - ALT. PASSARELA 08 - SENT. CENTRO - BONSUCESSO</t>
  </si>
  <si>
    <t xml:space="preserve"> ELEVADO ENGENHEIRO FREYSSINET - SENT. LAGOA - RIO COMPRIDO</t>
  </si>
  <si>
    <t>AVENIDA BRASIL - ALT. VIADUTO DE DEODORO - SENT. Z. OESTE - DEODORO</t>
  </si>
  <si>
    <t>AVENIDA BRASIL - ALT. VIADUTO - SENT. CENTRO - DEODORO</t>
  </si>
  <si>
    <t>AVENIDA BRASIL - ALT. VIADUTO DEODORO - SENT. CENTRO - DEODORO</t>
  </si>
  <si>
    <t>AVENIDA BRASIL - ALT. PASSARELA 08 - SENT. Z. OESTE - BONSUCESSO</t>
  </si>
  <si>
    <t>LINHA VERMELHA - ALT. KM 11 - SENT. BAIXADA - GALEÃO</t>
  </si>
  <si>
    <t>Wazer - TIXXI - Cam 482</t>
  </si>
  <si>
    <t>Av. Ministro Ivan Lins - Alt. Ponte da Joatinga - Sent. Recreio</t>
  </si>
  <si>
    <t>Linha Vermelha - Alt. Km 11 - Sent. Centro - Galeão</t>
  </si>
  <si>
    <t>Av. Brasil - Alt. Linha Amarela - Sent. Centro - Bonsucesso</t>
  </si>
  <si>
    <t>Elevado Eng. Freyssinet - Alt. Entrada do Túnel Rebouças - Sent. Lagoa - Rio Comprido</t>
  </si>
  <si>
    <t>Queda de carga na via</t>
  </si>
  <si>
    <t>Av. Brasil - Alt. Av. Lobo Júnior - Sent. Z. Oeste - Penha</t>
  </si>
  <si>
    <t>Elevado Eng. Freyssinet - Sent. Lagoa - Rio Comprido</t>
  </si>
  <si>
    <t>Estr. do Mato Alto - Alt. N° 509 - Campo Grande</t>
  </si>
  <si>
    <t>Linha Vermelha - Alt. KM 1,5 - Sent. Centro - Caju</t>
  </si>
  <si>
    <t>Linha Amarela - Alt. Saída 8 - Sent. Barra - Bonsucesso</t>
  </si>
  <si>
    <t>LAMSA</t>
  </si>
  <si>
    <t>Linha Vermelha - Alt. Km 11 - Sent. Baixada - Galeão</t>
  </si>
  <si>
    <t>Linha Vermelha - Alt. kM 16 - Sent. Centro - Cordovil</t>
  </si>
  <si>
    <t>AC CM x VP</t>
  </si>
  <si>
    <t>Av. Brasil - Alt. Passarela 15 - Sent. Z. Oeste - Penha</t>
  </si>
  <si>
    <t>Av. Embaixador Abelardo Bueno - Alt. Rio II - Sent. Av. Salvador Allende - Barra Olímpica</t>
  </si>
  <si>
    <t>Atropelamento envolv. BRT</t>
  </si>
  <si>
    <t>Av. Vicente de Carvalho - Alt. R. Soldado Servino Mengarda - Sent. Penha - Vila da Penha</t>
  </si>
  <si>
    <t>CICC/CBMERJ</t>
  </si>
  <si>
    <t>Google Maps - Tixxi - CAM 69</t>
  </si>
  <si>
    <t xml:space="preserve">AC 2 VP x MT </t>
  </si>
  <si>
    <t xml:space="preserve">Av. Rei Pelé - Alt. Vto Oduvaldo Cozzi - Sent. Méier - Maracanã </t>
  </si>
  <si>
    <t>Google Maps - Tixxi - Cam 3212</t>
  </si>
  <si>
    <t xml:space="preserve">Av. Ayrton Senna - Alt. Ponte Santos Dumont - Sent. Orla - Barra da Tijuca </t>
  </si>
  <si>
    <t xml:space="preserve">AC VP x MT </t>
  </si>
  <si>
    <t xml:space="preserve">Transolímpica - Alt. Est. BRT Marechal Fontenelle - Sent. Av. Brasil - Vila Militar </t>
  </si>
  <si>
    <t>Linha Vermelha - Alt. Km 14 - Sent. Centro - Cordovil</t>
  </si>
  <si>
    <t>Rua São Clemente - Alt. R. Sorocaca - Botafogo</t>
  </si>
  <si>
    <t>AC 2 VP x MT</t>
  </si>
  <si>
    <t>Estr. dos Bandeirantes - Alt. Estr. do Guerenguê - Sent. Curicica - Taquara</t>
  </si>
  <si>
    <t>Av. Ayrton Senna - Alt. Giro do Cebolinha - Sent. Orla - Gardenia Azul</t>
  </si>
  <si>
    <t>Viaduto Alim Pedro - Sent. Guaratiba - Campo Grande</t>
  </si>
  <si>
    <t>Elevado do Gasômetro - Alt. INTO - Sent. Av. Brasil - Caju</t>
  </si>
  <si>
    <t>AC VP x 2 MT</t>
  </si>
  <si>
    <t xml:space="preserve"> LINHA VERMELHA - ALT. KM 8 - SENT. CENTRO - GALEÃO</t>
  </si>
  <si>
    <t>LIinha Vermelha - Alt. Km 13 - Sent. Centro - Cordovil</t>
  </si>
  <si>
    <t>Estr. dos Açudes - Alt. N° 41 - Alto da Boa Vista</t>
  </si>
  <si>
    <t>Av. Brasil - Alt. Passarela 17 -  Sent. Centro - Penha</t>
  </si>
  <si>
    <t>Linha Vermelha - Alt. Km 12 - Sent. Centro - Galeão</t>
  </si>
  <si>
    <t>Av. Brasil - Alt. Viaduto Ataulfo Alves - Sent. Z. Oeste - Benfica</t>
  </si>
  <si>
    <t>AC CR x VP</t>
  </si>
  <si>
    <t>Av. Brasil - Alt. Canal do Cunha - Sent. Z. Oeste - Benfica</t>
  </si>
  <si>
    <t>Atropelamento MT</t>
  </si>
  <si>
    <t>RUA MÁRIO RIBEIRO - ALT. HOSPITAL MUNICIPAL MIGUEL COUTO - SENT. LAGOA - LEBLON</t>
  </si>
  <si>
    <t>Cet-RIO</t>
  </si>
  <si>
    <t>Google Maps - Tixxi - Cam 58</t>
  </si>
  <si>
    <t xml:space="preserve">Enguiço UT </t>
  </si>
  <si>
    <t xml:space="preserve">Av. Ayrton Senna - Alt. Via Parque - Sent. Linha Amarela - Barra da Tijuca </t>
  </si>
  <si>
    <t>Google Maps - Tixxi - Cam 778</t>
  </si>
  <si>
    <t xml:space="preserve">Av. Francisco Bicalho - Alt. R. Idalina Sena - Sent. Praça da Bandeira - Santo Cristo </t>
  </si>
  <si>
    <t>Tixxi - Cam - 4580</t>
  </si>
  <si>
    <t xml:space="preserve">Av. Francisco Bicalho - Alt. Linha férrea - Sent. Av. Brasil - Praça da Bandeira </t>
  </si>
  <si>
    <t>Maps - Tixxi - Cam - 432 - 07:46</t>
  </si>
  <si>
    <t>Linha Vermelha, Alt. Km 7.5 - Cidade Universitária - Sent. Centro</t>
  </si>
  <si>
    <t xml:space="preserve">Maps  </t>
  </si>
  <si>
    <t>Elevado do Gasômetro - Alt. INTO - Sent. Centro</t>
  </si>
  <si>
    <t>Drone</t>
  </si>
  <si>
    <t>Linha Vermelha - Alt. Fundão - Sent. Baixada.</t>
  </si>
  <si>
    <t>Wazer - TIXXI - Cam 1083</t>
  </si>
  <si>
    <t>Ocorrência PMERJ</t>
  </si>
  <si>
    <t>Rua Bela, 909</t>
  </si>
  <si>
    <t>Google Maps - Tixxi Cam 335</t>
  </si>
  <si>
    <t xml:space="preserve"> RUA CONDE DE BONFIM - ALT. RUA ABELARDO CHACRINHA BARBOSA - SENT. PRAÇA DA BANDEIRA - TIJUCA</t>
  </si>
  <si>
    <t>RUA ARTUR RIOS - ALT. R. FRANCISCO MOTA - SENT. BANGU - SENADOR VASCONCELOS</t>
  </si>
  <si>
    <t>ESTRADA DOS BANDEIRANTES - ALT. ESTR. CEL. PEDRO CORRÊA  - SENT. JACAREPAGUÁ - CURICICA</t>
  </si>
  <si>
    <t>AVENIDA AYRTON SENNA - ALT. CIDADE DAS ARTES - SENT. SÃO CONRADO - BARRA DA TIJUCA</t>
  </si>
  <si>
    <t>Transolímpica - Alt. Est. BRT Marechal Fontenelle - Sent. Recreio - Sulacap</t>
  </si>
  <si>
    <t>VIA RIO</t>
  </si>
  <si>
    <t xml:space="preserve">Av. das Américas - Alt. Est. Guignard - Sent. Barra - Recreio dos Bandeirantes </t>
  </si>
  <si>
    <t>Linha Amarela - Alt. Saída 2 - Sent. Fundão - Água Santa</t>
  </si>
  <si>
    <t>Av. Brasil - Alt. Passarela 4 - Sent. Centro - Benfica</t>
  </si>
  <si>
    <t>Concentração de manifestantes</t>
  </si>
  <si>
    <t>Rua da Ajuda - Alt. Alerj - Centro</t>
  </si>
  <si>
    <t>Rua Boa Vista - Alt. R. Jorn. Guima - Sent. Itanhangá - Alto da Boa Vista</t>
  </si>
  <si>
    <t>Av. Salvador Allende - Alt. BRT Asa Branca - Sent. Recreio - Barra Olímpica</t>
  </si>
  <si>
    <t>Túnel Zuzu Angel - Sent. Lagoa - Rocinha</t>
  </si>
  <si>
    <t>Atropelamento envolv. MT</t>
  </si>
  <si>
    <t>Rua Real Grandeza - Alt. Cemitério - Sent. Humaitá - Botafogo</t>
  </si>
  <si>
    <t>Av. Trinta e Um de Março - Alt. R. Dr. Ladgen - Sent. Laranjeiras - Catumbi</t>
  </si>
  <si>
    <t>Av. Ayrton Senna - Alt. Espaço Hall - Sent. Linha Amarela - Gardenia Azul</t>
  </si>
  <si>
    <t>Av. Ayrton Senna - Alt. Cidade das Artes - Sent. Orla - Barra da Tijuca</t>
  </si>
  <si>
    <t>Linha Vermelha - Alt. Km 12 - Sent. Baixada - Galeão</t>
  </si>
  <si>
    <t>Av. Francisco Bicalho - Alt. Detran - Sent. Centro - Santo Cristo</t>
  </si>
  <si>
    <t>Estr. de Jacarepaguá - Alt. N° 7153 - Freguesia (Jacarepagua)</t>
  </si>
  <si>
    <t>Av. Marechal Fontenelle - Alt. N° 3610 - Sent. Bangu - Jardim Sulacap</t>
  </si>
  <si>
    <t>Av. Lúcio Costa - Alt. Av. Érico Veríssimo - Sent. São Conrado - Barra da Tijuca</t>
  </si>
  <si>
    <t>Av. Nelson Cardoso - Alt. Est. BRT Aracy Cabral - Sent. Madureira - Taquara</t>
  </si>
  <si>
    <t>Google Maps - Tixxi - Cam 1010</t>
  </si>
  <si>
    <t xml:space="preserve">Av. Francisco Bicalho - Alt. Elevado da Perimetral - Sent. Av. Brasil - Santo Cristo </t>
  </si>
  <si>
    <t xml:space="preserve">Av. Brasil - Alt. BRT Baixa do Sapateiro - Sent. Centro - Bonsucesso </t>
  </si>
  <si>
    <t>Google Maps - Tiixi - Cam - 5916</t>
  </si>
  <si>
    <t xml:space="preserve">Ponte Rio - Niterói - Alt. Subida da Ponte - Sent. Niterói - Caju </t>
  </si>
  <si>
    <t>Google Mapas - Tixxi - Cam - 216</t>
  </si>
  <si>
    <t xml:space="preserve">Av. Brasil - Alt. Subida da Ponte - Sent. Niterói - Caju </t>
  </si>
  <si>
    <t>Tixxi - Cam - 112</t>
  </si>
  <si>
    <t xml:space="preserve">AC 3 VP </t>
  </si>
  <si>
    <t xml:space="preserve">Viaduto Saint Hilaire - Sent. Lagoa - Jardim Botânico </t>
  </si>
  <si>
    <t>Tixxi - Cam - 92</t>
  </si>
  <si>
    <t xml:space="preserve">Atropelamento VP </t>
  </si>
  <si>
    <t xml:space="preserve">Av. Brasil - Alt. Passarela 4 - Sent. Centro - São Cristóvão </t>
  </si>
  <si>
    <t>Google Maps - Tixxi - Cam 4412</t>
  </si>
  <si>
    <t xml:space="preserve">Enguiço CM </t>
  </si>
  <si>
    <t xml:space="preserve">Av. Brasil - Alt. BRT Fazenda Botafogo - Sent. Centro - Coelho Neto </t>
  </si>
  <si>
    <t>Tixxi - Cam 58</t>
  </si>
  <si>
    <t>Av. Ayrton Senna - Alt. Via Parque - Sent. Linha Amarela - Barra da Tijuca</t>
  </si>
  <si>
    <t>Google Maps - Tixxi - Cam 138</t>
  </si>
  <si>
    <t>Av. Pastor Martin Luther King Jr. - Alt. Estr. Adhemar Bebiano - Sent. Pavuna - Engenho da Rainha</t>
  </si>
  <si>
    <t>Av. Brasil - Alt. Fiocruz - Sent. Centro - Maré</t>
  </si>
  <si>
    <t>Av. Francisco Bicalho - Alt. Leopoldina - Sent. Rodoviária - Centro</t>
  </si>
  <si>
    <t>Linha Vermelha - Alt. Km 6,5 - Sent. Centro - Cidade Universitária</t>
  </si>
  <si>
    <t xml:space="preserve">Av. Ayrton Senna - Alt. Ponte Santos Dumont - Sent. Linha Amarela - Barra da Tijuca </t>
  </si>
  <si>
    <t>Linha Vermelha - Alt. Km 7 - Sent. Baixada - Cidade Universitária</t>
  </si>
  <si>
    <t xml:space="preserve">Ponte Rio - Niterói - Santo Cristo </t>
  </si>
  <si>
    <t>Google Maps - Tixxi - Cam 571</t>
  </si>
  <si>
    <t xml:space="preserve">Óleo na via </t>
  </si>
  <si>
    <t xml:space="preserve">Av. Cesário de Melo - Alt. R. Artur Rios - Sent. Estr. da Caroba - Campo Grande </t>
  </si>
  <si>
    <t xml:space="preserve">ECOPONTE </t>
  </si>
  <si>
    <t>TIXXI - Cam 360</t>
  </si>
  <si>
    <t>Rua São Francisco Xavier x Rua Mariz e Barros</t>
  </si>
  <si>
    <t>TIXX , O.P. CICC</t>
  </si>
  <si>
    <t>TIXXI - Cam 373</t>
  </si>
  <si>
    <t>Av Dom Helder Camara - Alt. Rua Moreira - Sent. Cascadura</t>
  </si>
  <si>
    <t>TIXXI - OP. CICC</t>
  </si>
  <si>
    <t xml:space="preserve">Googles Maps </t>
  </si>
  <si>
    <t xml:space="preserve"> AUTOESTRADA GRAJAÚ-JACAREPAGUÁ - ALT. KM 6,5 - SENT. JPA - JACAREPAGUÁ</t>
  </si>
  <si>
    <t xml:space="preserve">Googles Maps - TIXXI </t>
  </si>
  <si>
    <t xml:space="preserve">AVENIDA AYRTON SENNA - ALT. HOSPITAL MUNICIPAL LOURENÇO JORGE - SENT. ORLA - BARRA </t>
  </si>
  <si>
    <t>Manutrenção na via ( COMLURB)</t>
  </si>
  <si>
    <t>AVENIDA BRASIL - ALT. VIADULTO DA ILHA SENT. Z. OESTE - MARÉ</t>
  </si>
  <si>
    <t xml:space="preserve">Buraco na via </t>
  </si>
  <si>
    <t>AVENIDA ARMANDO LOMBARDI - ALT. METRÔ JARDIM OCEÂNICO - SENT. SÃO CONRADO - BARRA DA TIJUCA</t>
  </si>
  <si>
    <t>SECONSERVA</t>
  </si>
  <si>
    <t>AVENIDA AYRTON SENNA - ALT. HOSPITAL MUNICIPAL LOURENÇO JORGE - SENT. LINHA AMARELA - BARRA DA TIJUCA</t>
  </si>
  <si>
    <t xml:space="preserve"> LINHA VERMELHA - ALT. KM 8 - SENT. BAIXADA - CIDADE UNIVERSITÁRIA</t>
  </si>
  <si>
    <t>AVENIDA MONSENHOR FÉLIX - ALT. R. PEREIRA DE ARAÚJO - IRAJÁ</t>
  </si>
  <si>
    <t>Operador CICC</t>
  </si>
  <si>
    <t>AVENIDA BRASIL - ALT. PASSARELA 14 - OLARIA</t>
  </si>
  <si>
    <t>AVENIDA ARMANDO LOMBARDI - ALT. PONTE ESTAIADA DO METRÔ - SENT. RECREIO - BARRA DA TIJUCA</t>
  </si>
  <si>
    <t>Google Maps - TIXXI - Alarme HXG</t>
  </si>
  <si>
    <t>Linha Vermelha, alt. Km 3 - Sent. Baixada - Caju</t>
  </si>
  <si>
    <t>Rua Cosme Velho - Alt. N° 123 - Sent. Laranjeiras - Cosme Velho</t>
  </si>
  <si>
    <t xml:space="preserve">Elevado Eng. Freyssinet - Sent. Linha Vermelha - Rio Comprido </t>
  </si>
  <si>
    <t>Linha Vermelha - Alt. KM 9 - Sent. Baixada - Galeão</t>
  </si>
  <si>
    <t>Av. Brasil - Alt. Passarela 10 - Sent. Centro - Maré</t>
  </si>
  <si>
    <t>Linha Amarela - Alt. Acesso 8 - Sent. Barra - Bonsucesso</t>
  </si>
  <si>
    <t>Av. Brasil - Alt. Passarela 6 - Sent. Z. Oeste - Benfica</t>
  </si>
  <si>
    <t>AC VTR x VP</t>
  </si>
  <si>
    <t>Av. Francisco Bicalho - Alt. Linha Férrea - Sent. Av. Brasil - Santo Cristo</t>
  </si>
  <si>
    <t>AC ON x TX</t>
  </si>
  <si>
    <t>Av. Maracanã - Alt. Praça Varnhagen - Sent. Centro - Tijuca</t>
  </si>
  <si>
    <t>Google Maps - TIXXI - Cam 21</t>
  </si>
  <si>
    <t xml:space="preserve">Viaduto dos Fuzileiros - Sent. Centro - Praça da Bandeira </t>
  </si>
  <si>
    <t xml:space="preserve">Linha Vermelha - Alt. KM 4 - Sent. Centro - Galeão </t>
  </si>
  <si>
    <t>Semáforo apagado</t>
  </si>
  <si>
    <t>Av. Marechal Rondon - Alt. R. Mal. Bittencourt - Riachuelo</t>
  </si>
  <si>
    <t>Av. Marechal Rondon - Alt. R. Sousa Dantas - São Francisco Xavier</t>
  </si>
  <si>
    <t>Elevado Eng. Freyssinet - Sent, Lagoa - Rio Comprido</t>
  </si>
  <si>
    <t>AC ON x TX x 2 VP</t>
  </si>
  <si>
    <t>Rua Barata Ribeiro - Alt. N° 450 - Copacabana</t>
  </si>
  <si>
    <t>Linha Amarela - Alt. Túnel da Covanca - Sent. Fundão - Água Santa</t>
  </si>
  <si>
    <t>Av. Brasil - Alt. Arena da Juventude - Sent. Centro - Deodoro</t>
  </si>
  <si>
    <t>Transolímpica - Alt. Est. BRT Leila Diniz - Sent. Deodoro - Curicica</t>
  </si>
  <si>
    <t xml:space="preserve">Elevado Eng. Rufino Pizarro - Sent. Lagoa - Cidade Nova </t>
  </si>
  <si>
    <t>Estr. da Água Grande - Alt. Praça São João Berchmans - Sent. Cordovil - Irajá</t>
  </si>
  <si>
    <t>Av. Epitácio Pessoa - Alt. Parque da Catacumba - Sent. Ipanema - Lagoa</t>
  </si>
  <si>
    <t>Av. Ayrton Senna - Alt. Ponte Santos Dumont - Sent. Linha Amarela</t>
  </si>
  <si>
    <t>Rua São Francisco Xavier - Alt. R. Santos Mello - São Francisco Xavier</t>
  </si>
  <si>
    <t>Av. Pastor Martin Luther King Jr. - Alt. R. Eng. Mario Carvalho - Sent. Irajá - Vicente de Carvalho</t>
  </si>
  <si>
    <t>Rua Real Grandeza - Alt. Cemintério - Sent. Copacabana - Botafogo</t>
  </si>
  <si>
    <t>Av. Salvador Allende - Alt. Est. BRT Catedral do Recreio - Sent. Recreio - Barra da Tijuca</t>
  </si>
  <si>
    <t>Transolímpica - Alt. Est. BRT Outeiro Santo - Sent. Recreio - Taquara</t>
  </si>
  <si>
    <t>Avenida Presidente Vagas - Alt. R. do Santana - Sent. Praça da Bandeira - Centro</t>
  </si>
  <si>
    <t>Av. Salvador Allende - Alt. Est. BRT Minha Praia - Sent. Transolímpica - Barra da Tijuca</t>
  </si>
  <si>
    <t>Av. Brasil - Alt. Passarela 8 - Sent. Centro - Bonsucesso</t>
  </si>
  <si>
    <t>Estrada Intendente Magalhães - Alt. N° 991 - Sent. Cascadura - Vila Valqueire</t>
  </si>
  <si>
    <t>Av. Vicente de Carvalho - Alt. N° 1100 - Sent. Penha - Vila Kosmos</t>
  </si>
  <si>
    <t>Av. Lucio Costa - Alt. N° 2630 - Sent. Recreio - Barra da Tijuca</t>
  </si>
  <si>
    <t>Atropelamento envolv. VP</t>
  </si>
  <si>
    <t>Rua Ulisses Guimarães - Alt. CASS - Cidade Nova</t>
  </si>
  <si>
    <t xml:space="preserve">Av. Ayrton Senna - Alt. Nº 3600 - Sent. Orla - Barra da Tijuca </t>
  </si>
  <si>
    <t xml:space="preserve">Linha Amarela - Alt. Saída 7 - Sent. Z. Oeste - Bonsucesso </t>
  </si>
  <si>
    <t xml:space="preserve">Av. Dom João VI - Alt. Est. BRT Embrapa - Sent. Santa Cruz - Guaratiba </t>
  </si>
  <si>
    <t>Tixxi CAM 135</t>
  </si>
  <si>
    <t>Operação PMERJ</t>
  </si>
  <si>
    <t>Av. Ayrton Senna - Giro do Cebolinha</t>
  </si>
  <si>
    <t>TIXXI- Cam 555</t>
  </si>
  <si>
    <t>Av. Santa Cruz x Rua Silva Cardoso</t>
  </si>
  <si>
    <t>TIXXi - CAM 135</t>
  </si>
  <si>
    <t>TIXXI - CAM 1122</t>
  </si>
  <si>
    <t>Av Don Helder Câmara x Rua Cerqueira  Daltro - Sent. Cavalcante</t>
  </si>
  <si>
    <t>TIXXI - Cam  135</t>
  </si>
  <si>
    <t>Manutenção ( SMARTLUZ )</t>
  </si>
  <si>
    <t>Av Ayrton Senna - Alt. Gardênia Azul - Sent. Linha Amarela</t>
  </si>
  <si>
    <t>Tixxi / Maps</t>
  </si>
  <si>
    <t>Av. Rodrigues Alves - Alt. R. Garcia Pires</t>
  </si>
  <si>
    <t>Linha Vermelha - Alt. Km 15 - Sent. Baixada</t>
  </si>
  <si>
    <t>Av. das Américas - Alt. N° 4666 - Sent. Recreio</t>
  </si>
  <si>
    <t>Estrada rio do A - Alt. Estrada Rio SP</t>
  </si>
  <si>
    <t>Av. Francisco Bicalho - Alt. Leopoldina - Sent. Rodoviária</t>
  </si>
  <si>
    <t>Elevado Eng. Freyssinet - Sent. Lagoa</t>
  </si>
  <si>
    <t>Manutenção na Via (IGUÁ)</t>
  </si>
  <si>
    <t>Av. Ayrton Senna - Alt. N° 4190 - Sent. Linha Amarela</t>
  </si>
  <si>
    <t>Evento Colégio Militar</t>
  </si>
  <si>
    <t xml:space="preserve">Rua São Francisco Xavier - Alt. Colégio Militar </t>
  </si>
  <si>
    <t>AC CM x UT x 2 VP</t>
  </si>
  <si>
    <t xml:space="preserve">Av. Brasil - Alt. Passarela 28 - Sent. Centro - Irajá </t>
  </si>
  <si>
    <t>Rua Afonso Pena - Alt. R Dr. Satamini</t>
  </si>
  <si>
    <t>Linha Vermelha - Alt. Km 0 - Sent. Baixada</t>
  </si>
  <si>
    <t>Google Maps  - Tixxi cam 5820</t>
  </si>
  <si>
    <t xml:space="preserve">Enguiço ON </t>
  </si>
  <si>
    <t>ESTRADA DA ÁGUA GRANDE - ALT. PRAÇA SÃO JOÃO BERCHMANS - SENT. CORDOVIL - VISTA ALEGRE</t>
  </si>
  <si>
    <t>Google Maps  - Tixxi cam 782</t>
  </si>
  <si>
    <t>Ac Envol VP</t>
  </si>
  <si>
    <t>ELEVADO DO GASÔMETRO - ALT. ACESSO PARA A AV. RODRIGUES ALVES - SENT. CENTRO - CAJU</t>
  </si>
  <si>
    <t>RUA GOIÁS - ALT. N° 1016 - SENT. MÉIER - QUINTINO BOCAIUVA</t>
  </si>
  <si>
    <t>Google Maps - Tixxi Cam 804</t>
  </si>
  <si>
    <t>AVENIDA PASSOS - ALT. R. LUIS DE CAMÕES - CENTRO</t>
  </si>
  <si>
    <t>ELEVADO ENGENHEIRO FREYSSINET - SENT. LAGOA - RIO COMPRIDO</t>
  </si>
  <si>
    <t>Engiuço CR</t>
  </si>
  <si>
    <t>AVENIDA BRASIL - ALT. DA PASSARELA 28  - SENT. Z.OESTE. - COELHO NETO</t>
  </si>
  <si>
    <t>Google Maps - Tixxi Cam 4525</t>
  </si>
  <si>
    <t>LINHA VERMELHA - ALT. KM 5 - SENT. CENTRO - MARÉ</t>
  </si>
  <si>
    <t>AC 4 VP</t>
  </si>
  <si>
    <t>TÚNEL ANTÔNIO REBOUÇAS - 1ª GALERIA - SENT. LAGOA - COSME VELHO</t>
  </si>
  <si>
    <t>Google Maps - Tixxi Cam 58</t>
  </si>
  <si>
    <t>AVENIDA AYRTON SENNA - ALT. AEROTOWN - SENT. ORLA - BARRA DA TIJUCA</t>
  </si>
  <si>
    <t>AVENIDA BRASIL - ALT. DA PASSARELA 23  - SENT. Z.OESTE. - IRAJÁ</t>
  </si>
  <si>
    <t>AC CM x 2 VP</t>
  </si>
  <si>
    <t>AVENIDA BRASIL - ALT. STAND DE TIRO – SENT. CENTRO - DEODORO</t>
  </si>
  <si>
    <t>ELEVADO DAS BANDEIRAS - SENT. BARRA - JOÁ</t>
  </si>
  <si>
    <t>AVENIDA BRASIL - ALT. DA PASSARELA 27  - SENT. Z.OESTE. - IRAJÁ</t>
  </si>
  <si>
    <t>AC 2 CM x ON</t>
  </si>
  <si>
    <t>PONTE RIO - NITERÓI - ALT. GRANDE CURVA - SENT. NITERÓI - CAJU</t>
  </si>
  <si>
    <t>Ecoponte</t>
  </si>
  <si>
    <t>Tixxi Cam 45</t>
  </si>
  <si>
    <t>AC CM x VP x MT</t>
  </si>
  <si>
    <t>AVENIDA PADRE LEONEL FRANCA - ALT. PRAÇA SIBELIUS - SENT. BARRA DA TIJUCA - GÁVEA</t>
  </si>
  <si>
    <t>Google Maps - Tixxi Cam 3574</t>
  </si>
  <si>
    <t>AVENIDA PASTOR MARTIN LUTHER KING JÚNIOR - ALT. AV. VICENTE DE CARVALHO - IRAJÁ - VICENTE DE CARVALHO</t>
  </si>
  <si>
    <t>LINHA VERMELHA - ALT. KM10 - BAIXADA - GALEÃO</t>
  </si>
  <si>
    <t>Tixxi - Cam 44</t>
  </si>
  <si>
    <t xml:space="preserve">R. Jardim Botânico - Alt. R. Pacheco Leão - Sent. Gávea - Jardim Botânico </t>
  </si>
  <si>
    <t>Tixxi - Cam 5702</t>
  </si>
  <si>
    <t xml:space="preserve">R. das Laranjeiras - Alt. R. Pereira Nunes da Silva - Laranjeiras </t>
  </si>
  <si>
    <t>Google Maps  - Tixxi cam 138</t>
  </si>
  <si>
    <t>ELEVADO ENGENHEIRO FREYSSINET - SENT. TÚNEL REBOUÇAS. - RIO COMPRIDO</t>
  </si>
  <si>
    <t>Google Maps - Tixxi 2341</t>
  </si>
  <si>
    <t>AVENIDA DAS AMÉRICAS - ALT. BRT SALVADOR ALLENDE - SENT. SÃO CONRADO - BARRA DA TIJUCA</t>
  </si>
  <si>
    <t>TRANSOLÍMPICA - ALT. EST. BRT COLÔNIA - SENT. RECREIO - TAQUARA</t>
  </si>
  <si>
    <t>AVENIDA BRASIL - ALT. POSTO VAGÃO - SENT. CENTRO - REALENGO</t>
  </si>
  <si>
    <t>Tixxi cam 4499</t>
  </si>
  <si>
    <t xml:space="preserve">AC 2 MT </t>
  </si>
  <si>
    <t>ELEVADO DO GASÔMETRO - ALT. PASSARELA 0 - SENT. CENTRO - CAJU</t>
  </si>
  <si>
    <t>Google Maps - Tixxi cam 161</t>
  </si>
  <si>
    <t>LINHA VERMELHA - ALT. KM 1 - SENT. CENTRO - CAJU</t>
  </si>
  <si>
    <t>LINHA AMARELA - ALT. CIDADE DE DEUS - SENT. BARRA - JACAREPAGUÁ</t>
  </si>
  <si>
    <t>Google Maps - Tixxi cam 3212</t>
  </si>
  <si>
    <t>AVENIDA AYRTON SENNA - ALT. Nº3383 - SENT. LINHA AMARELA - BARRA DA TIJUCA</t>
  </si>
  <si>
    <t>Google Maps - Tixxi cam 468</t>
  </si>
  <si>
    <t>AVENIDA AYRTON SENNA - ALT. CIDADE DA ARTE - SENT. SÃO CONRADO - BARRA DA TIJUCA</t>
  </si>
  <si>
    <t>Google Maps - Tixxi cam 92</t>
  </si>
  <si>
    <t>Obra na via (Telefonia)</t>
  </si>
  <si>
    <t>AVENIDA BRASIL - ALT. PASSARELA 5 - SENT. Z. OESTE - BENFICA</t>
  </si>
  <si>
    <t>AVENIDA BRASIL - ALT. PASSARELA 7 - SENT. CENTRO - BONSUCESSO</t>
  </si>
  <si>
    <t xml:space="preserve">Av. Rodrigues Alves - Alt. R. Cordeiro da Graça - Sent. Centro - Santo Cristo </t>
  </si>
  <si>
    <t xml:space="preserve">CCO MPE </t>
  </si>
  <si>
    <t xml:space="preserve">Av. Ayrton Senna - Alt. Nº 5250 - Sent. Linha Amarela - Barra da Tijuca </t>
  </si>
  <si>
    <t>Tixxi - Cam 3212</t>
  </si>
  <si>
    <t xml:space="preserve">Av. Ayrton Senna - Alt. Nº 3419 - Sent. Orla - Barra da Tijuca </t>
  </si>
  <si>
    <t>Google Maps - Tixxi cam 4479</t>
  </si>
  <si>
    <t xml:space="preserve">Viaduto Eng. Noronha - Alt. Túnel Santa Bárbara - Sent. Centro - Laranjeiras </t>
  </si>
  <si>
    <t>Google Maps - Tixxi cam 127</t>
  </si>
  <si>
    <t xml:space="preserve">AC VP x Poste </t>
  </si>
  <si>
    <t xml:space="preserve">Av. Armando Lombardi - Alt. Ponte Estaiada - Sent. Recreio - Barra da Tijuca </t>
  </si>
  <si>
    <t>Google Maps - Tixxi cam 234</t>
  </si>
  <si>
    <t xml:space="preserve">AC CR x VP </t>
  </si>
  <si>
    <t xml:space="preserve">Av. Brasil - Alt. Passarela 6 - Sent. Centro - Manguinhos </t>
  </si>
  <si>
    <t>Av. Dom João VI - Alt. Est. BRT CTEX - Sent. Recreio</t>
  </si>
  <si>
    <t>Av. Maracanã x Rua São Francisco Xavier - Sent Centro</t>
  </si>
  <si>
    <t>Linha Vermelha - Alt. Km 9 - Cidade Universitária - Sent. Centro</t>
  </si>
  <si>
    <t xml:space="preserve">Av. Olof Palme - Sent. Trnsolímpica </t>
  </si>
  <si>
    <t>Linha Vermelha - Alt. Km 11 - Galeão - Sent. Baixada</t>
  </si>
  <si>
    <t>Avenida Presidente Antônio Carlos - Alt. Av. Franklin Roosevelt - Sent. Candelária</t>
  </si>
  <si>
    <t>Google Maps - Tixxi cam 60</t>
  </si>
  <si>
    <t>Av Lucio Costa - Alt. Posto 8 - Sent. Recreio</t>
  </si>
  <si>
    <t>AC ON x 2 VP</t>
  </si>
  <si>
    <t>Linha Vermelha - Alt. KM 13,5 - Sent. Baixada</t>
  </si>
  <si>
    <t>TIXXI - CET RIO</t>
  </si>
  <si>
    <t>TIXXI CAM 4431</t>
  </si>
  <si>
    <t>Enguiço BRT</t>
  </si>
  <si>
    <t>Av. Brasil - Alt. Vigário Geral</t>
  </si>
  <si>
    <t>TIXXI Cam 260</t>
  </si>
  <si>
    <t>Rua Voluntários da Pátria x Rua Nelson Mandela</t>
  </si>
  <si>
    <t>AVENIDA BRASIL - ALT. PASSARELA 09 - SENT. Z. OESTE - BONSUCESSO</t>
  </si>
  <si>
    <t>LINHA VERMELHA - ALT. KM12 - SENT. BAIXADA - GALEÃO</t>
  </si>
  <si>
    <t>Google Mpas - Tixxi Cam 4413</t>
  </si>
  <si>
    <t xml:space="preserve"> AVENIDA BRASIL - ALT. PASSARELA 10 - SENT. Z. OESTE - BONSUCESSO</t>
  </si>
  <si>
    <t>Google Maps - Tixxi Cam 410</t>
  </si>
  <si>
    <t xml:space="preserve"> AVENIDA EMBAIXADOR ABELARDO BUENO - ALT. REDE SARAH - SENT. AV. SALVADOR ALLENDE - BARRA DA TIJUCA</t>
  </si>
  <si>
    <t>Google Maps - Tixxi Cam 153</t>
  </si>
  <si>
    <t>AVENIDA BRASIL - ALT. PASSARELA 28 - SENT. Z. OESTE - COELHO NETO</t>
  </si>
  <si>
    <t xml:space="preserve">CBMERJ </t>
  </si>
  <si>
    <t>Google Maps - Tixxi Cam 3146</t>
  </si>
  <si>
    <t>AVENIDA SALVADOR ALLENDE - ALT. EST. BRT  MORRO DO OUTEIRO - SENT. TRANSOLIMPICA - BARRA DA TIJUCA</t>
  </si>
  <si>
    <t>Google Maps - Tixxi Cam 3356</t>
  </si>
  <si>
    <t>ESTRADA DOS BANDEIRANTES - ALT. N° 14890 - SENT. CURICICA - VARGEM PEQUENA</t>
  </si>
  <si>
    <t>Google Mpas - Tixxi Cam 118</t>
  </si>
  <si>
    <t>AVENIDA EPITÁCIO PESSOA - ALT. CORTE DO CANTAGALO - SENT. IPANEMA - LAGOA</t>
  </si>
  <si>
    <t xml:space="preserve"> AVENIDA BRASIL - ALT. ESTR. JOÃO PAULO - SENT. Z. OESTE - BARROS FILHO</t>
  </si>
  <si>
    <t>ELEVADO DO GASÔMETRO - ALT. PASSARELA 0 - SENT. Z. OESTE - CAJU</t>
  </si>
  <si>
    <t>Google Maps - Tixxi Cam 4077</t>
  </si>
  <si>
    <t>ESTRADA DOS BANDEIRANTES - ALT. ESTR. CEL. PEDRO CORRÊA - SENT. VARGEM PEQUENA - CURICICA</t>
  </si>
  <si>
    <t>AVENIDA DE SANTA CRUZ - ALT. N° 7474 - SENT. BANGU - SENADOR CÂMARA</t>
  </si>
  <si>
    <t xml:space="preserve">Tixxi - Cam 167 </t>
  </si>
  <si>
    <t>Linha Vermelha - Alt. Washington Luiz</t>
  </si>
  <si>
    <t>TIXXI 92 - 173</t>
  </si>
  <si>
    <t>Av Brasil - Alt. Benfica - Sent. Centro</t>
  </si>
  <si>
    <t>Renan Lannes</t>
  </si>
  <si>
    <t>RUA LINO TEIXEIRA - CRUZAMENTO COM RUA ÁLVARES DE AZEVEDO</t>
  </si>
  <si>
    <t>Tixxi - Cam 1751</t>
  </si>
  <si>
    <t>AC TX x VP</t>
  </si>
  <si>
    <t>Av. Edson Passos nº 3000 - Sent. Itanhangá</t>
  </si>
  <si>
    <t>Tixxi e CiCC</t>
  </si>
  <si>
    <t>TXXI - Cam 432 - 421</t>
  </si>
  <si>
    <t>Linha Vermelha - Alt. Fundão - Sent. Centro</t>
  </si>
  <si>
    <t>TIXXI - Cam 432 - 421</t>
  </si>
  <si>
    <t>Linha Vermelha - Alt. Fundão - Sent. Baixada</t>
  </si>
  <si>
    <t>TIXXI - Cam 161</t>
  </si>
  <si>
    <t>Linha Vermelha - Alt. KM 01 - Sent. Centro</t>
  </si>
  <si>
    <t>TIXXI - Cam 7140</t>
  </si>
  <si>
    <t>Av Geremário Dantas x Rua Candido Figueiredo - Cruzamento</t>
  </si>
  <si>
    <t>Google Maps - Tixxi Cam 218</t>
  </si>
  <si>
    <t xml:space="preserve"> ELEVADO DO GASÔMETRO - SENT. CENTRO - CAJU</t>
  </si>
  <si>
    <t>Google Maps - TIxxi Cam 1762</t>
  </si>
  <si>
    <t>AVENIDA EDISON PASSOS - ALT. N° 3253 - ALTO DA BOA VISTA</t>
  </si>
  <si>
    <t>Google Maps - Tixxi Cam 3211</t>
  </si>
  <si>
    <t>AVENIDA AYRTON SENNA - ALT. EST BRT LOURENÇO JORGE - SENT. ORLA - BARRA DA TIJUCA</t>
  </si>
  <si>
    <t>Google Maps - Tixxi Cam 4422</t>
  </si>
  <si>
    <t>AVENIDA BRASIL - ALT. EST BRT JARDIM GUADALUPE - SENT. Z. OESTE - GUADALUPE</t>
  </si>
  <si>
    <t>AVENIDA BRASIL - ALT. MOCIDADE - SENT. Z. OESTE - PADRE MIGUEL</t>
  </si>
  <si>
    <t>Google Maps - Tixxi Cam 756</t>
  </si>
  <si>
    <t>LINHA AMARELA - ALT. ACESSO 7 - SENT. BARRA - BONSUCESSO</t>
  </si>
  <si>
    <t>Tixxi Cam 824</t>
  </si>
  <si>
    <t>AC envolv. UT</t>
  </si>
  <si>
    <t>AVENIDA BEIRA MAR - ALT. RUA DO RUSSEL - SENT. CENTRO - GLÓRIA</t>
  </si>
  <si>
    <t>Google Maps - Tixxi Cam 2437</t>
  </si>
  <si>
    <t>AC VP x MURETA</t>
  </si>
  <si>
    <t>TRANSOLÍMPICA - ALT. EST BRT LEILA DINIZ - SENT. RECREIO DOS BANDEIRANTES - CURICICA</t>
  </si>
  <si>
    <t>LINHA VERMELHA - ALT. KM 14 - SENT. BAIXADA - CORDOVIL</t>
  </si>
  <si>
    <t>PONTE RIO - NITERÓI - CAJU</t>
  </si>
  <si>
    <t>Google Maps - Tixxi Cam 432</t>
  </si>
  <si>
    <t>LINHA VERMELHA - ALT. KM 7 - SENT. BAIXADA - CIDADE UNIVERSITÁRIA</t>
  </si>
  <si>
    <t>Google Maps - Tixxi Cam 4479</t>
  </si>
  <si>
    <t xml:space="preserve">Viaduto Engenheiro Noronha - Alt. Túnel Santa Bárbara - Sent. Centro - Laranjeiras </t>
  </si>
  <si>
    <t>Google Maps - Tixxi Cam 22</t>
  </si>
  <si>
    <t xml:space="preserve">AC TX x VP </t>
  </si>
  <si>
    <t xml:space="preserve">Av. Rei Pelé - Alt. Maracanã - Sent. Vila Isabel - Maracanã </t>
  </si>
  <si>
    <t>Google Maps - Tixxi Cam 5127</t>
  </si>
  <si>
    <t xml:space="preserve">AC UT x VP </t>
  </si>
  <si>
    <t xml:space="preserve">R. Equador - Alt. Av. Prof. Pereira Reis - Sent. Rodoviária - Santo Cristo </t>
  </si>
  <si>
    <t>TIXXI / MAPS</t>
  </si>
  <si>
    <t>Viaduto do Pracinhas - Sent. Centro</t>
  </si>
  <si>
    <t>Manutenção na Via (LIGHT)</t>
  </si>
  <si>
    <t>Av. Ayrton Senna - Alt. N° 2541 - Sent. Orla</t>
  </si>
  <si>
    <t>Av. Presidente Vargas - Alt. Viaduto dos Fuzileiros - Sent. Candelária</t>
  </si>
  <si>
    <t>Av. Ayrton Senna - Alt. Giro do Cebolinha - Sent. Orla</t>
  </si>
  <si>
    <t>Rua José do Patrocínio - Alt. N° 306</t>
  </si>
  <si>
    <t>Rua São Clemente, Alt. N° 172</t>
  </si>
  <si>
    <t>Av. Rei Pelé, Alt R. Gen Canabrro - Sent. Centro</t>
  </si>
  <si>
    <t>MAPS</t>
  </si>
  <si>
    <t>Linha Amarela, Alt. Saída 1 B - Sent. Fundão</t>
  </si>
  <si>
    <t>Linha Vermelha, Alt. KM 10.5 - Sent. Centro</t>
  </si>
  <si>
    <t xml:space="preserve">AC VP x 2 MT </t>
  </si>
  <si>
    <t xml:space="preserve">Túnel Antônio Rebouças - Alt. 2ª Galeria - Sent. Centro - Rio Comprido </t>
  </si>
  <si>
    <t>Manutenção na via</t>
  </si>
  <si>
    <t xml:space="preserve">Linha Vermelha, Alt. KM 7 - Sent. Baixada - Cidade Universitária </t>
  </si>
  <si>
    <t>Google Maps - Tixxi Cam 185</t>
  </si>
  <si>
    <t xml:space="preserve">Av. Pastor Martin Luther King Júnior - Alt. R. César Múzio - Sent. Inhaúma - Vicente de Carvalho </t>
  </si>
  <si>
    <t xml:space="preserve">Autoestrada Fernando Mac Dowell - Alt. R. Eng. Amandino de Carvalho - Sent. Gávea - São Conrado </t>
  </si>
  <si>
    <t xml:space="preserve">CET -RIO </t>
  </si>
  <si>
    <t xml:space="preserve">Queda MT </t>
  </si>
  <si>
    <t xml:space="preserve">A. Francisco Bicalho - Alt. Viaduto dos Pracinhas - Sent. Túnel Rebouças - Praça da Bandeira </t>
  </si>
  <si>
    <t>Tixxi Cam 432</t>
  </si>
  <si>
    <t>Linha Vermelha - Alt. Hospital Universitário</t>
  </si>
  <si>
    <t>Google Maps / Globocop</t>
  </si>
  <si>
    <t>VIADUTO DE DEODORO - SENT. CENTRO - DEODORO</t>
  </si>
  <si>
    <t>Google Maps / Tixxi - Cam 98</t>
  </si>
  <si>
    <t xml:space="preserve"> AVENIDA TRINTA E UM DE MARÇO - ALT. TÚNEL SANTA BÁRBARA - SENT. LARANJEIRAS - CIDADE NOVA</t>
  </si>
  <si>
    <t>Google Maps / Tixxi - Cam 826</t>
  </si>
  <si>
    <t xml:space="preserve"> AVENIDA ALFRED AGACHE - ALT. 3° COMAR - CENTRO</t>
  </si>
  <si>
    <t>Google Maps / Tixxi - Cam 893</t>
  </si>
  <si>
    <t>AC VP x 3 MT</t>
  </si>
  <si>
    <t xml:space="preserve"> TUNEL ANTÔNIO REBOUÇAS - ALT. 2° GALERIA - SENT. CENTRO - HUMAITÁ</t>
  </si>
  <si>
    <t>Google Maps / Tixxi - Cam 1410</t>
  </si>
  <si>
    <t xml:space="preserve"> AVENIDA PADRE LEONEL FRANCA - ALT.TÚNEL ACÚSTICO RAFAEL MASCARENHAS - SENT. SÃO CONRADO - GÁVEA</t>
  </si>
  <si>
    <t>Google Maps / Tixxi - Cam 173</t>
  </si>
  <si>
    <t>AVENIDA BRASIL - ALT. PASSARELA 4 - SENT. CENTRO - BENFICA</t>
  </si>
  <si>
    <t>AVENIDA AYRTON SENNA - ALT. PONTE SANTOS DUMONT - SENT. ORLA - BARRA DA TIJUCA</t>
  </si>
  <si>
    <t>Google / Tixxi - Cam 22</t>
  </si>
  <si>
    <t>AVENIDA REI PELÉ - ALT. PORTÃO 2 - SENT. CENTRO - MARACANÃ</t>
  </si>
  <si>
    <t>Google Maps / Tixxi - Cam 4416</t>
  </si>
  <si>
    <t>AC CM x UT</t>
  </si>
  <si>
    <t>AVENIDA BRASIL - ALT. DA  PASSARELA  6  - SENT. CENTRO. - BENFICA</t>
  </si>
  <si>
    <t>Google Maps  / Tixxi - Cam 791</t>
  </si>
  <si>
    <t>AVENIDA TRINTA E UM DE MARÇO - ALT. R. FREI CANECA - SENT. BOTAFOGO - CATUMBI</t>
  </si>
  <si>
    <t>Google Maps / Tixxi - Cam 649</t>
  </si>
  <si>
    <t>AVENIDA DAS AMÉRICAS - ALT. CIDADE DAS ARTES - SENT. LINHA AMARELA - BARRA DA TIJUCA</t>
  </si>
  <si>
    <t>Google Maps / Tixxi - Cam 149</t>
  </si>
  <si>
    <t>AVENIDA DAS MISSÕES - ALT. VIADUTO TREVO DAS MISSÕES  - SENT. AV. BRASIL - CORDOVIL</t>
  </si>
  <si>
    <t>AVENIDA DAS AMÉRICAS - ALT. N° 489 - SENT. RECREIO - BARRA DA TIJUCA</t>
  </si>
  <si>
    <t>Incêndio VP</t>
  </si>
  <si>
    <t>AVENIDA DAS AMÉRICAS - ALT. EST. BRT PONTÕES / BARRA SUL - SENT. RECREIO - BARRA DA TIJUCA</t>
  </si>
  <si>
    <t>Google Maps / Tixxi - Cam 4335</t>
  </si>
  <si>
    <t>AVENIDA ATLÂNTICA - ALT. R. BARÃO DE IPANEMA - SENT. LEME - COPACABANA</t>
  </si>
  <si>
    <t>Google Maps / HxGN</t>
  </si>
  <si>
    <t>ESTRADA DOS BANDEIRANTES - ALT. EST. BRT RECANTO DAS PALMEIRAS - SENT. TAQUARA - JACAREPAGUÁ</t>
  </si>
  <si>
    <t xml:space="preserve">CET/RIO </t>
  </si>
  <si>
    <t>Google Maps / Tixxi - Cam 92</t>
  </si>
  <si>
    <t>AVENIDA BRASIL - ALT. VIADUTO DE BENFICA - SENT. Z OESTE - BENFICA</t>
  </si>
  <si>
    <t>TÚNEL ANDRÉ REBOUÇAS - ALT. PRIMEIRA GALERIA - SENT. LAGOA - COSME VELHO</t>
  </si>
  <si>
    <t>Google Maps / Tixxi - Cam 5672</t>
  </si>
  <si>
    <t xml:space="preserve"> ESTRADA DOS BANDEIRANTES &amp; ESTRADA MAL. MIGUEL SALAZAR M. DE MORAIS - TAQUARA</t>
  </si>
  <si>
    <t xml:space="preserve"> AVENIDA BRASIL - ALT. TERMINAL GENTILEZA - SENT. CENTRO - SÃO CRISTÓVÃO</t>
  </si>
  <si>
    <t>: LINHA AMARELA - ALT. SAÍDA 1B - SENT. BARRA - FREGUESIA JACAREPAGUÁ</t>
  </si>
  <si>
    <t>Google Maps / Tixxi - Cam 1015</t>
  </si>
  <si>
    <t xml:space="preserve"> RUA ARQUIAS CORDEIRO - ALT. R. PIAUÍ - ENGENHO DE DENTRO</t>
  </si>
  <si>
    <t xml:space="preserve"> AVENIDA BRASIL - ALT. ARENA DA JUVENTUDE SENT. CENTRO - VILA MILITAR</t>
  </si>
  <si>
    <t>Google Maps / HxGN / Tixxi - Cam 5673</t>
  </si>
  <si>
    <t>AVENIDA MARECHAL RONDON - ALT. R. HENRIQUE DIAS - ROCHA</t>
  </si>
  <si>
    <t>Google Maps / HxGN / Jarvis / Tixxi - Cam 6318</t>
  </si>
  <si>
    <t>RUA VISCONDE DE PIRAJÁ - ALT. AV. HENRIQUE DUMONT - IPANEMA</t>
  </si>
  <si>
    <t>Google Maps / HxGN / Tixxi - Cam 871</t>
  </si>
  <si>
    <t>Manutenção na via (Seconserva)</t>
  </si>
  <si>
    <t xml:space="preserve"> AVENIDA MINISTRO IVAN LINS - ALT. PRAÇA EUVALDO LODI - SENT. SÃO CONRADO - BARRA DA TIJUCA</t>
  </si>
  <si>
    <t xml:space="preserve">Google Maps / HxGN / Jarvis </t>
  </si>
  <si>
    <t>AC Envol. MT</t>
  </si>
  <si>
    <t xml:space="preserve"> RUA TEIXEIRA SOARES - ALT. R. PARÁ - MARACANÃ</t>
  </si>
  <si>
    <t>Google Maps / HxGN / JArvis / Tixxi - Cam 3700</t>
  </si>
  <si>
    <t>AVENIDA LÚCIO COSTA - ALT. RUA EMBAIXADOR EGBERTO MAFRA - SENT. RECREIO DOS BANDEIRANTES - BARRA DA TIJUCA</t>
  </si>
  <si>
    <t xml:space="preserve"> TÚNEL ACÚSTICO RAFAEL MASCARENHAS - SENT. LAGOA - GÁVEA</t>
  </si>
  <si>
    <t>Google Maps / HxGN / JArvis / Tixxi - Cam 5606</t>
  </si>
  <si>
    <t xml:space="preserve"> RUA VINTE E QUATRO DE MAIO - ALT. R. SÃO PAULO - SAMPAIO</t>
  </si>
  <si>
    <t xml:space="preserve">Google Maps / HxGN </t>
  </si>
  <si>
    <t xml:space="preserve"> AVENIDA PAULO DE FRONTIN - ALT. N° 610 - SENT. LAGOA - RIO COMPRIDO</t>
  </si>
  <si>
    <t>Google Maps / HxGN / JArvis / Tixxi - Cam 421</t>
  </si>
  <si>
    <t xml:space="preserve"> LINHA VERMELHA - ALT. KM 6 - SENT. BAIXADA - CIDADE UNIVERSITÁRIA</t>
  </si>
  <si>
    <t>LINHA AMARELA - ALT. SAÍDA 6 - SENT. FUNDÃO - DEL CASTILHO</t>
  </si>
  <si>
    <t>AVENIDA DAS AMÉRICAS - ALT. BRT SALVADOR ALLENDE - SENT. RECREIO - BARRA DA TIJUCA</t>
  </si>
  <si>
    <t>LINHA AMARELA - ALT. SAÍDA 7 - SENT. BARRA - BONSUCESSO</t>
  </si>
  <si>
    <t>AVENIDA DAS AMÉRICAS - ALT. N°12221 - SENT. RECREIO DOS BANDEIRANTES - BARRA DA TIJUCA</t>
  </si>
  <si>
    <t>AVENIDA DAS AMÉRICAS - ALT. N° 17552 - SENT. SANTA CRUZ - RECREIO DOS BANDEIRANTES</t>
  </si>
  <si>
    <t>Google Maps / HxGN / JArvis / Tixxi - Cam 774</t>
  </si>
  <si>
    <t>RUA ALMIRANTE BALTAZAR - ALT. R. JOSÉ EUGÊNIO - SÃO CRISTÓVÃO</t>
  </si>
  <si>
    <t>Google Maps / HxGN / JArvis / Tixxi - Cam 3719</t>
  </si>
  <si>
    <t>Atropelamento Envol. Vp</t>
  </si>
  <si>
    <t>ESTRADA INTENDENTE MAGALHÃES - ALT. ESTR. HENRIQUE DE MELO - SENT. SULACAP - OSVALDO CRUZ</t>
  </si>
  <si>
    <t xml:space="preserve">Transolímpica - Alt. Est. BRT Marechal Fontenelle - Sent. Av. Brasil - Jardim Sulacap </t>
  </si>
  <si>
    <t xml:space="preserve">Av. Ayrton Senna - Alt. Nº 3212 - Sent. Orla - Barra da Tijuca </t>
  </si>
  <si>
    <t>Google Maps - Tixxi cam 37</t>
  </si>
  <si>
    <t>ESTR. DO GALEÃO - ALT. BASE AÉREA DO GALEÃO - SENT. LINHA VERMELHA - GALEÃO</t>
  </si>
  <si>
    <t>Google Maps - Tixxi cam 4343</t>
  </si>
  <si>
    <t xml:space="preserve">AC BRT X VP </t>
  </si>
  <si>
    <t xml:space="preserve">Av. Brigadeiro Trompowski - Alt. Est. BRT Maré - Sent. Fundão - Maré </t>
  </si>
  <si>
    <t xml:space="preserve">Av. Brasil - Alt. Estr. Camboatá - Sent. Z.Oeste - Guadalupe </t>
  </si>
  <si>
    <t>AVENIDA BRASIL - ALT. PASSARELA 02 - SENT. CENTRO - SÃO CRISTÓVÃO</t>
  </si>
  <si>
    <t>Google Maps - Alarme HXG - Tixx</t>
  </si>
  <si>
    <t>AC UT x 3VP</t>
  </si>
  <si>
    <t>AVENIDA BRASIL - ALT. PASSARELA 24 - SENT. Z. OESTE - IRAJÁ</t>
  </si>
  <si>
    <t xml:space="preserve">Google Maps - Alarme HXG </t>
  </si>
  <si>
    <t>AVENIDA PADRE LEONEL FRANCA - ALT. ENTRE GALERIAS - SENT. SÃO CONRADO - GÁVEA</t>
  </si>
  <si>
    <t>AVENIDA FRANCISCO BICALHO - ALT. DETRAN - SENT. CENTRO - SÃO CRISTÓVÃO</t>
  </si>
  <si>
    <t>Google Maps - Jarvis</t>
  </si>
  <si>
    <t>AVENIDA ALBERICO DINIZ - ALT. R. LEOPOLDO GOTUZZO - SENT. BANGU - JARDIM SULACAP</t>
  </si>
  <si>
    <t>Poda de árvore</t>
  </si>
  <si>
    <t>RUA DONA MARIANA - ALT. R. VOLUNTÁRIOS DA PÁTRIA - BOTAFOGO</t>
  </si>
  <si>
    <t>Google Maps - Alarme HXG - Tixxi - Jarvis</t>
  </si>
  <si>
    <t>BOULEVARD 28 DE SETEMBRO - ALT. R. FELIPE CAMARÂO - SENT. MARACANÃ - VILA ISABEL</t>
  </si>
  <si>
    <t>PONTE RIO - NITERÓI - ALT. AV. BRASIL - SENT. NITERÓI - CAJU</t>
  </si>
  <si>
    <t>ELEVADO DO GASÔMETRO - ALT. RODOVIÁRIA - SENT. AV. BRASIL - CAJU</t>
  </si>
  <si>
    <t>Google Maps - Alarme HXG</t>
  </si>
  <si>
    <t>LINHA AMARELA - ALT. SAÍDA 8 - SENT. BARRA - MANGUINHOS</t>
  </si>
  <si>
    <t>LINHA AMARELA - ALT. SAÍDA 9 - SENT. BARRA - MANGUINHOS</t>
  </si>
  <si>
    <t>AVENIDA BRASIL - ALT. PASSARELA 02 - SENT. Z. OESTE - SÃO CRISTÓVÃO</t>
  </si>
  <si>
    <t>AVENIDA SALVADOR ALLENDE - ALT. BRT ASA BRANCA - SENT. RECREIO - BARRA DA TIJUCA</t>
  </si>
  <si>
    <t>LINHA VERMELHA - ALT. KM 4,5 - SENT. BAIXADA - MARÉ</t>
  </si>
  <si>
    <t>AC 6 VP x MT</t>
  </si>
  <si>
    <t>AVENIDA TRINTA E UM DE MARÇO - ALT. VTO. SÃO SEBASTIÃO - SENT. CENTRO - CATUMBI</t>
  </si>
  <si>
    <t>Google Maps - Tixxi cam 771</t>
  </si>
  <si>
    <t xml:space="preserve">Av. Rei Pelé - Alt. Viaduto Oduvaldo Cozzi - Sent. Méier - Maracanã </t>
  </si>
  <si>
    <t>Google Maps / HxGN / Jarvis / Tixxi - Cam 4499</t>
  </si>
  <si>
    <t>ELEVADO DO GASÔMETRO - ALT. TERMINAL INTERMODAL GENTILEZA  - SENT. CENTRO - CAJU</t>
  </si>
  <si>
    <t>Google Maps / HxGN / Jarvis / Tixxi - Cam - 572</t>
  </si>
  <si>
    <t>ESTRADA RIO SÃO PAULO - ALT. ESTR. RIO DO A - CAMPO GRANDE</t>
  </si>
  <si>
    <t>LINHA VERMELHA - ALT. KM5 - SENT. BAIXADA - MARÉ</t>
  </si>
  <si>
    <t>Google Maps / HxGN / Jarvis / Tixxi - Cam - 112</t>
  </si>
  <si>
    <t>VIADUTO SAINT HILAIRE - SENT. CENTRO - JARDIM BOTÂNICO</t>
  </si>
  <si>
    <t>TUNEL ANTÔNIO REBOUÇAS - 1° GALERIA - SENT. LAGOA - RIO COMPRIDO</t>
  </si>
  <si>
    <t>Google Maps / HxGN / Jarvis / Tixxi - Cam - 126</t>
  </si>
  <si>
    <t xml:space="preserve">Ocorrência CBMERJ </t>
  </si>
  <si>
    <t>PONTE DA JOATINGA - SENT. SÃO CONRADO - BARRA DA TIJUCA</t>
  </si>
  <si>
    <t>AVENIDA ALBERICO DINIZ - ALT. CFAP - SENT. CENTRO - JARDIM SULACAP</t>
  </si>
  <si>
    <t>Google Maps / HxGN / Jarvis / Tixxi - Cam - 1118</t>
  </si>
  <si>
    <t xml:space="preserve"> BOULEVARD 28 DE SETEMBRO - ALT. R. SÃO FRANCISCO XAVIER, - VILA ISABEL</t>
  </si>
  <si>
    <t>RUA MISSISSIPI - ALT. N° 95 - TANQUE</t>
  </si>
  <si>
    <t xml:space="preserve">Incêndio em imóvel comercial </t>
  </si>
  <si>
    <t>AVENIDA LÚCIO COSTA - BARRA DA TIJUCA - N° 3460 - SENT. RECREIO</t>
  </si>
  <si>
    <t>Google Maps / HxGN / Jarvis / Tixxi - Cam - 406</t>
  </si>
  <si>
    <t>AVENIDA EMBAIXADOR ABELARDO BUENO - ALT. EST. BRT PARQUE OLÍMPICO - SENT. TRANSOLÍMPICA - BARRA DA TIJUCA</t>
  </si>
  <si>
    <t>Google Maps / HxGN / Jarvis / Tixxi - Cam - 4480</t>
  </si>
  <si>
    <t>VIADUTO ENGENHEIRO NORONHA - SENT. CENTRO - LARANJEIRAS</t>
  </si>
  <si>
    <t>Google Maps / HxGN / Jarvis / Tixxi - Cam - 101</t>
  </si>
  <si>
    <t>AVENIDA TRINTA E UM DE MARÇO - ALT. AV. PRESIDENTE VARGAS - SENT. SANTO CRISTO - CATUMBI</t>
  </si>
  <si>
    <t xml:space="preserve"> AVENIDA BRASIL - ALT. PASSARELA 4 - SENT. CENTRO - SÃO CRISTÓVÃO</t>
  </si>
  <si>
    <t>LINHA AMARELA - ALT. SAÍDA 06 - SENT. FUNDÃO - DEL CASTILHO</t>
  </si>
  <si>
    <t>TIXXI - Cam 4525</t>
  </si>
  <si>
    <t>Linha Vermelha - Alt. Maré - Sent. Centro</t>
  </si>
  <si>
    <t>TIXXI - CET-RIO</t>
  </si>
  <si>
    <t>TIXXI - Cam 421</t>
  </si>
  <si>
    <t>Abordagem PMERJ</t>
  </si>
  <si>
    <t>TIXXI - Cam 583</t>
  </si>
  <si>
    <t>AC VP x Murete</t>
  </si>
  <si>
    <t>Viaduto Oscar de Brito - Sent. Centro</t>
  </si>
  <si>
    <t>TIXXI - Cam 432</t>
  </si>
  <si>
    <t>Linha Vermelha - Alt. Hospital do Fundão</t>
  </si>
  <si>
    <t>AC ON x UT</t>
  </si>
  <si>
    <t>Av Brasil - Alt. Realengo - Sent. Centro</t>
  </si>
  <si>
    <t>TXXI - CET RIO - OP. CICC</t>
  </si>
  <si>
    <t>TIXXI - Cam 3174</t>
  </si>
  <si>
    <t>Av. Salvador Allende - Sent. Av Abelardo Bueno - Alt. N° 1001</t>
  </si>
  <si>
    <t>TIXXI - Cam 1669</t>
  </si>
  <si>
    <t>Av Amaro Cavalcante - Sent. Centro</t>
  </si>
  <si>
    <t>TXXI</t>
  </si>
  <si>
    <t>TIXXI - Cam 188</t>
  </si>
  <si>
    <t>Av Ministro Edgard Romero - Alt. Estação BRT Otaviano</t>
  </si>
  <si>
    <t>Google Maps / HxGN / Jarvis / Tixxi - Cam - 5284</t>
  </si>
  <si>
    <t>RUA GOIÁS - ALT. EST. PIEDADE - SENT. CENTRO - PIEDADE</t>
  </si>
  <si>
    <t>Google Maps / HxGN / Jarvis / Tixxi - Cam - 178</t>
  </si>
  <si>
    <t>AVENIDA REI PELÉ - ALT. VTO. ODUVALDO COZZI - SENT. PRAÇA DA BANDEIRA - MARACANÃ</t>
  </si>
  <si>
    <t xml:space="preserve">AVENIDA TRINTA E UM DE MARÇO - ALT. R. DR. AGRA - SENT. LARANJEIRAS </t>
  </si>
  <si>
    <t>AVENIDA AYRTON SENNA - ALT. VIA SESC - SENT. ORLA - CIDADE DE DEUS</t>
  </si>
  <si>
    <t>Google Maps / HxGN / Jarvis / Tixxi - Cam - 4708</t>
  </si>
  <si>
    <t>PRAÇA PROFESSOR JOSÉ BERNARDINO - ALT. R. ALDO BONADEI - BARRA DA TIJUCA</t>
  </si>
  <si>
    <t>Google Maps / HxGN / Jarvis / Tixxi - Cam - 1015</t>
  </si>
  <si>
    <t>RUA ARQUIAS CORDEIRO - ALT. R. PIAUÍ - ENGENHO DE DENTRO</t>
  </si>
  <si>
    <t>Google Maps / HxGN / Jarvis / Tixxi - Cam - 5681</t>
  </si>
  <si>
    <t>AVENIDA MARECHAL RONDON - ALT. R. SOUSA DANTAS - SÃO FRANCISCO XAVIER</t>
  </si>
  <si>
    <t>AVENIDA PRESIDENTE VARGAS - ALT. R. CARMO NETO - SENT. CANDELÁRIA - CENTRO</t>
  </si>
  <si>
    <t>TÚNEL ANDRÉ REBOUÇAS - ALT. PRIMEIRA GALERIA - SENT. CENTRO - COSME VELHO</t>
  </si>
  <si>
    <t>AVENIDA AYRTON SENNA - ALT. GIRO DO CEBOLINHA - SENT. ORLA - JACAREPAGUÁ</t>
  </si>
  <si>
    <t>AC CM x MT</t>
  </si>
  <si>
    <t>AVENIDA BRASIL - VTO DE DEODORO - SENT. CENTRO - DEODORO</t>
  </si>
  <si>
    <t>Google Maps / HxGN / Jarvis / Tixxi - Cam - 4413</t>
  </si>
  <si>
    <t>AC CR x CM x MT</t>
  </si>
  <si>
    <t>AVENIDA BRASIL - ALT. PASSARELA 10 - SENT. CENTRO - MANGUINHOS</t>
  </si>
  <si>
    <t>AVENIDA BORGES DE MEDEIROS - ALT. R. PROF. ABELARDO LÓBO - SENT. GÁVEA - LAGOA</t>
  </si>
  <si>
    <t>Google Maps / HxGN / Jarvis / Tixxi - Cam - 352</t>
  </si>
  <si>
    <t>RUA TEODORO DA SILVA - ALT. R. SOUSA FRANCO - VILA ISABEL</t>
  </si>
  <si>
    <t>LINHA AMARELA - ALT. SAÍDA 7 - SENT. FUNDÃO - BONSUCESSO</t>
  </si>
  <si>
    <t>RUA PINHEIRO MACHADO - ALT. Nº99 - LARANJEIRAS</t>
  </si>
  <si>
    <t>AVENIDA BRASIL - ALT. CIAMPA - SENT. CENTRO - CAMPO GRANDE</t>
  </si>
  <si>
    <t>Google Maps / HxGN / Jarvis / Tixxi - Cam - 899</t>
  </si>
  <si>
    <t>AC VP x Poste</t>
  </si>
  <si>
    <t>AVENIDA SALVADOR ALLENDE - ALT. EST. BRT ILHA PURA - SENT. RECREIO - CAMORIM</t>
  </si>
  <si>
    <t>Google Maps / HxGN / Jarvis / Tixxi - Cam - 4416</t>
  </si>
  <si>
    <t>AC CM x ON</t>
  </si>
  <si>
    <t>TRANSOLÍMPICA - ALT. EST. BRT BOIUNA - SENT. RECREIO DOS BANDEIRANTES - TAQUARA</t>
  </si>
  <si>
    <t>Google Maps / HxGN / Jarvis / Tixxi - Cam - 65</t>
  </si>
  <si>
    <t>AVENIDA DAS AMÉRICAS - ALT. AV. EVANDRO LINS E SILVA - SENT. SÃO CONRADO - BARRA DA TIJUCA</t>
  </si>
  <si>
    <t>Google Maps / HxGN / Jarvis / Tixxi - Cam - 153</t>
  </si>
  <si>
    <t>AVENIDA BRASIL - ALT. PASSARELA 28 - SENT. Z. OESTE - BARROS FILHO</t>
  </si>
  <si>
    <t>Google Maps / HxGN / Jarvis / Tixxi - Cam - 4246</t>
  </si>
  <si>
    <t xml:space="preserve">AC2 VP </t>
  </si>
  <si>
    <t>AVENIDA AMARO CAVALCANTE - ALT. R. ADRIANO - MÉIER</t>
  </si>
  <si>
    <t>Google Maps / HxGN / Jarvis / Tixxi - Cam - 1411</t>
  </si>
  <si>
    <t>AVENIDA PADRE LEONEL FRANCA - ALT. ENTRADO TÚNEL RAFAEL MASCARENHAS - SENT. SÃO CONRADO - GÁVEA</t>
  </si>
  <si>
    <t xml:space="preserve">Drone </t>
  </si>
  <si>
    <t>Enguiço VTR</t>
  </si>
  <si>
    <t>AVENIDA FRANCISCO BICALHO - ALT. LINHA FÉRREA  - SENT. CENTRO - CIDADE NOVA</t>
  </si>
  <si>
    <t>AVENIDA BRASIL - BRT VASCO DA GAMA - SENT. Z OESTE - VASCO DA GAMA</t>
  </si>
  <si>
    <t xml:space="preserve"> AVENIDA BRASIL - BRT MARINHA MERCANTE - SENT. Z OESTE - OLARIA</t>
  </si>
  <si>
    <t>LINHA VERMELHA - ALT. KM 10 - SENT. BAIXADA - GALEÃO</t>
  </si>
  <si>
    <t>Google Maps / HxGN / Jarvis / Tixxi - Cam - 649</t>
  </si>
  <si>
    <t>AVENIDA AYRTON SENNA - ALT. CIDADE DA ARTES  - SENT. LINHA AMARELA - BARRA DA TIJUCA</t>
  </si>
  <si>
    <t>Google Maps / HxGN / Jarvis / Tixxi - Cam - 4831</t>
  </si>
  <si>
    <t>AC TX x 2 VP</t>
  </si>
  <si>
    <t>AVENIDA TRINTA E UM DE MARÇO - ALT. VTO. SÃO SEBASTIÃO - SENT. AV. PRESIDENTE VARGAS - CIDADE NOVA</t>
  </si>
  <si>
    <t xml:space="preserve"> AVENIDA DOM JOÃO VI - ALT. EST, BRT MATO ALTO - SENT. SANTA CRUZ - GUARATIBA</t>
  </si>
  <si>
    <t xml:space="preserve"> PRAÇA DA REPÚBLICA - ALT. AV. PRESIDENTE VARGAS - CENTRO</t>
  </si>
  <si>
    <t>Google Maps / HxGN / Jarvis / Tixxi - Cam - 3639</t>
  </si>
  <si>
    <t>AVENIDA PASTOR MARTIN LUTHER KING JÚNIOR - ALT. EST. ENGENHO DA RAINHA - SENT. PAVUNA - ENGENHO DA RAINHA</t>
  </si>
  <si>
    <t>Google Maps / Tixxi - Cam 7161</t>
  </si>
  <si>
    <t xml:space="preserve">Estr. do Tindiba - Alt. R. Mal. José Beviláqua - Sent. Av. Nelson Cardoso - Taquara </t>
  </si>
  <si>
    <t>Google Maps / Tixxi - Cam 4099</t>
  </si>
  <si>
    <t xml:space="preserve">Av. Ayrton Senna - Alt. Uptown - Sent. Linha Amarela - Barra da Tijuca </t>
  </si>
  <si>
    <t>Google Maps / Tixxi - Cam 7501</t>
  </si>
  <si>
    <t>Tixxi - Cam 507</t>
  </si>
  <si>
    <t xml:space="preserve">Estr. do Pau-Ferro - Alt. Av. Geremário Dantas - Sent. Linha Amarela - Pechincha </t>
  </si>
  <si>
    <t>Google Maps - Tixxi - Cam 173</t>
  </si>
  <si>
    <t xml:space="preserve">Av. Brasil - Alt. Passarela 4 - Sent. Z. Oeste - Caju </t>
  </si>
  <si>
    <t>Google Maps - Tixxi - Cam 432</t>
  </si>
  <si>
    <t xml:space="preserve">Linha Vermelha - Alt. KM 7 - Sent. Centro - Cidade Universitária </t>
  </si>
  <si>
    <t xml:space="preserve">AC ON x UT </t>
  </si>
  <si>
    <t xml:space="preserve">Túnel Zuzu Angel - Sent. Lagoa - Rocinha </t>
  </si>
  <si>
    <t>Google Maps - Tixxi - Cam 472</t>
  </si>
  <si>
    <t xml:space="preserve">AC CM x MT </t>
  </si>
  <si>
    <t xml:space="preserve">Av. das Américas - Alt. Est. BRT Dom Bosco - Sent. Santa Cruz - Recreio dos Bandeirantes </t>
  </si>
  <si>
    <t xml:space="preserve">Google Maps - Tixxi - Cam 894 </t>
  </si>
  <si>
    <t xml:space="preserve">Av. das Américas - Alt. Est. BRT Notre Dame - Sent. Santa Cruz - Recreio dos Bandeirantes </t>
  </si>
  <si>
    <t xml:space="preserve">Incêndio VP </t>
  </si>
  <si>
    <t xml:space="preserve">R. Doutor Satamini - Alt. R. Domício da Gama - Tijuca </t>
  </si>
  <si>
    <t>Google Maps - Tixxi - Cam 141</t>
  </si>
  <si>
    <t xml:space="preserve">Elevado Eng. Freyssinet - Alt. Saída do Túnel Rebouças - Sent. Centro - Rio Comprido </t>
  </si>
  <si>
    <t xml:space="preserve">Google Maps - Tixxi - Cam 7234 </t>
  </si>
  <si>
    <t xml:space="preserve">Av. Borges de Medeiros - Alt. R. Afrânio de Melo - Sent. Copacabana - Lagoa </t>
  </si>
  <si>
    <t>Google Maps - Tixxi - Cam 4439</t>
  </si>
  <si>
    <t xml:space="preserve">Av.Brasil - Alt. Passarela 19 - Sent. Centro - Cordovil  </t>
  </si>
  <si>
    <t>Google Maps - Tixxi - Cam 146</t>
  </si>
  <si>
    <t>Av. Brasil - Alt. Rua Paris</t>
  </si>
  <si>
    <t>Google Maps - Tixxi - Cam 1411</t>
  </si>
  <si>
    <t>AVENIDA PADRE LEONEL FRANCA</t>
  </si>
  <si>
    <t>TIXXI - 4583</t>
  </si>
  <si>
    <t>Viaduto do Gasômetro - Alt. Rodoviária - Sent. Av Brasil</t>
  </si>
  <si>
    <t>TIXXI - Cam 648</t>
  </si>
  <si>
    <t>Av das Américas - Alt. Cidae da Música -Sent. São Conrado</t>
  </si>
  <si>
    <t>Google Maps / HxGN / Jarvis / Tixxi - Cam - 99</t>
  </si>
  <si>
    <t>AVENIDA TRINTA E UM DE MARÇO - ALT. R. FREI CANECA - SENT. LARANJEIRAS - CIDADE NOVA</t>
  </si>
  <si>
    <t>Google Maps / HxGN / Jarvis / Tixxi - Cam - 7687</t>
  </si>
  <si>
    <t>TÚNEL ANDRÉ REBOUÇAS -ALT. 2° GALERIA SENT. LAGOA - COSME VELHO</t>
  </si>
  <si>
    <t xml:space="preserve">Google Maps / HxGN / Jarvis / Tixxi </t>
  </si>
  <si>
    <t>AUTOESTRADA FERNANDO MAC DOWELL - ALT. R. GEN. OLÍMPIO MOURÃO FILHO - SENT. GÁVEA - SÃO CONRADO</t>
  </si>
  <si>
    <t>AVENIDA AYRTON SENNA - ALT. PONTE SANTOS DUMONT - SENT. LINHA AMARELA - BARRA DA TIJUCA</t>
  </si>
  <si>
    <t>Google Maps / Drone</t>
  </si>
  <si>
    <t>AVENIDA FRANCISCO BICALHO - ALT. IML - SENT. CENTRO - SANTO CRISTO</t>
  </si>
  <si>
    <t>Google Maps / HxGN / Jarvis / Tixxi - Cam - 443</t>
  </si>
  <si>
    <t>AVENIDA PASTOR MARTIN LUTHER KING JÚNIOR - ALT. RUA MARINS LOUREIRO - SENT. IRAJÁ - VICENTE DE CARVALHO</t>
  </si>
  <si>
    <t>Google Maps / HxGN / Jarvis / Tixxi - Cam - 358</t>
  </si>
  <si>
    <t>AC VTR x PV</t>
  </si>
  <si>
    <t>AVENIDA PROFESSOR MANOEL DE ABREU - ALT. R. RAD. WALDIR AMARAL - SENT. TIJUCA - MARACANÃ</t>
  </si>
  <si>
    <t>TRANSOLÍMPICA - ALT. AV. MARECHAL FONTENELE - SENT. RECREIO DOS BANDEIRANTES - JARDIM SULACAP</t>
  </si>
  <si>
    <t>TRANSOLÍMPICA</t>
  </si>
  <si>
    <t>Google Maps / HxGN / Jarvis / Tixxi - Cam - 3619</t>
  </si>
  <si>
    <t>AVENIDA PASTOR MARTIN LUTHER KING JÚNIOR - ALT. TV. BUQUIRA -  SENT. INHAÚMA- ENGENHO DA RAINHA</t>
  </si>
  <si>
    <t>LINHA AMARELA - ALT. SAÍDA TÚNEL DA COVANCA- SENT. FUNDÃO - ÁGUA SANTA</t>
  </si>
  <si>
    <t>Google Maps / HxGN / Jarvis / Tixxi - Cam - 58</t>
  </si>
  <si>
    <t>AVENIDA AYRTON SENNA - ALT. VIA PARQUE - SENT. LINHA AMARELA - BARRA DA TIJUCA</t>
  </si>
  <si>
    <t>Google Maps / HxGN / Jarvis / Tixxi - Cam - 448</t>
  </si>
  <si>
    <t>AVENIDA SALVADOR ALLENDE - ALT. EST. BRT RIOCENTRO - SENT. TRANSOLÍMPICA - BARRA DA TIJUCA</t>
  </si>
  <si>
    <t>Google Maps / HxGN / Jarvis / Tixxi - Cam - 7712</t>
  </si>
  <si>
    <t>AVENIDA AYRTON SENNA - ALT. AV. TEN-CEL. MUNIZ DE ARAGÃO - SENT. JACAREPAGUÁ - BARRA DA TIJUCA</t>
  </si>
  <si>
    <t>Google Maps / HxGN / Jarvis / Tixxi - Cam - 705</t>
  </si>
  <si>
    <t>TRANSOLÍMPICA - ALT. RUA CORRÊA SEÁRA  - SENT. RECREIO DOS BANDEIRANTES - REALENGO</t>
  </si>
  <si>
    <t>Google Maps / HxGN / Jarvis / Tixxi - Cam - 3178</t>
  </si>
  <si>
    <t>AVENIDA DAS AMÉRICAS - ALT. AV. SALVADOR ALLENDE  - SENT. SANTA CRUZ - BARRA DA TIJUCA</t>
  </si>
  <si>
    <t>Google Maps / HxGN / Jarvis / Tixxi - Cam - 482</t>
  </si>
  <si>
    <t>AVENIDA MINISTRO IVAN LINS - ALT. RUA DEODATO DE MORAES - SENT. RECREIO DOS BANDEIRANTES - BARRA DA TIJUCA</t>
  </si>
  <si>
    <t>PONTE PRESIDENTE COSTA E SILVA - ALT. VÃO CENTRAL   SENT. NITERÓI - CENTRO</t>
  </si>
  <si>
    <t>PONTE PRESIDENTE COSTA E SILVA - ALT. PEDÁGIO - SENT. NITERÓI - EXTERNO</t>
  </si>
  <si>
    <t>Google Maps / HxGN / Jarvis / Tixxi - Cam - 453</t>
  </si>
  <si>
    <t>LINHA VERMELHA - ALT. KM20 - BAIXADA - SENT. BAIXADA - PAVUNA</t>
  </si>
  <si>
    <t>Google Maps / HxGN / Jarvis / Tixxi - Cam - 3141</t>
  </si>
  <si>
    <t>AVENIDA DAS AMÉRICAS - ALT. EST. BRT BOSQUE DA BARRA - SENT. SANTA CRUZ - BARRA DA TIJUCA</t>
  </si>
  <si>
    <t>Google Maps / HxGN / Jarvis / Tixxi - Cam - 484</t>
  </si>
  <si>
    <t>AVENIDA DAS AMÉRICAS - ALT. AV. ALFREDO BALTHAZAR DA SILVEIRA - SENT. SÃO CONRADO - BARRA DA TIJUCA</t>
  </si>
  <si>
    <t>TIXXII - Cam 4541</t>
  </si>
  <si>
    <t>Av Infante Dom Henrique - Alt. Rua Jardel Jercolis - Sent. Centro</t>
  </si>
  <si>
    <t>TIXXII - Cam 5217</t>
  </si>
  <si>
    <t>AC TX X VP</t>
  </si>
  <si>
    <t>Rua Araújo de Porto Alegre x Av Graça Aranha - Cruzamento</t>
  </si>
  <si>
    <t>TIXXI - Cam 510</t>
  </si>
  <si>
    <t>AC envol VP</t>
  </si>
  <si>
    <t>TransOlimpica - Alt. Av Salvador Allende - Sent. Recreio</t>
  </si>
  <si>
    <t>TIXXI - Via Rio</t>
  </si>
  <si>
    <t>TIXXI - Cam 6134</t>
  </si>
  <si>
    <t>Av Cesário de Melo x Rua Adolfo Lemos - Cruzamento</t>
  </si>
  <si>
    <t>TIXXI - CET - RIO</t>
  </si>
  <si>
    <t>TIXXI - Cam 906</t>
  </si>
  <si>
    <t>AC MT</t>
  </si>
  <si>
    <t>Av Abelardo Bueno x Av Ayrton Senna  - Sent. Orla - P. Central</t>
  </si>
  <si>
    <t>AVENIDA PRESIDENTE CASTELO BRANCO - ALT. EST. SÃO CRISTÓVÃO - SENT. MÉIER - MARACANÃ</t>
  </si>
  <si>
    <t>LINHA VERMELHA - ALT. KM 8,5 SENT. CENTRO - GALEÃO</t>
  </si>
  <si>
    <t>AVENIDA BRASIL - ALT. PASSARELA 11 - SENT. CENTRO - RAMOS</t>
  </si>
  <si>
    <t>AVENIDA AYRTON SENNA - ALT. ESPAÇO HALL - SENT. ORLA - JACAREPAGUÁ</t>
  </si>
  <si>
    <t>ELEVADO DO GASÔMETRO - ALT. BRT INTO – SENT. CENTRO - CAJU</t>
  </si>
  <si>
    <t>ELEVADO DO GASÔMETRO - ALT. TERMINAL GENTILEZA - SENT. AV. BRASIL - SANTO CRISTO</t>
  </si>
  <si>
    <t xml:space="preserve">Google Maps - Jarvis - Alarme HXG </t>
  </si>
  <si>
    <t>AVENIDA DAS AMÉRICAS - ALT. EST. BRT PONTAL - SENT. BARRA - RECREIO DOS BANDEIRANTES</t>
  </si>
  <si>
    <t>AVENIDA AYRTON SENNA - ALT. UPTOWN - SENT. ORLA - JACAREPAGUÁ</t>
  </si>
  <si>
    <t>LINHA VERMELHA - ALT. KM 11 - SENT. CENTRO - GALEÃO</t>
  </si>
  <si>
    <t>LINHA VERMELHA - ALT. KM 12 - SENT. BAIXADA - CORDOVIL</t>
  </si>
  <si>
    <t>LINHA AMARELA - ALT. TÚNEL DA COVANCA - SENT. FUNDÃO - FREGUESIA JACAREPAGUÁ</t>
  </si>
  <si>
    <t>Googls Maps</t>
  </si>
  <si>
    <t>VIADUTO PROCURADOR JOSÉ ALVES DE MORAIS - SENT. VILA ISABEL - SAMPAIO</t>
  </si>
  <si>
    <t>VIADUTO SAINT HILAIRE - SENT. TÚNEL REBOUÇAS</t>
  </si>
  <si>
    <t>TIXXI - CAM 112</t>
  </si>
  <si>
    <t>AV. BORGES DE MEDEIROS</t>
  </si>
  <si>
    <t>TIXXI - CAM 114</t>
  </si>
  <si>
    <t>AVENIDA AYRTON SENNA - ALT. BRT VIA PARQUE</t>
  </si>
  <si>
    <t>TIXXI - CAM 58</t>
  </si>
  <si>
    <t>AVENIDA MONSENHOR FÉLIX &amp; AVENIDA PASTOR MARTIN LUTHER KING JÚNIOR - IRAJÁ</t>
  </si>
  <si>
    <t>RUA MANUEL VITORINO - ALT. R. ASSIS CARNEIRO - ENCANTADO</t>
  </si>
  <si>
    <t>LINHA VERMELHA - ALT. KM 12 - SENT. BAIXADA - GALEÃO</t>
  </si>
  <si>
    <t>AVENIDA BRASIL - ALT. VIADUTO DE LUCAS - SENT. ZONA OESTE - PARADA DE LUCAS</t>
  </si>
  <si>
    <t>Google Maps - TIXXI - Alarme HGN</t>
  </si>
  <si>
    <t>AVENIDA BRASIL - ALT. PASSARELA 9 - SENT. CENTRO - BONSUCESSO</t>
  </si>
  <si>
    <t>RUA PAULO TAPAJÓS - ALT. N° 121 - RECREIO DOS BANDEIRANTES</t>
  </si>
  <si>
    <t>ESTRADA DE JACAREPAGUÁ - ALT. 5380 - SENT. FREGUESIA - JACAREPAGUÁ</t>
  </si>
  <si>
    <t>AVENIDA BRASIL - ALT. PASSARELA 23 - SENT. CENTRO - IRAJÁ</t>
  </si>
  <si>
    <t xml:space="preserve">Atropelamento MT </t>
  </si>
  <si>
    <t>RUA JOÃO VICENTE - ALT. Nº 1089 - BENTO RIBEIRO</t>
  </si>
  <si>
    <t>AC envolv. MT</t>
  </si>
  <si>
    <t>RUA DANTE - ALT. Nº 186 - CORDOVIL</t>
  </si>
  <si>
    <t>RUA ITABIRA - ALT. EST. TREM BRÁS DE PINA - BRÁS DE PINA</t>
  </si>
  <si>
    <t>AVENIDA PAULO DE FRONTIN - ALT. JOAQUIM PALHARES - RIO COMPRIDO</t>
  </si>
  <si>
    <t>TÚNEL SANTA BÁBARA - LARANJEIRAS</t>
  </si>
  <si>
    <t>ESTRADA ADHEMAR BEBIANO - ALT. Nº275 - ENGENHO DA RAINHA</t>
  </si>
  <si>
    <t>AVENIDA BRASIL - ALT. PASSARELA 8 - SENT. CENTRO - BONSUCESSO</t>
  </si>
  <si>
    <t>Manutenção na via (Comlurb)</t>
  </si>
  <si>
    <t>AVENIDA BRASIL - ALT. EST. BRT FAZENDA BOTAFOGO - SENT. Z. OESTE - COELHO NETO</t>
  </si>
  <si>
    <t>AVENIDA BRASIL - ALT. PASSARELA 21 - SENT. CENTRO - VIGÁRIO GERAL</t>
  </si>
  <si>
    <t>AVENIDA BRASIL - ALT. MOCIDADE - SENT. CENTRO - REALENGO</t>
  </si>
  <si>
    <t>Alarme HXG</t>
  </si>
  <si>
    <t>Atropelamento ON</t>
  </si>
  <si>
    <t>RUA SÃO JANUÁRIO - ALT. N° 220 - VASCO DA GAMA</t>
  </si>
  <si>
    <t>LINHA VERMELHA - ALT. KM 6 - SENT. BAIXADA - MARÉ</t>
  </si>
  <si>
    <t>Google Maps / HxGN / Jarvis / Tixxi - Cam - 588</t>
  </si>
  <si>
    <t>RUA FELIPE CARDOSO - ALT. PRAÇA SANTA CRUZ - SENT. GUARATIBA - SANTA CRUZ</t>
  </si>
  <si>
    <t>Google Maps / HxGN / Jarvis / Tixxi - Cam - 7138</t>
  </si>
  <si>
    <t>AVENIDA GEREMÁRIO DANTAS - ALT. ESTR. DA COVANCA - SENT. PRAÇA SECA - TANQUE</t>
  </si>
  <si>
    <t>Google Maps / HxGN / Jarvis / Tixxi - Cam - 5309</t>
  </si>
  <si>
    <t>AVENIDA AMARO CAVALCANTI - ALT. VIADUTO CASTRO ALVES - SENT. MADUREIRA - MÉIER</t>
  </si>
  <si>
    <t>Google Maps / HxGN / Jarvis / Tixxi - Cam - 4584</t>
  </si>
  <si>
    <t>Google Maps / HxGN / Jarvis / Tixxi - Cam - 432</t>
  </si>
  <si>
    <t>LINHA VERMELHA - ALT. KM7 - SENT. BAIXADA - CIDADE UNIVERSITÁRIA</t>
  </si>
  <si>
    <t>Google Maps / HxGN / Jarvis / Tixxi - Cam - 104</t>
  </si>
  <si>
    <t>ELEVADO ENG. RUFINO DE A. PIZARRO - SENT. CENTRO - SÃO CRISTÓVÃO</t>
  </si>
  <si>
    <t>Google Maps / HxGN / Jarvis / Tixxi - Cam - 218</t>
  </si>
  <si>
    <t>Manuetenção na via (SMART LUZ)</t>
  </si>
  <si>
    <t>ELEVADO DO GASÔMETRO - SENT. CENTRO - CAJU</t>
  </si>
  <si>
    <t>SMART LUZ</t>
  </si>
  <si>
    <t>Google Maps / Tixxi - Cam - 4348</t>
  </si>
  <si>
    <t xml:space="preserve">AC UT x Mureta </t>
  </si>
  <si>
    <t>AVENIDA BRASIL - ALT. EST. BRT VASCO DA GAMA - SENT. CENTRO - VASCO DA GAMA</t>
  </si>
  <si>
    <t>Google Maps / HxGN / Jarvis / Tixxi - Cam - 715</t>
  </si>
  <si>
    <t>AVENIDA BRASIL - ALT. VILA MILITAR - SENT. SANTA CRUZ - DEODORO</t>
  </si>
  <si>
    <t>Google Maps / Tixxi - Cam - 234</t>
  </si>
  <si>
    <t xml:space="preserve">LINHA VERMELHA - ALT. KM 3 - SENT. CENTRO - CAJU </t>
  </si>
  <si>
    <t>Google Maps / HxGN / Jarvis / Tixxi - Cam - 4660</t>
  </si>
  <si>
    <t>AVENIDA BRASIL - ALT. EST. BRT LOBO JUNIOR - PENHA</t>
  </si>
  <si>
    <t xml:space="preserve">Av. Borges de Medeiros - Alt. Clube ADB </t>
  </si>
  <si>
    <t>Praia de Botafogo, Alt. N° 252 - Sent. Copacabana</t>
  </si>
  <si>
    <t>AC UT x BC</t>
  </si>
  <si>
    <t>Est. do Cabuçu, Alt. N° 1190</t>
  </si>
  <si>
    <t>Rua do Paraíso - Alt. N° 45 - Santa Teresa</t>
  </si>
  <si>
    <t>Google Maps / Tixxi - Cam - 432</t>
  </si>
  <si>
    <t xml:space="preserve">LINHA VERMELHA - ALT. FUNDÃO - SENT. BAIXADA </t>
  </si>
  <si>
    <t>Google Maps / HxGN / Jarvis / Tixxi - Cam - 3179</t>
  </si>
  <si>
    <t>AVENIDA SALVADOR ALLENDE - ALT. EST BRT TABEBUIAS  - SENT. ORLA - BARRA DA TIJUCA</t>
  </si>
  <si>
    <t>Google Maps / Ger. Júlio</t>
  </si>
  <si>
    <t>Av. Brasil - Alt. CIAGA - SENT. Z. OESTE</t>
  </si>
  <si>
    <t>Júlio</t>
  </si>
  <si>
    <t>Google Maps / HxGN / Jarvis / Tixxi - Cam - 4348</t>
  </si>
  <si>
    <t>AVENIDA BRASIL - ALT. BRT VASCO DA GAMA - SENT. Z.OESTE - SÃO CRISTÓVÃO</t>
  </si>
  <si>
    <t>Google Maps / HxGN / Jarvis / Tixxi - Cam - 783</t>
  </si>
  <si>
    <t>PRAÇA DINAH SILVEIRA DE QUEIRÓS - SANTO CRISTO</t>
  </si>
  <si>
    <t>Google Maps / HxGN / Jarvis / Tixxi - Cam - 3352</t>
  </si>
  <si>
    <t>AVENIDA DAS NAÇÕES UNIDAS - ALT. R. PROF. ALFREDO GOMES  - SENT. COPACABANA - BOTAFOGO</t>
  </si>
  <si>
    <t>Google Maps / HxGN / Jarvis / Tixxi - Cam - 44</t>
  </si>
  <si>
    <t>RUA JARDIM BOTÂNICO - ALT. RUA PACHECO LEÃO  - SENT. CENTRO - JARDIM BOTÂNICO</t>
  </si>
  <si>
    <t>Google Maps / HxGN / Jarvis / Tixxi - Cam - 6245</t>
  </si>
  <si>
    <t>RUA VISCONDE DE PIRAJÁ - ALT. R. MARIA QUITÉRIA - IPANEMA</t>
  </si>
  <si>
    <t>Google Maps / HxGN / Jarvis / Tixxi - Cam - 4317</t>
  </si>
  <si>
    <t>AC ON x VP</t>
  </si>
  <si>
    <t>AVENIDA BRASIL - ALT. TERMINAL GENTILEZA - SENT. CENTRO - SÃO CRISTÓVÃO</t>
  </si>
  <si>
    <t>Google Maps / HxGN / Jarvis / Tixxi - Cam - 895</t>
  </si>
  <si>
    <t>AVENIDA DAS AMÉRICAS - ALT. SAÍDA TÚNEL VICE-PRESIDENTE JOSÉ DE ALENCAR - SENT. BARRA DA TIJUCA - RECREIO DOS BANDEIRANTES</t>
  </si>
  <si>
    <t>DRONE</t>
  </si>
  <si>
    <t>Rua General Herculano Gomes</t>
  </si>
  <si>
    <t>Tixxi CAM 4431</t>
  </si>
  <si>
    <t>Av. Brasil - Alt. BRT VIgário Geral - Sent. Centro</t>
  </si>
  <si>
    <t>Tixxi CAM 329</t>
  </si>
  <si>
    <t>VP x TX</t>
  </si>
  <si>
    <t>ALt. Golfe CLube</t>
  </si>
  <si>
    <t>Google Maps - HxGN</t>
  </si>
  <si>
    <t>AVENIDA DAS AMÉRICAS - ALT. TÚNEL DA GROTA FUNDA - SENT BARRA - RECREIO DOS BANDEIRANTES</t>
  </si>
  <si>
    <t>AVENIDA BRASIL - BRT LOBO JUNIOR - SENT. CENTRO - OLARIA</t>
  </si>
  <si>
    <t>LINHA AMARELA - ALT. SAÍDA 4 - SENT. BARRA - INHAÚMA</t>
  </si>
  <si>
    <t>AVENIDA MARACANÃ - ALT. R. SÃO FRANCISCO XAVIER - MARACANÃ</t>
  </si>
  <si>
    <t>AVENIDA MARECHAL FONTENELE - ALT. ESTR. JAPORÉ - SENT. SULACAP - VILA VALQUEIRE</t>
  </si>
  <si>
    <t>AVENIDA RODRIGUES ALVES - ALT. RODOVIARIA - SENT CENTRO - SANTO CRISTO</t>
  </si>
  <si>
    <t>PRAIA DE BOTAFOGO - ALT. R. VISC. DE OURO PRETO - SENT. CENTRO - BOTAFOGO</t>
  </si>
  <si>
    <t>AVENIDA BRASIL - ALT. PASSARELA 2 - SENT. Z. OESTE - VASCO DA GAMA</t>
  </si>
  <si>
    <t>AVENIDA AYRTON SENNA - ALT. VILA DO PAN - SENT. LINHA AMARELA - JACAREPAGUÁ</t>
  </si>
  <si>
    <t>AVENIDA BRASIL - ALT. DA  PASSARELA 23   - SENT. CENTRO. - IRAJÁ</t>
  </si>
  <si>
    <t>Google Maps - Tixxi - Cam 4689</t>
  </si>
  <si>
    <t xml:space="preserve">Av. Salvador Allende - Alt. R.Abrahão Jabour - Sent. Recreio dos Bandeirantes - Barra da Tijuca </t>
  </si>
  <si>
    <t>Google Maps - Tixxi - Cam 4407</t>
  </si>
  <si>
    <t xml:space="preserve">Av. Brasil - Alt. Est. BRT Mercado São Sebastião - Sent. Z. Oeste - Brás de Pina </t>
  </si>
  <si>
    <t>Google Maps - Tixxi - Cam 1498</t>
  </si>
  <si>
    <t xml:space="preserve">R. Visconde de Santa Isabel - Alt. R. Alexandre Calaza - Sent. Engenho Novo - Vila Isabel </t>
  </si>
  <si>
    <t>Google Maps - Tixxi - Cam 421</t>
  </si>
  <si>
    <t>Google Maps - Tixxi - Cam 4413</t>
  </si>
  <si>
    <t xml:space="preserve">Av. Brasil - Alt; Est. BRT Rubens Vaz -  Sent. Centro - Ramos </t>
  </si>
  <si>
    <t xml:space="preserve">Enguiço CR </t>
  </si>
  <si>
    <t xml:space="preserve">Av. Brasil - Alt. Viaduto de Deodoro - Sent. Centro - Deodoro </t>
  </si>
  <si>
    <t>LINHA VERMELHA - ALT. KM 14 - SENT. CENTRO - CORDOVIL</t>
  </si>
  <si>
    <t>Incendio VP</t>
  </si>
  <si>
    <t>AV. REI PELÉ - ALT. AV. PROF. MANOEL DE ABREU - SENT. PRAÇA DA BANDEIRA -MARACANÃ</t>
  </si>
  <si>
    <t>AVENIDA BRASIL - ALT. PASSARELA 28 - SENT. CENTRO - COELHO NETO</t>
  </si>
  <si>
    <t>AVENIDA MARECHAL RONDON - ALT. R. MARECHAL BITTENCOURT - RIACHUELO</t>
  </si>
  <si>
    <t>Semáforo Apagado</t>
  </si>
  <si>
    <t>VIADUTO DOS FUZILEIROS - SENT. CENTRO - CIDADE NOVA</t>
  </si>
  <si>
    <t>AVENIDA BRASIL - ALT. PASSARELA 21 - SENT. Z. OESTE - VIGÁRIO GERAL</t>
  </si>
  <si>
    <t>AVENIDA SALVADOR ALLENDE - ALT. BRT CATEDRAL DO RECREIO - SENT. TRANSOLÍMPICA - BARRA DA TIJUCA</t>
  </si>
  <si>
    <t>Google Maps - Alarme HXG - Jarvis - Tixxi</t>
  </si>
  <si>
    <t>AVENIDA FRANCISCO BICALHO - ALT. UNIDOS DA TIJUCA - SENT. AV. BRASIL - SANTO CRISTO</t>
  </si>
  <si>
    <t>AVENIDA BRASIL - ALT. BRT LOBO JÚNIOR - SENT. CENTRO - PENHA</t>
  </si>
  <si>
    <t>RUA JARDIM BOTÂNICO - ALT. Nº767 -  SENT. HUMAITÁ - JARDIM BOTÂNICO</t>
  </si>
  <si>
    <t>Obra na via (Rio+)</t>
  </si>
  <si>
    <t>AVENIDA ALBERICO DINIZ - RUA PACIFÍCO PEREIRA - SENT. VILA VALQUEIRE - JARDIM SULACAP</t>
  </si>
  <si>
    <t>RIO+</t>
  </si>
  <si>
    <t>Google Maps / HxGN / Jarvis / Tixxi - Cam - 135</t>
  </si>
  <si>
    <t>AVENIDA AYRTON SENNA - ALT. GIRO DO CEBOLINHA - SENT. SENT. JACAREPAGUÁ - GARDÊNIA AZUL</t>
  </si>
  <si>
    <t>AVENIDA BRASIL - ALT. TRANSOLÍMPICA – SENT. SANTA CRUZ - DEODORO</t>
  </si>
  <si>
    <t>Google Maps / HxGN / Jarvis / Tixxi - Cam - 4522</t>
  </si>
  <si>
    <t>LINHA VERMELHA - ALT. KM 6 - BAIXADA - MARÉ</t>
  </si>
  <si>
    <t>LINHA VERMELHA - ALT. KM 8 -SENT, BAIXADA - GALEÃO</t>
  </si>
  <si>
    <t>Google Maps / HxGN / Jarvis / Tixxi - Cam - 3212</t>
  </si>
  <si>
    <t>Operção Policial</t>
  </si>
  <si>
    <t>Google Maps / HxGN / Jarvis / Tixxi - Cam - 4479</t>
  </si>
  <si>
    <t>Google Maps - Tixxi - Cam 684</t>
  </si>
  <si>
    <t xml:space="preserve">Túnel Antônio Rebouças - Alt. 2ª Galeria - Sent. Lagoa - Rio Comprido </t>
  </si>
  <si>
    <t>AVENIDA DOM JOÃO VI - ALT. BRT ILHA DE GUARATIBA - SENT. SANTA CRUZ - GUARATIBA</t>
  </si>
  <si>
    <t>LINHA VERMELHA - ALT. KM 8 - SENT. BAIXADA - CIDADE UNIVERSITÁRIA</t>
  </si>
  <si>
    <t>Google Maps / HxGN / Jarvis / Tixxi - Cam - 7740</t>
  </si>
  <si>
    <t>AVENIDA AYRTON SENNA - ALT. ESPAÇO HALL - SENT. ORLA - BARRA DA TIJUCA</t>
  </si>
  <si>
    <t>Google Maps / HxGN / Tixxi - Cam - 5697</t>
  </si>
  <si>
    <t>RUA DAS LARANJEIRAS - ALT. RUA ALICE</t>
  </si>
  <si>
    <t>Google Maps / CCO ECOPONTE</t>
  </si>
  <si>
    <t>OBRA NA VIA (ECOVIAS PONTE)</t>
  </si>
  <si>
    <t>PONTE RIO - NITEROI</t>
  </si>
  <si>
    <t>MAPS Google</t>
  </si>
  <si>
    <t>TIXXI - Cam 4246</t>
  </si>
  <si>
    <t>Rua Amaro Cavalcante Alt. Viaduto de Todos os Santos - Sent. Engenho de Dentro</t>
  </si>
  <si>
    <t>TIXXI - Cam 81</t>
  </si>
  <si>
    <t>Rua 24 de Maio Alt. Rua Barão do Bom Retiro - Sent. Meier</t>
  </si>
  <si>
    <t>TIXXI - Cam 7042</t>
  </si>
  <si>
    <t>AC MT x Árvore</t>
  </si>
  <si>
    <t>Rua Artur Rios - Alt. N° 334 - Sent. Santíssimo</t>
  </si>
  <si>
    <t>Google Maps / HxGN / Jarvis / Tixxi - Cam - 173</t>
  </si>
  <si>
    <t>AVENIDA BRASIL - ALT. PASSARELA 04 - SENT. CENTRO - BENFICA</t>
  </si>
  <si>
    <t>TIXXI - Cam 2453</t>
  </si>
  <si>
    <t>Obra na calha BRT</t>
  </si>
  <si>
    <t>Transolímpica - Alt. Estação BRT Ventura - Sent. Av Brasil</t>
  </si>
  <si>
    <t>TIXXI - ViaRio</t>
  </si>
  <si>
    <t>TIXXI - Cam 302</t>
  </si>
  <si>
    <t>Rua Marques de Olinda - Alt. Praio de Botafogo</t>
  </si>
  <si>
    <t>TIXXI - Cam 018</t>
  </si>
  <si>
    <t>Evento Cultural (Junina na Lagoa)</t>
  </si>
  <si>
    <t>Av. Borges de Medeiros - Parque dos Patins</t>
  </si>
  <si>
    <t>TIXXI - Cam 6904</t>
  </si>
  <si>
    <t>Avenida Paulo de Frontin x Rua João Paulo - Cruzamento</t>
  </si>
  <si>
    <t>TÚNEL ANDRÉ REBOUÇAS - 1ª GALERIA - SENT. CENTRO - COSME VELHO</t>
  </si>
  <si>
    <t>RUA BARÃO DE SÃO FRANCISCO - ALT. R. TORRES HOMEM - VILA ISABEL</t>
  </si>
  <si>
    <t>AVENIDA BRASIL - VTO. BARROS FILHO - SENT. Z OESTE - BARROS FILHO</t>
  </si>
  <si>
    <t>RUA SANTA CLARA - ALT. R. TONELERO - COPACABANA</t>
  </si>
  <si>
    <t>Obra na via (Águas do Rio)</t>
  </si>
  <si>
    <t>AVENIDA NILO PEÇANHA - ALT. R. DEBRET - CENTRO</t>
  </si>
  <si>
    <t>RUA CÂNDIDO BENÍCIO - ALT. R. DOUTOR BERNARDINO - SENT. TAQUARA - PRAÇA SECA</t>
  </si>
  <si>
    <t>RUA SÃO CLEMENTE - ALT. R. DAS PALMEIRAS - BOTAFOGO</t>
  </si>
  <si>
    <t>Evento - UNISUAM</t>
  </si>
  <si>
    <t>AVENIDA PARIS - FACULDADE UNISUAM - BONSUCESSO</t>
  </si>
  <si>
    <t>AVENIDA PRESIDENTE VARGAS - ALT. Nº2560 - SENT. PRAÇA DA BANDEIRA - CENTRO</t>
  </si>
  <si>
    <t>AVENIDA BRÁZ DE PINA - ALT. EST. BRT GUAPORÉ - SENT. MADUREIRA - PENHA CIRCULAR</t>
  </si>
  <si>
    <t>AVENIDA PASTOR MARTIN LUTHER KING JÚNIOR - ALT. METRO DEL CASTILHO - SENT. INHAÚMA - DEL CASTILHO</t>
  </si>
  <si>
    <t>LINHA VERMELHA - ALT. KM7 - SENT. BAIXADA - GALEÃO</t>
  </si>
  <si>
    <t>AVENIDA DOM HELDER CÂMARA - ALT. R. FERREIRA LEITE - SENT. CASCADURA - ABOLIÇÃO</t>
  </si>
  <si>
    <t>AVENIDA REI PELÉ - ALT. VTO. ODULVADO COZZI - SENT. MÉIER - MARACANÃ</t>
  </si>
  <si>
    <t>LINHA VERMELHA - ALT. KM 2 - SENT. CENTRO - CAJU</t>
  </si>
  <si>
    <t>Drone - Tixxi</t>
  </si>
  <si>
    <t>SÃO FRANCISCO XAVIER - ALT. UERJ - SENT. CENTRO - SÃO FRANCISCO XAVIER</t>
  </si>
  <si>
    <t>TUNEL ANTÔNIO REBOUÇAS - ALT. PRIMEIRA GALERIA - SENT. LAGOA - RIO COMPRIDO</t>
  </si>
  <si>
    <t>AVENIDA PROFESSOR MANOEL DE ABREU - ALT. AV. REI PELÉ - SENT. TIJUCA - MARACANÃ</t>
  </si>
  <si>
    <t>AC envolv. ON</t>
  </si>
  <si>
    <t>TRANSOLÍMPICA - ALT. ESTR. DO RIO GRANDE - SENT. DEODORO - TAQUARA</t>
  </si>
  <si>
    <t>VIARIO</t>
  </si>
  <si>
    <t>Rua Mário Ribeiro cruzamento com Av. Borges de Medeiros</t>
  </si>
  <si>
    <t>AVENIDA BORGES DE MEDEIROS</t>
  </si>
  <si>
    <t>TIXXI - Cam 3636</t>
  </si>
  <si>
    <t>Av. Pastor Marques Lutherking Jr</t>
  </si>
  <si>
    <t>RUA TEIXEIRA SOARES - ALT. Nº139 - SENT. CENTRO - MARACANÃ</t>
  </si>
  <si>
    <t>AVENIDA RODRIGUES ALVES - ALT. RODOVIÁRIA - SENT. CENTRO - SAÚDE</t>
  </si>
  <si>
    <t>LINHA AMARELA - ALT. SAÍDA 05 - SENT.  BARRA - DEL CASTILHO</t>
  </si>
  <si>
    <t>AVENIDA BRASIL - ALT. VIADUTO BATAN - SENT. CENTRO - REALENGO</t>
  </si>
  <si>
    <t>Poste com risco de queda</t>
  </si>
  <si>
    <t>RUA SÃO LUIZ GONZAGA - ALT. R. CAPITÃO FÉLIX - SENT. MARIA DA GRAÇA - BENFICA</t>
  </si>
  <si>
    <t>RIO ONIBUS</t>
  </si>
  <si>
    <t>AVENIDA BRASIL - ALT. PASSARELA 5 - SENT. CENTRO - BENFICA</t>
  </si>
  <si>
    <t>RUA SÃO LUIZ GONZAGA - ALT. R. ANA NERI - SENT. MARIA DA GRAÇA - BENFICA</t>
  </si>
  <si>
    <t>AUTOESTRADA FERNANDO MAC DOWELL - ALT. ESTR. DAS CANOAS - SENT.  LAGOA - SÃO CONRADO</t>
  </si>
  <si>
    <t>AVENIDA BORGES DE MEDEIROS - ALT. RUA JOSÉ JOAQUIM SEABRA - SENT. TÚNEL REBOUÇAS - LAGOA</t>
  </si>
  <si>
    <t>RUA GENERAL LUÍS MENDES DE MORAIS - ALT. PRAÇA DINAH SILVEIRA DE QUEIRÓS - SENT. SÃO CRISTÓVÃO - SANTO CRISTO</t>
  </si>
  <si>
    <t>Tixxi - Cam - 302</t>
  </si>
  <si>
    <t xml:space="preserve">Bolsão de água na via </t>
  </si>
  <si>
    <t>RUA MUNIZ BARRETO - ALT. R. MARQUÊS DE OLINDA - BOTAFOGO</t>
  </si>
  <si>
    <t>AVENIDA BRASIL - ALT. DA PASSARELA 6- SENT. CENTRO. - MARÉ</t>
  </si>
  <si>
    <t>Google Maps / Tixxi - Cam 4285</t>
  </si>
  <si>
    <t xml:space="preserve">R. MARQUÊS DE SÃO VICENTE - ALT. R. PROF. MANUEL FERREIRA - SENT. JARDIM BOTÂNICO - GÁVEA </t>
  </si>
  <si>
    <t>Google Maps - Tixxi - Cam 899</t>
  </si>
  <si>
    <t xml:space="preserve">AV. SALVADOR ALLENDE - ALT. EST. BRT ILHA PURA - SENT. ORLA - BARRA DA TIJUCA </t>
  </si>
  <si>
    <t>LINHA VERMELHA - ALT. KM 10 - SENT. CENTRO - GALEÃO</t>
  </si>
  <si>
    <t>TÚNEL ACÚSTICO RAFAEL MASCARENHAS - SENT. LAGOA - GÁVEA</t>
  </si>
  <si>
    <t>Google Maps / HxGN / Jarvis / Tixxi - Cam - 1696</t>
  </si>
  <si>
    <t xml:space="preserve"> AVENIDA REI PELÉ - ALT. PORTÃO 3 - SENT. MÉIER - MARACANÃ</t>
  </si>
  <si>
    <t>Google Maps / Tixxi - Cam - 3212</t>
  </si>
  <si>
    <t>Av. Ayrton Senna - Alt. Ponte Santos Dumount</t>
  </si>
  <si>
    <t>Google Maps / HxGN / Jarvis / Tixxi - Cam - 1031</t>
  </si>
  <si>
    <t>RUA VINTE E QUATRO DE MAIO - ALT. R. CÔNEGO TOBIAS - SAMPAIO</t>
  </si>
  <si>
    <t>Google Maps / Tixxi - Cam - 1031</t>
  </si>
  <si>
    <t>Rua Cândido Benício - Alt. BRT Ipase - Sent. Madureira</t>
  </si>
  <si>
    <t>Google Maps / Tixxi - Cam - 6904</t>
  </si>
  <si>
    <t>RUA JOÃO PAULO I - CRUZAMENTO COM AV. PAULO DE FRONTIN - RIO COMPRIDO</t>
  </si>
  <si>
    <t>AVENIDA JOÃO RIBEIRO - ALT. AV. PASTOR MARTIN LUTHER KING JR - SENT. INHAÚMA - TOMÁS COELHO</t>
  </si>
  <si>
    <t>AVENIDA MINISTRO EDGARD ROMERO - ALT. AV. VICENTE DE CARVALHO - SENT. IRAJÁ - VAZ LOBO</t>
  </si>
  <si>
    <t>AVENIDA VINTE DE JANEIRO - ALT. TERMINAL 2 - SENT. AEROPORTO GALEÃO - GALEÃO</t>
  </si>
  <si>
    <t>AC CM X ON</t>
  </si>
  <si>
    <t>RUA PADRE TELÊMACO - ALT. N° 172 - SENT. MÉIER - CASCADURA</t>
  </si>
  <si>
    <t>AVENIDA PRESIDENTE VARGAS - ALT. N° 2560 - SENT. PRAÇA DA BANDEIRA - CIDADE NOVA</t>
  </si>
  <si>
    <t>AC ON X MT</t>
  </si>
  <si>
    <t>ESTRADA DOS BANDEIRANTES - ALT. EST. BRT SANTA EFIGENIA - SENT. BARRA DA TIJUCA - TAQUARA</t>
  </si>
  <si>
    <t>Evento - Espaço Hall</t>
  </si>
  <si>
    <t>AVENIDA AYRTON SENNA - ALT. ESPAÇO HALL - SENT. L. AMARELA - GARDÊNIA AZUL</t>
  </si>
  <si>
    <t>AVENIDA PRESIDENTE CASTELO BRANCO - ALT. R. GENERAL CANABARRO - SENT. CENTRO - MARACANÃ</t>
  </si>
  <si>
    <t>Google Maps - Tixxi - Cam 4445</t>
  </si>
  <si>
    <t>Túnel Santa Bárbara - Alt. Sáida do túnel - Sent. Centro - Santa Teresa</t>
  </si>
  <si>
    <t>Google Maps - Tixxi - Cam 357</t>
  </si>
  <si>
    <t xml:space="preserve">Boulevard 28 Setembro - Alt. R. Gonzaga Bastos - Vila Isabel </t>
  </si>
  <si>
    <t xml:space="preserve">Linha Amarela - Alt. Saída 9D - Sent. Barra da Tijuca - Bonsucesso </t>
  </si>
  <si>
    <t>Google Maps - Tixxi - Cam 375</t>
  </si>
  <si>
    <t xml:space="preserve">Av. Dom Hélder Câmara - Alt. R. Domingos de Barros - Sent. Benfica - Del Castilho </t>
  </si>
  <si>
    <t>AC 2 VP seguido de Capotamento</t>
  </si>
  <si>
    <t xml:space="preserve">A. Pastor Martin Luther King Júnior - Alt. Est. Metrô Inhaúma - Sent. Vicente de Carvalho - Inhaúma </t>
  </si>
  <si>
    <t xml:space="preserve">Subtran </t>
  </si>
  <si>
    <t>Google maps - Tixxi - Cam 4166</t>
  </si>
  <si>
    <t>AVENIDA MAESTRO PAULO E SILVA - ALT. COND. SOLAR DA ILHA - SENT. AEROPORTO - JARDIM CARIOCA</t>
  </si>
  <si>
    <t>Google maps - Tixxi - Cam 573</t>
  </si>
  <si>
    <t xml:space="preserve">Estr. Rio do A - Alt. R. Alfredo de Morais - Sent. Av. Brasil - Campo Grande </t>
  </si>
  <si>
    <t>Google maps - Tixxi - Cam 556</t>
  </si>
  <si>
    <t xml:space="preserve">Estr. Intendente Magalhães - Alt. Estr. Japoré - Sent. Jardim Sulacap - Marechal Hermes </t>
  </si>
  <si>
    <t>VIADUTO LOURENÇO DE ABREU JORGE - ALT. LOBO JUNIOR - SENT. PENHA - PENHA CIRCULAR</t>
  </si>
  <si>
    <t>AVENIDA AYRTON SENNA - ALT. UPTOWN - SENT. LINHA AMARELA - JACAREPAGUÁ</t>
  </si>
  <si>
    <t>Incêndio CM</t>
  </si>
  <si>
    <t>AVENIDA AYRTON SENNA - ALT. VIA PARQUE - SENT. ORLA - BARRA DA TIJUCA</t>
  </si>
  <si>
    <t>RUA CONSELHEIRO GALVÃO - ALT. AV. MINISTRO EDGARD ROMERO - SENT. CASCADURA - MADUREIRA</t>
  </si>
  <si>
    <t>AVENIDA BRASIL - ALT. PASSARELA 14 - SENT. Z. OESTE - OLARIA</t>
  </si>
  <si>
    <t>ESTRADA DO TINDIBA - ALT. R. CAVIANA - SENT. PECHINCHA - TAQUARA</t>
  </si>
  <si>
    <t>AVENIDA SALVADOR ALLENDE - ALT. EST. BRT ASA BRANCA - SENT. RECREIO - JACAREPAGUÁ</t>
  </si>
  <si>
    <t>AUTOESTRADA FERNANDO MAC DOWELL - ALT. TÚNEL DE SÃO CONRADO - SENT. BARRA - SÃO CONRADO</t>
  </si>
  <si>
    <t>RUA CÂNDIDO BENÍCIO - ALT. R. ANA TELES - SENT. PRAÇA SECA - CAMPINHO</t>
  </si>
  <si>
    <t>AVENIDA VISCONDE DE ALBUQUERQUE - ALT. AV. ATAULFO ALVES - SENT. GÁVEA - LEBLON</t>
  </si>
  <si>
    <t>AVENIDA AYRTON SENNA - ALT. GIRO DO CEBOLÃO - SENT. ORLA - BARRA DA TIJUCA</t>
  </si>
  <si>
    <t>LINHA AMARELA - ALT. SAÍDA 05 - SENT. FUNDÃO - DEL CASTILHO</t>
  </si>
  <si>
    <t>LINHA VERMELHA - ALT. KM 3 - SENT. CENTRO - MARÉ</t>
  </si>
  <si>
    <t xml:space="preserve">Google Maps / Jarvis / Tixxi </t>
  </si>
  <si>
    <t>AVENIDA MARECHAL RONDON - ALT. R. MAL. BITTENCOURT - ROCHA</t>
  </si>
  <si>
    <t xml:space="preserve">Google Maps / HXG / Tixxi </t>
  </si>
  <si>
    <t>AC UT x 3 VP x 2 MT</t>
  </si>
  <si>
    <t>AVENIDA BRASIL - ALT. PASSARELA 13 - SENT. CENTRO - MARÉ</t>
  </si>
  <si>
    <t>RUA UBATUBA - ALT. EST. GUILHERME DA SILVEIRA - PADRE MIGUEL</t>
  </si>
  <si>
    <t>LINHA VERMELHA - ALT. KM 12 - BAIXADA - CORDOVIL</t>
  </si>
  <si>
    <t>AVENIDA BRASIL - ALT. DA PASSARELA 32- SENT. Z.OESTE. - GUADALUPE</t>
  </si>
  <si>
    <t>Google Maps / Tixxi</t>
  </si>
  <si>
    <t>AVENIDA BRASIL - ALT. RESTAURANTE DOS MINEIROS - SENT. CENTRO - SANTÍSSIMO</t>
  </si>
  <si>
    <t>Google Maps / HXG / Tixxi  - Cam 81</t>
  </si>
  <si>
    <t>RUA VINTE E QUATRO DE MAIO - ALT. BURACO DO PADRE - ENGENHO NOVO</t>
  </si>
  <si>
    <t>LINHA AMARELA - ALT. TÚNEL DA COVANCA - SENT. BARRA DA TIJUCA - ÁGUA SANTA</t>
  </si>
  <si>
    <t>Google Maps / HXG / Tixxi  - Cam 7740</t>
  </si>
  <si>
    <t xml:space="preserve">Google Maps / HXG / Tixxi  </t>
  </si>
  <si>
    <t>RUA CÂNDIDO BENÍCIO - ALT. R. BARÃO - SENT. TANQUE - PRAÇA SECA</t>
  </si>
  <si>
    <t>TRANSOLÍMPICA - ALT. EST. MAGALHÃES BASTOS - SENT. DEODORO - MAGALHÃES BASTOS</t>
  </si>
  <si>
    <t>AC UT X 2 VP</t>
  </si>
  <si>
    <t>AVENIDA PRESIDENTE CASTELO BRANCO - ALT. EST. SÃO CRISTÓVÃO - SENT. CENTRO - MARACANÃ</t>
  </si>
  <si>
    <t>AVENIDA BRASIL - ALT. PASSARELA 32 - SENT. CENTRO - GUADALUPE</t>
  </si>
  <si>
    <t>Evento Cultural</t>
  </si>
  <si>
    <t>AVENIDA BORGES DE MEDEIROS - ALT. PARQUE DOS PATINS - LAGOA</t>
  </si>
  <si>
    <t>AVENIDA SALVADOR DE SÁ - ALT. R. CORREIA VASQUES - ESTÁCIO</t>
  </si>
  <si>
    <t>AVENIDA AMARO CAVALCANTI - ALT. LINHA AMARELA - SENT. PIEDADE - ENGENHO DE DENTRO</t>
  </si>
  <si>
    <t>PONTE RIO - NITERÓI - ALT. VÃO CENTRAL - SENT. NITERÓI - CAJU</t>
  </si>
  <si>
    <t>LINHA AMARELA - ALT. ACESSO 8 - SENT. FUNDÃO - BONSUCESSO</t>
  </si>
  <si>
    <t>AC CM X VP</t>
  </si>
  <si>
    <t>AVENIDA BRASIL - ALT. DA PASSARELA 5 - SENT. Z.OESTE. - BENFICA</t>
  </si>
  <si>
    <t>TIXXI Cam - 5606 / 5609</t>
  </si>
  <si>
    <t>Rua 24 de Maio - Alt. Rua São Paulo</t>
  </si>
  <si>
    <t>TIXXI Cam - 4425</t>
  </si>
  <si>
    <t>Av Brasil - Alt. Estação BRT Guadalupe - Sent. Centro - P. Central</t>
  </si>
  <si>
    <t>TIXXI - Operação Av. Brasil</t>
  </si>
  <si>
    <t>Google Maps - Tixxi - Cam 1665</t>
  </si>
  <si>
    <t xml:space="preserve">Manutenção na via (SECONSERVA) </t>
  </si>
  <si>
    <t xml:space="preserve">Viaduto Cristóvão Colombo - Alt. R. José dos Reis - Em ambos os sentidos - Pilares </t>
  </si>
  <si>
    <t>Google Maps - Tixxi - Cam 837</t>
  </si>
  <si>
    <t xml:space="preserve">Av. Princesa Isabel - Alt. R. felipe de Oliveira - Sent. Orla - Copacabana </t>
  </si>
  <si>
    <t>Google Maps - Tixxi - Cam 3645</t>
  </si>
  <si>
    <t xml:space="preserve">Av. Pastor Martin Luther King Jr - Alt. Estr. Adhemar Bebiano - Sent. Irajá - Engenho da Rainha </t>
  </si>
  <si>
    <t>Google Maps - Tixxi - Cam 112</t>
  </si>
  <si>
    <t xml:space="preserve">Av. Epitácio Pessoa - Al. Av. Borges de Medeiros - Sent. Centro - Lagoa </t>
  </si>
  <si>
    <t xml:space="preserve">Av. Salvador Allende - Alt. R. Abrahão Jabour - Sent. Recreio dos Bandeirantes - Barra da Tijuca </t>
  </si>
  <si>
    <t>Google Maps - Tixxi - Cam 4431</t>
  </si>
  <si>
    <t xml:space="preserve">Av. Brasil - Alt. Est. BRT Vigário Geral - Sent. Centro - Vigário Geral </t>
  </si>
  <si>
    <t>Google Maps - Tixxi - Cam 731</t>
  </si>
  <si>
    <t>AC CM x ON x UT</t>
  </si>
  <si>
    <t xml:space="preserve">Av. Brasil - Alt. Trevo das Missões - Cordovil - Sent. Z. Oeste </t>
  </si>
  <si>
    <t>Google Maps - Tixxi - Cam 482</t>
  </si>
  <si>
    <t xml:space="preserve">Av. Ministro Ivan Lins - Alt. Ponte da Joatinga - Sent. Recreio - Barra da Tijuca </t>
  </si>
  <si>
    <t>ESTRADA DO TINDIBA - ALT. N° 845 - SENT. FREGUESIA - TAQUARA</t>
  </si>
  <si>
    <t>AVENIDA PROFESSOR MANOEL DE ABREU - ALT. R. MAXWELL - SENT. CENTRO - VILA ISABEL</t>
  </si>
  <si>
    <t>AVENIDA FRANCISCO BICALHO - ALT. LEOPOLDINA - SENT. CENTRO - PRAÇA DA BANDEIRA</t>
  </si>
  <si>
    <t>LINHA VERMELHA - ALT. KM 14,5 - SENT. CENTRO - CORDOVIL</t>
  </si>
  <si>
    <t>AVENIDA PADRE LEONEL FRANCA - ALT. PRAÇA SIBELIUS - SENT. LAGOA - GÁVEA</t>
  </si>
  <si>
    <t>AVENIDA BRASIL - VTO. BATAN - SENT. CENTRO - REALENGO</t>
  </si>
  <si>
    <t>LINHA VERMELHA - ALT. KM 8 - SENT. CENTRO - GALEÃO</t>
  </si>
  <si>
    <t>RUA VINTE E QUATRO DE MAIO - ALT. N° 411 - RIACHUELO</t>
  </si>
  <si>
    <t>ESTRADA ADHEMAR BEBIANO - ALT. N° 275 - SENT. BENFICA - DEL CASTILHO</t>
  </si>
  <si>
    <t>ESTRADA DA GÁVEA - ALT. N° 479 - SENT. SÃO CONRADO - ROCINHA</t>
  </si>
  <si>
    <t>LARGO DO MACHADO - ALT. N° 30 - CATETE</t>
  </si>
  <si>
    <t>LINHA AMARELA - ALT. SAÍDA 8, SENT. BARRA. - BONSUCESSO</t>
  </si>
  <si>
    <t>AVENIDA SALVADOR ALLENDE - ALT. N° 1001 - SENT. RECREIO - JACAREPAGUÁ</t>
  </si>
  <si>
    <t>ESTRADA RIO SÃO PAULO - ALT. N° 590 - SENT. ESTR. RIO DO A - CAMPO GRANDE</t>
  </si>
  <si>
    <t>AVENIDA PRESIDENTE VARGAS - ALT. ESTÁCIO DE SÁ - SENT. PÇA DA BANDEIRA - CENTRO</t>
  </si>
  <si>
    <t>AC ON x VTR x VP</t>
  </si>
  <si>
    <t>PRAÇA TIRADENTES - ALT. R. DA CARIOCA - CENTRO</t>
  </si>
  <si>
    <t>AC ON X POSTE</t>
  </si>
  <si>
    <t>RUA BRASILINA - ALT. N° 08 - CASCADURA</t>
  </si>
  <si>
    <t>AVENIDA DAS AMÉRICAS - ALT. BOSQUE DA BARRA - SENT. RECREIO - BARRA DA TIJUCA</t>
  </si>
  <si>
    <t>AVENIDA BORGES DE MEDEIROS - ALT. RUA MARIA ANGÉLICA - SENT. GÁVEA - LAGOA</t>
  </si>
  <si>
    <t>AVENIDA MARECHAL FONTENELE - ALT. N° 5366 - SENT. SULACAP - REALENGO</t>
  </si>
  <si>
    <t>AVENIDA DAS AMÉRICAS - ALT. BARRA SHOPPING - SENT. SÃO CONRADO - BARRA DA TIJUCA</t>
  </si>
  <si>
    <t>RUA DO CATETE - ALT. LARGO DO MACHADO - CATETE</t>
  </si>
  <si>
    <t>RUA CAROLINA MACHADO - ALT. VIADUTO BENTO RIBEIRO - SENT. MARECHAL HERMES - BENTO RIBEIRO</t>
  </si>
  <si>
    <t>ESTRADA DA BARRA DA TIJUCA - ALT. PONTE VELHA - SENT. ITANHANGÁ - BARRA DA TIJUCA</t>
  </si>
  <si>
    <t>AVENIDA MARACANÃ &amp; RUA SÃO FRANCISCO XAVIER - MARACANÃ</t>
  </si>
  <si>
    <t>AVENIDA BRÁZ DE PINA - ALT. N° 1921 - SENT. PENHA - IRAJÁ</t>
  </si>
  <si>
    <t>AVENIDA DOM HELDER CÂMARA - ALT. N° 8197 - SENT. BENFICA - PIEDADE</t>
  </si>
  <si>
    <t>RUA ESTÁCIO DE SÁ - ALT. R. HÉLIO BELTRÃO - SENT. TIJUCA - ESTÁCIO</t>
  </si>
  <si>
    <t>Tixxi - Alarme HXG</t>
  </si>
  <si>
    <t>ESTRADA DOS BANDEIRANTES - ALT. EST. BRT MERCK - SENT. TAQUARA - CURICICA</t>
  </si>
  <si>
    <t>RUA VOLUNTÁRIOS DA PÁTRIA - ALT. N° 190 - BOTAFOGO</t>
  </si>
  <si>
    <t>AC VP x Mureta</t>
  </si>
  <si>
    <t>AVENIDA TRINTA E UM DE MARÇO - ALT. R. FREI CANECA - SENT. CENTRO - CATUMBI</t>
  </si>
  <si>
    <t>RUA MARIA ANGÉLICA - ALT. R. JARDIM BOTÂNICO - SENT. LAGOA - JARDIM BOTÂNICO</t>
  </si>
  <si>
    <t>AVENIDA MARECHAL FONTENELE - ALT. PARQUE SHOPPING - SENT. VALQUEIRE - JARDIM SULACAP</t>
  </si>
  <si>
    <t>AVENIDA PASTOR MARTIN LUTHER KING JÚNIOR - ALT. N° 11856 - SENT. BAIXADA - PAVUNA</t>
  </si>
  <si>
    <t>TRANSOLÍMPICA - ALT. EST. BRT BOIUNA - SENT. RECREIO - TAQUARA</t>
  </si>
  <si>
    <t>AVENIDA BRASIL - ALT. PASSARELA 6 - SENT. CENTRO - MANGUINHOS</t>
  </si>
  <si>
    <t>AVENIDA BRASIL - ALT. PASSARELA 20 - SENT. CENTRO - PARADA DE LUCAS</t>
  </si>
  <si>
    <t>RUA PARAÍBA &amp; RUA PARÁ &amp; RUA TEIXEIRA SOARES - PRAÇA DA BANDEIRA</t>
  </si>
  <si>
    <t>Alarme HXG - Tixxi</t>
  </si>
  <si>
    <t>ESTRADA DA BARRA DA TIJUCA - ALT. PRAÇA SENADOR MELO VIANA - SENT. BARRA - ITANHANGÁ</t>
  </si>
  <si>
    <t>TRANSOLÍMPICA - ALT. EST. BRT TRANSOLÍMPICA - SENT. RECREIO - TAQUARA</t>
  </si>
  <si>
    <t>AVENIDA AYRTON SENNA - ALT. UPTOWN - SENT. ORLA - BARRA DA TIJUCA</t>
  </si>
  <si>
    <t>AC ON X UT</t>
  </si>
  <si>
    <t>AVENIDA AYRTON SENNA - ALT. ESPAÇO HALL - SENT. ORLA - GARDÊNIA AZUL</t>
  </si>
  <si>
    <t>ESTRADA DO GABINAL - ALT. N° 1935 - SENT. FREGUESIA - GARDÊNIA AZUL</t>
  </si>
  <si>
    <t>TÚNEL SANTA BÁRBARA - SENT. CENTRO - SANTA TERESA</t>
  </si>
  <si>
    <t>AC CM X MT</t>
  </si>
  <si>
    <t>AUTOESTRADA FERNANDO MAC DOWELL - ALT. ROCINHA - SENT. BARRA - SÃO CONRADO</t>
  </si>
  <si>
    <t>AVENIDA BRASIL - ALT. VIADUTO DE LUCAS SENT. ZONA OESTE - PARADA DE LUCAS</t>
  </si>
  <si>
    <t>AVENIDA BRASIL - ALT. PASSARELA 06 - SENT. CENTRO - MANGUINHOS</t>
  </si>
  <si>
    <t>AVENIDA BRASIL - ALT. EST. BRT VASCO DA GAMA - SENT. CENTRO - SÃO CRISTÓVÃO</t>
  </si>
  <si>
    <t>ESTRADA DA ÁGUA GRANDE - ALT. N° 118 - SENT. VISTA ALEGRE - IRAJÁ</t>
  </si>
  <si>
    <t>TÚNEL ANDRÉ REBOUÇAS - 2ª GALERIA - SENT. CENTRO - COSME VELHO</t>
  </si>
  <si>
    <t>AUTOESTRADA GRAJAÚ-JACAREPAGUÁ - ALT. KM 4,5 - SENT. JPA - JACAREPAGUÁ</t>
  </si>
  <si>
    <t>AVENIDA AYRTON SENNA - PONTE SANTOS DUMONT - SENT. ORLA - BARRA DA TIJUCA</t>
  </si>
  <si>
    <t>AVENIDA DAS AMÉRICAS - ALT. NOVO LEBLON - SENT. SÃO CONRADO - BARRA DA TIJUCA</t>
  </si>
  <si>
    <t>LINHA AMARELA - ALT. SAÍDA 9D - SENT. BARRA. - BONSUCESSO</t>
  </si>
  <si>
    <t>AVENIDA PASTOR MARTIN LUTHER KING JÚNIOR - ALT. ESTR. ADHEMAR BEBIANO - SENT. PAVUNA - ENGENHO DA RAINHA</t>
  </si>
  <si>
    <t>AVENIDA ARMANDO LOMBARDI - ALT. JARDIM OCEÂNICO - SENT. SÃO CONRADO - BARRA DA TIJUCA</t>
  </si>
  <si>
    <t>AVENIDA EMBAIXADOR ABELARDO BUENO - ALT. ESTAÇÃO BRT REDE SARAH - SENT. TRANSOLÍMPICA - BARRA DA TIJUCA</t>
  </si>
  <si>
    <t>TUNEL ANTÔNIO REBOUÇAS - 1° GALERIA - SENT. CENTRO - RIO COMPRIDO</t>
  </si>
  <si>
    <t>AVENIDA SALVADOR ALLENDE - ALT. R. ABRAHÃO JABOUR - SENT. RECREIO - JACAREPAGUÁ</t>
  </si>
  <si>
    <t>AVENIDA BARTOLOMEU DE GUSMÃO - ALT. N° 875 - SENT. CENTRO - SÃO CRISTÓVÃO</t>
  </si>
  <si>
    <t>Google Maps - Tixxi - Cam 4099</t>
  </si>
  <si>
    <t>Google Maps - Tixxi - Cam 4254</t>
  </si>
  <si>
    <t xml:space="preserve">Av. Amaro Cavalcanti - Alt. R. Adriano - Sent. Piedade - Méier </t>
  </si>
  <si>
    <t>Google maps e Tixxi - 78</t>
  </si>
  <si>
    <t>AVENIDA REI PELÉ - ALT. Nº223 - SENT. MÉIER - MARACANÃ</t>
  </si>
  <si>
    <t>Google Maps - Tixxi - Cam 4246</t>
  </si>
  <si>
    <t xml:space="preserve">Av. Amaro Cavalcanti - Alt. R. Adriano - Sent. PIedade - Méier </t>
  </si>
  <si>
    <t>Google Maps - Tixxi - Cam 135</t>
  </si>
  <si>
    <t xml:space="preserve">Av. Ayrton Senna - Alt. Giro do Cebolinha - Sent. Orla - Gardênia Azul </t>
  </si>
  <si>
    <t>Google Maps - Tixxi - Cam 5609</t>
  </si>
  <si>
    <t xml:space="preserve">R. Vinte e Quatro de Maio - Alt. R. Alzira Valdetaro - Sampaio </t>
  </si>
  <si>
    <t xml:space="preserve">Av. Brasil - Alt. Passarela 32 - Sent. Centro - Guadalupe </t>
  </si>
  <si>
    <t>Google Maps - Tixxi - Cam 4425</t>
  </si>
  <si>
    <t xml:space="preserve">Av. Brasil - Alt. Est. BRT Guadalupe - Sent. Z. Oeste - Guadalupe </t>
  </si>
  <si>
    <t>AVENIDA PADRE LEONEL FRANCA - ALT. PRAÇA SIBÉLIUS - AMBOS OS SENTIDOS - GÁVEA</t>
  </si>
  <si>
    <t>RUA JOSÉ DO PATROCÍNIO - ALT. R. CARUARU - GRAJAÚ</t>
  </si>
  <si>
    <t>AVENIDA BRASIL - PASSARELA 9 - SENT. CENTRO - BONSUCESSO</t>
  </si>
  <si>
    <t>ESTRADA INTENDENTE MAGALHÃES - ALT. RUA ANDRADE ARAUJO - SENT. SULACAP - CAMPINHO</t>
  </si>
  <si>
    <t>AVENIDA BRASIL - ALT. PASSARELA 15 - SENT. Z. OESTE - PENHA</t>
  </si>
  <si>
    <t>TUNEL ANTÔNIO REBOUÇAS - 2° GALERIA - SENT. LAGOA - RIO COMPRIDO</t>
  </si>
  <si>
    <t>AVENIDA REI PELÉ - ALT. AV. PROF. MANOEL DE ABREU - SENT. CENTRO - MARACANÃ</t>
  </si>
  <si>
    <t>AVENIDA FRANCISCO BICALHO - ALT. DETRAN, SENT. CENTRO - SANTO CRISTO</t>
  </si>
  <si>
    <t>TÚNEL DA JOATINGA - SENT. SÃO CONRADO - JOÁ</t>
  </si>
  <si>
    <t>Manutenção na via (AEGEA)</t>
  </si>
  <si>
    <t>AVENIDA EPITÁCIO PESSOA - ALT. N° 4956 - SENT. T. REBOUÇAS - LAGOA</t>
  </si>
  <si>
    <t>AVENIDA PASTOR MARTIN LUTHER KING JR - ALT. EST. METRÔ VICENTE DE CARVALHO - SENT. IRAJÁ - TOMÁS COELHO</t>
  </si>
  <si>
    <t>BOULEVARD VINTE E OITO DE SETEMBRO - ALT. R. SOUSA FRANCO - VILA ISABEL</t>
  </si>
  <si>
    <t>AVENIDA ENGENHEIRO CARLOS CARVALHO - ALT. ESTR. CEL. PEDRO CORREIA - SENT. AV. SALVADOR ALLENDE - BARRA DA TIJUCA</t>
  </si>
  <si>
    <t>AVENIDA TRINTA E UM DE MARÇO - ALT. SAMBÓDROMO - SENT. SANTO CRISTO - CATUMBI</t>
  </si>
  <si>
    <t>AVENIDA ALFREDO BALTHAZAR DA SILVEIRA - ALT. TERMINAL RECREIO - SENT. BARRA - BARRA DA TIJUCA</t>
  </si>
  <si>
    <t>AVENIDA BRASIL - ALT. AV. LOBO JR. - SENT. CENTRO - PENHA</t>
  </si>
  <si>
    <t>AVENIDA BRASIL - ALT. PASSARELA 10 - SENT. Z. OESTE - BONSUCESSO</t>
  </si>
  <si>
    <t>AVENIDA SALVADOR ALLENDE - ALT. EST. BRT ASA BRANCA - SENT. TRANSOLIMPICA - JACAREPAGUÁ</t>
  </si>
  <si>
    <t>AVENIDA ERNANI CARDOSO - ALT. R. BAURU - CASCADURA</t>
  </si>
  <si>
    <t>RUA EDGARD WERNECK - ALT. AV. GEREMÁRIO DANTAS - SENT. CIDADE DE DEUS - PECHINCHA</t>
  </si>
  <si>
    <t>Google Maps - Tixxi CAM 92</t>
  </si>
  <si>
    <t>AVENIDA BRASIL - ALT. PASSARELA 5 - SENT. Z.OESTE - BENFICA</t>
  </si>
  <si>
    <t>Google Maps - Tixxi CAM 482</t>
  </si>
  <si>
    <t>Lei Seca</t>
  </si>
  <si>
    <t>AVENIDA MINISTRO IVAN LINS - ALT.  AV. ÉRICO VERÍSSIMO - SENT. - BARRA DA TIJUCA</t>
  </si>
  <si>
    <t>Google Maps - Tixxi CAM 54</t>
  </si>
  <si>
    <t>AC 2 VP X MT</t>
  </si>
  <si>
    <t>AVENIDA EMBAIXADOR ABELARDO BUENO - ALT. EST. CEL. PEDRO CORREIA - SENT. TRANSOLÍMPICA</t>
  </si>
  <si>
    <t>Google Maps - Tixxi CAM 85</t>
  </si>
  <si>
    <t>ENGUIÇO ON</t>
  </si>
  <si>
    <t>RUA DIAS DA CRUZ - ALT. R. ANA BARBOSA - MÉIER</t>
  </si>
  <si>
    <t xml:space="preserve">Transolímpica - Taquara - Alt. BRT Colônia - Sent. Deodoro </t>
  </si>
  <si>
    <t xml:space="preserve">Transolímpica </t>
  </si>
  <si>
    <t>Google Maps - Tixxi - Cam 4397</t>
  </si>
  <si>
    <t xml:space="preserve">Av. Brasil - Alt. Est. BRT Marinha Mercante - Sent. Z. Oeste - Penha </t>
  </si>
  <si>
    <t>Google Maps - Tixxi - Cam 6564</t>
  </si>
  <si>
    <t xml:space="preserve">R. General Herculano Gomes - Alt. R. Alm. Baltazar - Sent. Maracanã - São Cristóvão </t>
  </si>
  <si>
    <t>Google Maps - Tixxi - Cam 493</t>
  </si>
  <si>
    <t xml:space="preserve">R. Tirol - Alt. Estr. Jacarepaguá - Sent. Grajaú - Freguesia Jacarepaguá </t>
  </si>
  <si>
    <t>Google Maps - Tixxi - Cam 422</t>
  </si>
  <si>
    <t xml:space="preserve">Av. Brasil - Alt. Linha Amarela - Sent. Centro - Maré </t>
  </si>
  <si>
    <t>Google Maps - Tixxi - Cam 704</t>
  </si>
  <si>
    <t xml:space="preserve">Transolímpica - Alt. Est. BRT Padre João Cribbin - Sent. Barra da Tijuca - Magalhães Bastos </t>
  </si>
  <si>
    <t>Google Maps - Tixxi - Cam 6842</t>
  </si>
  <si>
    <t xml:space="preserve">Av. Presidente Vargas - Alt. R. Carmo Neto - Sent. Candelária - Centro </t>
  </si>
  <si>
    <t xml:space="preserve">Av. das Américas - Alt. Est. BRT Salvador Allende - Sent. Barra da Tijuca - Recreio dos Bandeirantes </t>
  </si>
  <si>
    <t>LINHA VERMELHA - ALT. KM 13 - SENT. CENTRO - GALEÃO</t>
  </si>
  <si>
    <t>ELEVADO DO GASÔMETRO - ALT. INTO – SENT. CENTRO - CAJU</t>
  </si>
  <si>
    <t>AVENIDA ARMANDO LOMBARDI - ALT. PONTE ESTAIADA - BARRA DA TIJUCA</t>
  </si>
  <si>
    <t>Semáforos apagados</t>
  </si>
  <si>
    <t>AVENIDA MARECHAL RONDON - R. VITOR MEIRELES E R. MAL. BITTENCOURT - SAMPAIO</t>
  </si>
  <si>
    <t>AVENIDA REI PELÉ &amp; AVENIDA PROFESSOR MANOEL DE ABREU - MARACANÃ</t>
  </si>
  <si>
    <t>TÚNEL VICE PRES. JOSÉ DE ALENCAR - SENT. SANTA CRUZ - BARRA DE GUARATIBA</t>
  </si>
  <si>
    <t>AVENIDA TRINTA E UM DE MARÇO - ALT. SAÍDA DO T. SANTA BARBARA - SENT. CENTRO - CATUMBI</t>
  </si>
  <si>
    <t>AVENIDA FRANCISCO BICALHO - ALT. N° 300 - SENT. CENTRO - SÃO CRISTÓVÃO</t>
  </si>
  <si>
    <t>PRAÇA BRIGADEIRO CLÓVIS TRAVASSOS - ALT. ASSAÍ - SENT. AV. DOM HELDER CÂMARA - PILARES</t>
  </si>
  <si>
    <t>AVENIDA BRASIL - ALT. VIADUTO DE BARROS FILHO - SENT. Z. OESTE - BARROS FILHO</t>
  </si>
  <si>
    <t>AVENIDA BRASIL - ALT. PASSSARELA 21 - SENT. CENTRO - VIGÁRIO GERAL</t>
  </si>
  <si>
    <t>LINHA VERMELHA - ALT. KM  12 - SENT. BAIXADA - GALEÃO</t>
  </si>
  <si>
    <t>ESTRADA DO GALEÃO - ALT. R. MACARI - SENT. RIBEIRA - JARDIM GUANABARA</t>
  </si>
  <si>
    <t>RUA AFONSO CAVALCANTI &amp; RUA LAURA DE ARAÚJO - CIDADE NOVA</t>
  </si>
  <si>
    <t>AC 2 ON</t>
  </si>
  <si>
    <t>TRANSOLÍMPICA - ALT. EST. BRT ASA BRANCA - SENT. RECREIO - CURICICA</t>
  </si>
  <si>
    <t>PONTE RIO - NITERÓI - ALT. RETA DO CAIS - SENT. NITERÓI - CAJU</t>
  </si>
  <si>
    <t>AVENIDA BRASIL - ALT. PASSARELA 05 - SENT. CENTRO - BENFICA</t>
  </si>
  <si>
    <t>TÚNEL ACÚSTICO RAFAEL MASCARENHAS - SENT. SÃO CONRADO - GÁVEA</t>
  </si>
  <si>
    <t>AVENIDA BRASIL - ALT. PASSARELA 22 - SENT. Z. OESTE - VIGÁRIO GERAL</t>
  </si>
  <si>
    <t>AVENIDA BRASIL - ALT. PASSARELA 21 - SENT. CENTRO - PARADA DE LUCAS</t>
  </si>
  <si>
    <t>Obra na via</t>
  </si>
  <si>
    <t>RUA GENERAL CANABARRO &amp; RUA IBITURUNA - MARACANÃ</t>
  </si>
  <si>
    <t>Linha Vermelha, KM07 - Sent. Centro</t>
  </si>
  <si>
    <t>Tixxi Cam 373</t>
  </si>
  <si>
    <t>Av. Dom Helder Câmara  Alt. Rua Ferreira Leite</t>
  </si>
  <si>
    <t>Google Maps - Tixxi - Cam 45</t>
  </si>
  <si>
    <t>Manutenção na via (CONCESSIONÁRIA)</t>
  </si>
  <si>
    <t xml:space="preserve">Av. Padre Leonel Franca - Alt. R. Artur Araripe - Sent. São Conrado - Gávea </t>
  </si>
  <si>
    <t xml:space="preserve">CCO TRANSOLÍMPICA </t>
  </si>
  <si>
    <t xml:space="preserve">Av. Brasil - Alt. Linha Amarela - Sent. Centro - Bonsucesso </t>
  </si>
  <si>
    <t>Google Maps - Tixxi - Cam 3170</t>
  </si>
  <si>
    <t xml:space="preserve">Av. Ayrton Senna - Alt. Terminal Alvorada - Sent. Orla - Barra da Tijuca </t>
  </si>
  <si>
    <t>Google Maps - Tixxi - Cam 4591</t>
  </si>
  <si>
    <t xml:space="preserve">AC Envolv. VP </t>
  </si>
  <si>
    <t xml:space="preserve">R. Francisco Eugênio - Alt. Av. Francisco Bicalho - São Cristóvão </t>
  </si>
  <si>
    <t>TIXXI - Cam 153</t>
  </si>
  <si>
    <t>AVENIDA BRASIL - ALT. ESTR. JOÃO PAULO</t>
  </si>
  <si>
    <t xml:space="preserve">Av. Brasil - Alt. Est. BRT Rubens Vaz - Sent. Z. Oeste - Maré </t>
  </si>
  <si>
    <t>Google Maps - Tixxi - Cam 3692</t>
  </si>
  <si>
    <t xml:space="preserve">Av. Martin Luther King Jr - Alt. Est. Metrô Acari - Sent. Pavuna - Acari </t>
  </si>
  <si>
    <t>Google Maps - Tixxi - Cam 510</t>
  </si>
  <si>
    <t xml:space="preserve">Transolímpica - Alt. Estr. dos Bandeirantes - Sent. Recreio dos Bandeirantes - Curicica </t>
  </si>
  <si>
    <t>Google Maps - Tixxi - Cam 4479</t>
  </si>
  <si>
    <t>Google Maps - Tixxi - Cam 3285</t>
  </si>
  <si>
    <t xml:space="preserve">Estr. do Galeão - Alt. Nº 4115 - Sent. Jardim Carioca - Galeão </t>
  </si>
  <si>
    <t xml:space="preserve">AC VP x Poste seguido de capotamento </t>
  </si>
  <si>
    <t xml:space="preserve">Av. de Santa Cruz - Alt. R. Malhôa - Sent. Campo Grande - Senador Vasconcelos </t>
  </si>
  <si>
    <t>Google Maps - Tixxi - Cam 756</t>
  </si>
  <si>
    <t xml:space="preserve">Linha Amarela - Alt. Saída 7 - Sent. Ilha do Fundão - Bonsucesso </t>
  </si>
  <si>
    <t>Google Maps - Tixxi - Cam 150</t>
  </si>
  <si>
    <t xml:space="preserve">Av. Presidente Vargas - Alt. Est. Metrô Cidade Nova - Sent. Candelária - Centro </t>
  </si>
  <si>
    <t>Google Maps - Tixxi - Cam 724</t>
  </si>
  <si>
    <t xml:space="preserve">Av. Brasil - Alt. R. Luís Coutinho Cavalcanti - Sent. Centro - Guadalupe </t>
  </si>
  <si>
    <t>Google Maps - Tixxi - Cam 3174</t>
  </si>
  <si>
    <t xml:space="preserve">Av. Salvador Allende - Alt. Est. BRT Minha Praia - Sent. Recreio dos Bandeirantes - Barra da Tijuca </t>
  </si>
  <si>
    <t>Google Maps - Tixxi - Cam 5681</t>
  </si>
  <si>
    <t xml:space="preserve">Av. Marechal Rondon - Alt. R. Sousa Dantas - São Francisco Xavier </t>
  </si>
  <si>
    <t xml:space="preserve">Linha Amarela - Alt. Saída 7 - Sent. Centro - Bonsucesso </t>
  </si>
  <si>
    <t xml:space="preserve">Av. Brasil - Alt. Passarela 9 - Sent. Centro - Bonsucesso </t>
  </si>
  <si>
    <t>AVENIDA BRASIL - ALT. TRANSOLIMPICA - SENT. CENTRO - DEODORO</t>
  </si>
  <si>
    <t>Google Maps - Tixxi - Cam 480</t>
  </si>
  <si>
    <t>ESTRADA DA BARRA DA TIJUCA - ALT. PONTE ESTAIADA DA BARRA - SENT. AV. ARMANDO LOMBARDI - ITANHANGÁ</t>
  </si>
  <si>
    <t>Google Maps - Tixxi - Cam 78</t>
  </si>
  <si>
    <t>AVENIDA PRESIDENTE CASTELO BRANCO - ALT. R. SÃO FRANCISCO XAVIER - SENT. MÉIER - MARACANÃ</t>
  </si>
  <si>
    <t>Google Maps - Tixxi - Cam 136</t>
  </si>
  <si>
    <t xml:space="preserve">AC UT x Animal </t>
  </si>
  <si>
    <t>AVENIDA AYRTON SENNA - ALT. UPTOWN BARRA - SENT. LINHA AMARELA - GARDÊNIA AZUL</t>
  </si>
  <si>
    <t>NOTURNA</t>
  </si>
  <si>
    <t>DIURNA</t>
  </si>
  <si>
    <t>equipe</t>
  </si>
  <si>
    <t>ABRIL</t>
  </si>
  <si>
    <t>MAIO</t>
  </si>
  <si>
    <t>JUNHO</t>
  </si>
  <si>
    <t xml:space="preserve">total de ocorrencia </t>
  </si>
  <si>
    <t>total de ocorrencia capturadas</t>
  </si>
  <si>
    <t>% de ocorrência capturadas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</si>
</sst>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\-mmm"/>
  </numFmts>
  <fonts count="14">
    <font>
      <sz val="11"/>
      <color theme="1"/>
      <name val="Calibri"/>
      <scheme val="minor"/>
    </font>
    <font>
      <sz val="11"/>
      <color theme="1"/>
      <name val="Calibri"/>
      <scheme val="minor"/>
    </font>
    <font>
      <sz val="8"/>
      <color theme="0"/>
      <name val="Aptos Narrow"/>
    </font>
    <font>
      <sz val="8"/>
      <color theme="1"/>
      <name val="Aptos Narrow"/>
    </font>
    <font>
      <sz val="8"/>
      <color theme="1"/>
      <name val="Arial"/>
    </font>
    <font>
      <sz val="8"/>
      <color rgb="FF333333"/>
      <name val="Arial"/>
    </font>
    <font>
      <sz val="11"/>
      <color theme="1"/>
      <name val="Arial"/>
    </font>
    <font>
      <sz val="11"/>
      <color rgb="FF333333"/>
      <name val="-apple-system"/>
    </font>
    <font>
      <sz val="8"/>
      <color theme="1"/>
      <name val="Calibri"/>
      <scheme val="minor"/>
    </font>
    <font>
      <sz val="7"/>
      <color theme="1"/>
      <name val="Arial"/>
    </font>
    <font>
      <sz val="7"/>
      <color theme="1"/>
      <name val="Aptos Narrow"/>
    </font>
    <font>
      <sz val="9"/>
      <color theme="1"/>
      <name val="Arial"/>
    </font>
    <font>
      <i/>
      <sz val="8"/>
      <color theme="1"/>
      <name val="Arial"/>
    </font>
    <font>
      <sz val="8"/>
      <color rgb="FF444746"/>
      <name val="Arial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1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Font="1" applyAlignment="1"/>
    <xf numFmtId="0" fontId="2" fillId="2" borderId="1" xfId="0" applyFont="1" applyFill="1" applyBorder="1" applyAlignment="1">
      <alignment horizontal="center"/>
    </xf>
    <xf numFmtId="16" fontId="4" fillId="0" borderId="2" xfId="0" applyNumberFormat="1" applyFont="1" applyBorder="1" applyAlignment="1">
      <alignment horizontal="center"/>
    </xf>
    <xf numFmtId="0" fontId="4" fillId="0" borderId="3" xfId="0" applyFont="1" applyBorder="1" applyAlignment="1"/>
    <xf numFmtId="0" fontId="3" fillId="0" borderId="0" xfId="0" applyFont="1"/>
    <xf numFmtId="16" fontId="3" fillId="0" borderId="3" xfId="0" applyNumberFormat="1" applyFont="1" applyBorder="1" applyAlignment="1">
      <alignment horizontal="center"/>
    </xf>
    <xf numFmtId="0" fontId="4" fillId="0" borderId="2" xfId="0" applyFont="1" applyBorder="1" applyAlignment="1"/>
    <xf numFmtId="0" fontId="4" fillId="0" borderId="3" xfId="0" applyFont="1" applyBorder="1"/>
    <xf numFmtId="0" fontId="4" fillId="0" borderId="2" xfId="0" applyFont="1" applyBorder="1"/>
    <xf numFmtId="0" fontId="3" fillId="0" borderId="3" xfId="0" applyFont="1" applyBorder="1" applyAlignment="1"/>
    <xf numFmtId="0" fontId="3" fillId="0" borderId="3" xfId="0" applyFont="1" applyBorder="1"/>
    <xf numFmtId="0" fontId="5" fillId="3" borderId="0" xfId="0" applyFont="1" applyFill="1" applyAlignment="1"/>
    <xf numFmtId="0" fontId="6" fillId="0" borderId="0" xfId="0" applyFont="1" applyAlignment="1"/>
    <xf numFmtId="0" fontId="1" fillId="0" borderId="0" xfId="0" applyFont="1" applyAlignment="1"/>
    <xf numFmtId="164" fontId="4" fillId="0" borderId="3" xfId="0" applyNumberFormat="1" applyFont="1" applyBorder="1" applyAlignment="1">
      <alignment horizontal="center"/>
    </xf>
    <xf numFmtId="0" fontId="4" fillId="0" borderId="0" xfId="0" applyFont="1" applyAlignment="1"/>
    <xf numFmtId="0" fontId="7" fillId="0" borderId="0" xfId="0" applyFont="1" applyAlignment="1">
      <alignment wrapText="1"/>
    </xf>
    <xf numFmtId="0" fontId="1" fillId="0" borderId="0" xfId="0" applyFont="1"/>
    <xf numFmtId="0" fontId="8" fillId="0" borderId="0" xfId="0" applyFont="1" applyAlignment="1"/>
    <xf numFmtId="0" fontId="9" fillId="0" borderId="3" xfId="0" applyFont="1" applyBorder="1" applyAlignment="1"/>
    <xf numFmtId="0" fontId="10" fillId="0" borderId="3" xfId="0" applyFont="1" applyBorder="1" applyAlignment="1"/>
    <xf numFmtId="0" fontId="11" fillId="0" borderId="3" xfId="0" applyFont="1" applyBorder="1" applyAlignment="1"/>
    <xf numFmtId="0" fontId="12" fillId="0" borderId="3" xfId="0" applyFont="1" applyBorder="1" applyAlignment="1"/>
    <xf numFmtId="0" fontId="5" fillId="0" borderId="3" xfId="0" applyFont="1" applyBorder="1" applyAlignment="1">
      <alignment wrapText="1"/>
    </xf>
    <xf numFmtId="0" fontId="11" fillId="0" borderId="0" xfId="0" applyFont="1" applyAlignment="1"/>
    <xf numFmtId="0" fontId="13" fillId="0" borderId="3" xfId="0" applyFont="1" applyBorder="1" applyAlignment="1"/>
    <xf numFmtId="0" fontId="4" fillId="0" borderId="4" xfId="0" applyFont="1" applyFill="1" applyBorder="1" applyAlignment="1"/>
    <xf numFmtId="0" fontId="2" fillId="2" borderId="5" xfId="0" applyFont="1" applyFill="1" applyBorder="1" applyAlignment="1">
      <alignment horizontal="center"/>
    </xf>
    <xf numFmtId="9" fontId="3" fillId="0" borderId="0" xfId="1" applyFont="1"/>
    <xf numFmtId="0" fontId="2" fillId="2" borderId="0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0" fillId="5" borderId="0" xfId="0" applyFont="1" applyFill="1" applyBorder="1" applyAlignment="1"/>
    <xf numFmtId="0" fontId="3" fillId="5" borderId="0" xfId="0" applyFont="1" applyFill="1" applyBorder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V1010"/>
  <sheetViews>
    <sheetView tabSelected="1" workbookViewId="0">
      <selection activeCell="M22" sqref="M22"/>
    </sheetView>
  </sheetViews>
  <sheetFormatPr defaultColWidth="14" defaultRowHeight="15" customHeight="1"/>
  <cols>
    <col min="1" max="2" width="11.88671875" style="1" customWidth="1"/>
    <col min="3" max="3" width="43" style="1" customWidth="1"/>
    <col min="4" max="4" width="36.21875" style="1" bestFit="1" customWidth="1"/>
    <col min="5" max="5" width="33" style="1" customWidth="1"/>
    <col min="6" max="6" width="78.5546875" style="1" customWidth="1"/>
    <col min="7" max="7" width="23" style="1" customWidth="1"/>
    <col min="8" max="8" width="20.44140625" style="1" bestFit="1" customWidth="1"/>
    <col min="9" max="9" width="16.33203125" style="1" bestFit="1" customWidth="1"/>
    <col min="10" max="10" width="16.6640625" style="1" bestFit="1" customWidth="1"/>
    <col min="11" max="11" width="22.88671875" style="1" bestFit="1" customWidth="1"/>
    <col min="12" max="12" width="23.33203125" style="1" bestFit="1" customWidth="1"/>
    <col min="13" max="13" width="23.6640625" style="1" bestFit="1" customWidth="1"/>
    <col min="14" max="14" width="5.21875" style="1" bestFit="1" customWidth="1"/>
    <col min="15" max="15" width="5.6640625" style="1" bestFit="1" customWidth="1"/>
    <col min="16" max="16" width="6" style="1" bestFit="1" customWidth="1"/>
    <col min="17" max="17" width="11.88671875" style="1" customWidth="1"/>
    <col min="18" max="25" width="9.5546875" style="1" customWidth="1"/>
    <col min="26" max="16384" width="14" style="1"/>
  </cols>
  <sheetData>
    <row r="1" spans="2:22" ht="9.75" customHeight="1"/>
    <row r="2" spans="2:22" ht="9.75" customHeight="1" thickBot="1"/>
    <row r="3" spans="2:22" ht="9.75" customHeight="1" thickBot="1">
      <c r="B3" s="2" t="s">
        <v>0</v>
      </c>
      <c r="C3" s="2" t="s">
        <v>1</v>
      </c>
      <c r="D3" s="2" t="s">
        <v>2</v>
      </c>
      <c r="E3" s="2" t="s">
        <v>1563</v>
      </c>
      <c r="F3" s="2" t="s">
        <v>3</v>
      </c>
      <c r="G3" s="2" t="s">
        <v>4</v>
      </c>
      <c r="I3" s="30" t="s">
        <v>1564</v>
      </c>
      <c r="J3" s="30" t="s">
        <v>1565</v>
      </c>
      <c r="K3" s="30" t="s">
        <v>1566</v>
      </c>
      <c r="M3" s="31"/>
      <c r="N3" s="31"/>
      <c r="O3" s="31"/>
      <c r="P3" s="31"/>
      <c r="Q3" s="31"/>
      <c r="R3" s="31"/>
      <c r="S3" s="32"/>
    </row>
    <row r="4" spans="2:22" ht="9.75" customHeight="1">
      <c r="B4" s="3">
        <v>46113</v>
      </c>
      <c r="C4" s="4" t="s">
        <v>5</v>
      </c>
      <c r="D4" s="4" t="s">
        <v>6</v>
      </c>
      <c r="E4" s="4" t="s">
        <v>1561</v>
      </c>
      <c r="F4" s="4" t="s">
        <v>7</v>
      </c>
      <c r="G4" s="4"/>
      <c r="H4" s="28" t="s">
        <v>1567</v>
      </c>
      <c r="I4" s="5">
        <v>2286</v>
      </c>
      <c r="J4" s="5">
        <v>2019</v>
      </c>
      <c r="K4" s="5">
        <v>1877</v>
      </c>
      <c r="M4" s="32"/>
      <c r="N4" s="32"/>
      <c r="O4" s="32"/>
      <c r="P4" s="32"/>
      <c r="Q4" s="32"/>
      <c r="R4" s="32"/>
      <c r="S4" s="33"/>
      <c r="T4" s="5"/>
      <c r="U4" s="5"/>
      <c r="V4" s="5"/>
    </row>
    <row r="5" spans="2:22" ht="9.75" customHeight="1">
      <c r="B5" s="6">
        <f>B4</f>
        <v>46113</v>
      </c>
      <c r="C5" s="4" t="s">
        <v>8</v>
      </c>
      <c r="D5" s="4" t="s">
        <v>9</v>
      </c>
      <c r="E5" s="4" t="s">
        <v>1561</v>
      </c>
      <c r="F5" s="4" t="s">
        <v>10</v>
      </c>
      <c r="G5" s="4"/>
      <c r="H5" s="28" t="s">
        <v>1568</v>
      </c>
      <c r="I5" s="5">
        <v>273</v>
      </c>
      <c r="J5" s="5">
        <v>472</v>
      </c>
      <c r="K5" s="5">
        <v>257</v>
      </c>
      <c r="L5" s="5"/>
      <c r="M5" s="33"/>
      <c r="N5" s="33"/>
      <c r="O5" s="33"/>
      <c r="P5" s="33"/>
      <c r="Q5" s="33"/>
      <c r="R5" s="33"/>
      <c r="S5" s="33"/>
      <c r="T5" s="5"/>
      <c r="U5" s="5"/>
      <c r="V5" s="5"/>
    </row>
    <row r="6" spans="2:22" ht="9.75" customHeight="1">
      <c r="B6" s="3">
        <v>46115</v>
      </c>
      <c r="C6" s="7" t="s">
        <v>11</v>
      </c>
      <c r="D6" s="7" t="s">
        <v>12</v>
      </c>
      <c r="E6" s="4" t="s">
        <v>1561</v>
      </c>
      <c r="F6" s="7" t="s">
        <v>13</v>
      </c>
      <c r="G6" s="7" t="s">
        <v>14</v>
      </c>
      <c r="H6" s="28" t="s">
        <v>1569</v>
      </c>
      <c r="I6" s="29">
        <f>I5/I4</f>
        <v>0.1194225721784777</v>
      </c>
      <c r="J6" s="29">
        <f>J5/J4</f>
        <v>0.23377909856364537</v>
      </c>
      <c r="K6" s="29">
        <f>K5/K4</f>
        <v>0.13692061800745872</v>
      </c>
      <c r="L6" s="5"/>
      <c r="M6" s="33"/>
      <c r="N6" s="33"/>
      <c r="O6" s="33"/>
      <c r="P6" s="33"/>
      <c r="Q6" s="33"/>
      <c r="R6" s="33"/>
      <c r="S6" s="33"/>
      <c r="T6" s="5"/>
      <c r="U6" s="5"/>
      <c r="V6" s="5"/>
    </row>
    <row r="7" spans="2:22" ht="9.75" customHeight="1">
      <c r="B7" s="6">
        <f>B6</f>
        <v>46115</v>
      </c>
      <c r="C7" s="4" t="s">
        <v>15</v>
      </c>
      <c r="D7" s="4" t="s">
        <v>16</v>
      </c>
      <c r="E7" s="4" t="s">
        <v>1561</v>
      </c>
      <c r="F7" s="7" t="s">
        <v>13</v>
      </c>
      <c r="G7" s="8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</row>
    <row r="8" spans="2:22" ht="9.75" customHeight="1">
      <c r="B8" s="6">
        <f>B7</f>
        <v>46115</v>
      </c>
      <c r="C8" s="4" t="s">
        <v>17</v>
      </c>
      <c r="D8" s="4" t="s">
        <v>18</v>
      </c>
      <c r="E8" s="4" t="s">
        <v>1561</v>
      </c>
      <c r="F8" s="4" t="s">
        <v>19</v>
      </c>
      <c r="G8" s="8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</row>
    <row r="9" spans="2:22" ht="9.75" customHeight="1">
      <c r="B9" s="3">
        <v>46116</v>
      </c>
      <c r="C9" s="7" t="s">
        <v>20</v>
      </c>
      <c r="D9" s="4" t="s">
        <v>9</v>
      </c>
      <c r="E9" s="4" t="s">
        <v>1562</v>
      </c>
      <c r="F9" s="4" t="s">
        <v>21</v>
      </c>
      <c r="G9" s="4" t="s">
        <v>22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2:22" ht="9.75" customHeight="1">
      <c r="B10" s="6">
        <f t="shared" ref="B10:B16" si="0">B9</f>
        <v>46116</v>
      </c>
      <c r="C10" s="4" t="s">
        <v>20</v>
      </c>
      <c r="D10" s="4" t="s">
        <v>23</v>
      </c>
      <c r="E10" s="4" t="s">
        <v>1562</v>
      </c>
      <c r="F10" s="4" t="s">
        <v>24</v>
      </c>
      <c r="G10" s="4" t="s">
        <v>25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2:22" ht="9.75" customHeight="1">
      <c r="B11" s="6">
        <f t="shared" si="0"/>
        <v>46116</v>
      </c>
      <c r="C11" s="4" t="s">
        <v>26</v>
      </c>
      <c r="D11" s="4" t="s">
        <v>27</v>
      </c>
      <c r="E11" s="4" t="s">
        <v>1562</v>
      </c>
      <c r="F11" s="4" t="s">
        <v>28</v>
      </c>
      <c r="G11" s="4" t="s">
        <v>22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2:22" ht="9.75" customHeight="1">
      <c r="B12" s="6">
        <f t="shared" si="0"/>
        <v>46116</v>
      </c>
      <c r="C12" s="4" t="s">
        <v>20</v>
      </c>
      <c r="D12" s="4" t="s">
        <v>29</v>
      </c>
      <c r="E12" s="4" t="s">
        <v>1562</v>
      </c>
      <c r="F12" s="4" t="s">
        <v>30</v>
      </c>
      <c r="G12" s="4" t="s">
        <v>25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2:22" ht="9.75" customHeight="1">
      <c r="B13" s="6">
        <f t="shared" si="0"/>
        <v>46116</v>
      </c>
      <c r="C13" s="4" t="s">
        <v>20</v>
      </c>
      <c r="D13" s="4" t="s">
        <v>16</v>
      </c>
      <c r="E13" s="4" t="s">
        <v>1562</v>
      </c>
      <c r="F13" s="4" t="s">
        <v>31</v>
      </c>
      <c r="G13" s="4" t="s">
        <v>32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2:22" ht="9.75" customHeight="1">
      <c r="B14" s="6">
        <f t="shared" si="0"/>
        <v>46116</v>
      </c>
      <c r="C14" s="4" t="s">
        <v>20</v>
      </c>
      <c r="D14" s="4" t="s">
        <v>33</v>
      </c>
      <c r="E14" s="4" t="s">
        <v>1562</v>
      </c>
      <c r="F14" s="4" t="s">
        <v>34</v>
      </c>
      <c r="G14" s="4" t="s">
        <v>25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2:22" ht="9.75" customHeight="1">
      <c r="B15" s="6">
        <f t="shared" si="0"/>
        <v>46116</v>
      </c>
      <c r="C15" s="4" t="s">
        <v>20</v>
      </c>
      <c r="D15" s="4" t="s">
        <v>35</v>
      </c>
      <c r="E15" s="4" t="s">
        <v>1562</v>
      </c>
      <c r="F15" s="4" t="s">
        <v>36</v>
      </c>
      <c r="G15" s="4" t="s">
        <v>22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2:22" ht="9.75" customHeight="1">
      <c r="B16" s="6">
        <f t="shared" si="0"/>
        <v>46116</v>
      </c>
      <c r="C16" s="4" t="s">
        <v>20</v>
      </c>
      <c r="D16" s="4" t="s">
        <v>33</v>
      </c>
      <c r="E16" s="4" t="s">
        <v>1562</v>
      </c>
      <c r="F16" s="4" t="s">
        <v>37</v>
      </c>
      <c r="G16" s="4" t="s">
        <v>22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ht="9.75" customHeight="1">
      <c r="B17" s="3">
        <v>46117</v>
      </c>
      <c r="C17" s="7" t="s">
        <v>38</v>
      </c>
      <c r="D17" s="4" t="s">
        <v>35</v>
      </c>
      <c r="E17" s="4" t="s">
        <v>1561</v>
      </c>
      <c r="F17" s="7" t="s">
        <v>39</v>
      </c>
      <c r="G17" s="9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ht="9.75" customHeight="1">
      <c r="B18" s="6">
        <f>B17</f>
        <v>46117</v>
      </c>
      <c r="C18" s="4" t="s">
        <v>40</v>
      </c>
      <c r="D18" s="4" t="s">
        <v>12</v>
      </c>
      <c r="E18" s="4" t="s">
        <v>1561</v>
      </c>
      <c r="F18" s="4" t="s">
        <v>41</v>
      </c>
      <c r="G18" s="4" t="s">
        <v>42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ht="9.75" customHeight="1">
      <c r="B19" s="6">
        <f>B18</f>
        <v>46117</v>
      </c>
      <c r="C19" s="4" t="s">
        <v>26</v>
      </c>
      <c r="D19" s="4" t="s">
        <v>43</v>
      </c>
      <c r="E19" s="4" t="s">
        <v>1561</v>
      </c>
      <c r="F19" s="4" t="s">
        <v>44</v>
      </c>
      <c r="G19" s="4" t="s">
        <v>45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ht="9.75" customHeight="1">
      <c r="B20" s="6">
        <f>B19</f>
        <v>46117</v>
      </c>
      <c r="C20" s="4" t="s">
        <v>46</v>
      </c>
      <c r="D20" s="4" t="s">
        <v>47</v>
      </c>
      <c r="E20" s="4" t="s">
        <v>1561</v>
      </c>
      <c r="F20" s="4" t="s">
        <v>48</v>
      </c>
      <c r="G20" s="4" t="s">
        <v>49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ht="9.75" customHeight="1">
      <c r="B21" s="3">
        <v>46118</v>
      </c>
      <c r="C21" s="7" t="s">
        <v>50</v>
      </c>
      <c r="D21" s="7" t="s">
        <v>51</v>
      </c>
      <c r="E21" s="4" t="s">
        <v>1561</v>
      </c>
      <c r="F21" s="7" t="s">
        <v>52</v>
      </c>
      <c r="G21" s="7" t="s">
        <v>42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ht="9.75" customHeight="1">
      <c r="B22" s="6">
        <f t="shared" ref="B22:B33" si="1">B21</f>
        <v>46118</v>
      </c>
      <c r="C22" s="4" t="s">
        <v>50</v>
      </c>
      <c r="D22" s="4" t="s">
        <v>53</v>
      </c>
      <c r="E22" s="4" t="s">
        <v>1561</v>
      </c>
      <c r="F22" s="4" t="s">
        <v>54</v>
      </c>
      <c r="G22" s="4" t="s">
        <v>55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ht="9.75" customHeight="1">
      <c r="B23" s="6">
        <f t="shared" si="1"/>
        <v>46118</v>
      </c>
      <c r="C23" s="4" t="s">
        <v>56</v>
      </c>
      <c r="D23" s="4" t="s">
        <v>33</v>
      </c>
      <c r="E23" s="4" t="s">
        <v>1562</v>
      </c>
      <c r="F23" s="4" t="s">
        <v>57</v>
      </c>
      <c r="G23" s="4" t="s">
        <v>22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ht="9.75" customHeight="1">
      <c r="B24" s="6">
        <f t="shared" si="1"/>
        <v>46118</v>
      </c>
      <c r="C24" s="4" t="s">
        <v>58</v>
      </c>
      <c r="D24" s="4" t="s">
        <v>59</v>
      </c>
      <c r="E24" s="4" t="s">
        <v>1562</v>
      </c>
      <c r="F24" s="4" t="s">
        <v>60</v>
      </c>
      <c r="G24" s="4" t="s">
        <v>61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ht="9.75" customHeight="1">
      <c r="B25" s="6">
        <f t="shared" si="1"/>
        <v>46118</v>
      </c>
      <c r="C25" s="4" t="s">
        <v>62</v>
      </c>
      <c r="D25" s="4" t="s">
        <v>23</v>
      </c>
      <c r="E25" s="4" t="s">
        <v>1562</v>
      </c>
      <c r="F25" s="4" t="s">
        <v>63</v>
      </c>
      <c r="G25" s="4" t="s">
        <v>22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ht="9.75" customHeight="1">
      <c r="B26" s="6">
        <f t="shared" si="1"/>
        <v>46118</v>
      </c>
      <c r="C26" s="4" t="s">
        <v>56</v>
      </c>
      <c r="D26" s="4" t="s">
        <v>33</v>
      </c>
      <c r="E26" s="4" t="s">
        <v>1562</v>
      </c>
      <c r="F26" s="4" t="s">
        <v>64</v>
      </c>
      <c r="G26" s="4" t="s">
        <v>22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ht="9.75" customHeight="1">
      <c r="B27" s="6">
        <f t="shared" si="1"/>
        <v>46118</v>
      </c>
      <c r="C27" s="4" t="s">
        <v>56</v>
      </c>
      <c r="D27" s="4" t="s">
        <v>33</v>
      </c>
      <c r="E27" s="4" t="s">
        <v>1562</v>
      </c>
      <c r="F27" s="4" t="s">
        <v>65</v>
      </c>
      <c r="G27" s="4" t="s">
        <v>22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ht="9.75" customHeight="1">
      <c r="B28" s="6">
        <f t="shared" si="1"/>
        <v>46118</v>
      </c>
      <c r="C28" s="4" t="s">
        <v>66</v>
      </c>
      <c r="D28" s="4" t="s">
        <v>67</v>
      </c>
      <c r="E28" s="4" t="s">
        <v>1562</v>
      </c>
      <c r="F28" s="4" t="s">
        <v>68</v>
      </c>
      <c r="G28" s="4" t="s">
        <v>22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ht="9.75" customHeight="1">
      <c r="B29" s="6">
        <f t="shared" si="1"/>
        <v>46118</v>
      </c>
      <c r="C29" s="4" t="s">
        <v>66</v>
      </c>
      <c r="D29" s="4" t="s">
        <v>69</v>
      </c>
      <c r="E29" s="4" t="s">
        <v>1562</v>
      </c>
      <c r="F29" s="4" t="s">
        <v>70</v>
      </c>
      <c r="G29" s="4" t="s">
        <v>71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ht="9.75" customHeight="1">
      <c r="B30" s="6">
        <f t="shared" si="1"/>
        <v>46118</v>
      </c>
      <c r="C30" s="4" t="s">
        <v>66</v>
      </c>
      <c r="D30" s="4" t="s">
        <v>72</v>
      </c>
      <c r="E30" s="4" t="s">
        <v>1562</v>
      </c>
      <c r="F30" s="4" t="s">
        <v>73</v>
      </c>
      <c r="G30" s="4" t="s">
        <v>74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ht="9.75" customHeight="1">
      <c r="B31" s="6">
        <f t="shared" si="1"/>
        <v>46118</v>
      </c>
      <c r="C31" s="4" t="s">
        <v>56</v>
      </c>
      <c r="D31" s="4" t="s">
        <v>33</v>
      </c>
      <c r="E31" s="4" t="s">
        <v>1562</v>
      </c>
      <c r="F31" s="4" t="s">
        <v>75</v>
      </c>
      <c r="G31" s="4" t="s">
        <v>22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ht="9.75" customHeight="1">
      <c r="B32" s="6">
        <f t="shared" si="1"/>
        <v>46118</v>
      </c>
      <c r="C32" s="4" t="s">
        <v>26</v>
      </c>
      <c r="D32" s="4" t="s">
        <v>76</v>
      </c>
      <c r="E32" s="4" t="s">
        <v>1561</v>
      </c>
      <c r="F32" s="4" t="s">
        <v>77</v>
      </c>
      <c r="G32" s="4" t="s">
        <v>78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ht="9.75" customHeight="1">
      <c r="B33" s="6">
        <f t="shared" si="1"/>
        <v>46118</v>
      </c>
      <c r="C33" s="4" t="s">
        <v>79</v>
      </c>
      <c r="D33" s="4" t="s">
        <v>12</v>
      </c>
      <c r="E33" s="4" t="s">
        <v>1561</v>
      </c>
      <c r="F33" s="4" t="s">
        <v>80</v>
      </c>
      <c r="G33" s="4" t="s">
        <v>14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ht="9.75" customHeight="1">
      <c r="B34" s="3">
        <v>46119</v>
      </c>
      <c r="C34" s="7" t="s">
        <v>81</v>
      </c>
      <c r="D34" s="7" t="s">
        <v>33</v>
      </c>
      <c r="E34" s="4" t="s">
        <v>1562</v>
      </c>
      <c r="F34" s="7" t="s">
        <v>82</v>
      </c>
      <c r="G34" s="7" t="s">
        <v>83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ht="9.75" customHeight="1">
      <c r="B35" s="6">
        <f t="shared" ref="B35:B41" si="2">B34</f>
        <v>46119</v>
      </c>
      <c r="C35" s="4" t="s">
        <v>84</v>
      </c>
      <c r="D35" s="4" t="s">
        <v>85</v>
      </c>
      <c r="E35" s="4" t="s">
        <v>1562</v>
      </c>
      <c r="F35" s="4" t="s">
        <v>86</v>
      </c>
      <c r="G35" s="7" t="s">
        <v>83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2:22" ht="9.75" customHeight="1">
      <c r="B36" s="6">
        <f t="shared" si="2"/>
        <v>46119</v>
      </c>
      <c r="C36" s="4" t="s">
        <v>84</v>
      </c>
      <c r="D36" s="4" t="s">
        <v>87</v>
      </c>
      <c r="E36" s="4" t="s">
        <v>1562</v>
      </c>
      <c r="F36" s="4" t="s">
        <v>88</v>
      </c>
      <c r="G36" s="7" t="s">
        <v>83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2:22" ht="9.75" customHeight="1">
      <c r="B37" s="6">
        <f t="shared" si="2"/>
        <v>46119</v>
      </c>
      <c r="C37" s="4" t="s">
        <v>84</v>
      </c>
      <c r="D37" s="4" t="s">
        <v>87</v>
      </c>
      <c r="E37" s="4" t="s">
        <v>1562</v>
      </c>
      <c r="F37" s="4" t="s">
        <v>89</v>
      </c>
      <c r="G37" s="7" t="s">
        <v>83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2:22" ht="9.75" customHeight="1">
      <c r="B38" s="6">
        <f t="shared" si="2"/>
        <v>46119</v>
      </c>
      <c r="C38" s="4" t="s">
        <v>84</v>
      </c>
      <c r="D38" s="4" t="s">
        <v>90</v>
      </c>
      <c r="E38" s="4" t="s">
        <v>1562</v>
      </c>
      <c r="F38" s="4" t="s">
        <v>91</v>
      </c>
      <c r="G38" s="7" t="s">
        <v>83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2:22" ht="9.75" customHeight="1">
      <c r="B39" s="6">
        <f t="shared" si="2"/>
        <v>46119</v>
      </c>
      <c r="C39" s="4" t="s">
        <v>84</v>
      </c>
      <c r="D39" s="4" t="s">
        <v>33</v>
      </c>
      <c r="E39" s="4" t="s">
        <v>1562</v>
      </c>
      <c r="F39" s="4" t="s">
        <v>92</v>
      </c>
      <c r="G39" s="7" t="s">
        <v>83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2:22" ht="9.75" customHeight="1">
      <c r="B40" s="6">
        <f t="shared" si="2"/>
        <v>46119</v>
      </c>
      <c r="C40" s="4" t="s">
        <v>93</v>
      </c>
      <c r="D40" s="4" t="s">
        <v>94</v>
      </c>
      <c r="E40" s="4" t="s">
        <v>1561</v>
      </c>
      <c r="F40" s="4" t="s">
        <v>95</v>
      </c>
      <c r="G40" s="4" t="s">
        <v>96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2:22" ht="9.75" customHeight="1">
      <c r="B41" s="6">
        <f t="shared" si="2"/>
        <v>46119</v>
      </c>
      <c r="C41" s="4" t="s">
        <v>97</v>
      </c>
      <c r="D41" s="4" t="s">
        <v>98</v>
      </c>
      <c r="E41" s="4" t="s">
        <v>1561</v>
      </c>
      <c r="F41" s="4" t="s">
        <v>99</v>
      </c>
      <c r="G41" s="8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2:22" ht="9.75" customHeight="1">
      <c r="B42" s="3">
        <v>46120</v>
      </c>
      <c r="C42" s="7" t="s">
        <v>26</v>
      </c>
      <c r="D42" s="7" t="s">
        <v>33</v>
      </c>
      <c r="E42" s="4" t="s">
        <v>1562</v>
      </c>
      <c r="F42" s="7" t="s">
        <v>100</v>
      </c>
      <c r="G42" s="7" t="s">
        <v>22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2:22" ht="9.75" customHeight="1">
      <c r="B43" s="6">
        <f t="shared" ref="B43:B53" si="3">B42</f>
        <v>46120</v>
      </c>
      <c r="C43" s="7" t="s">
        <v>101</v>
      </c>
      <c r="D43" s="4" t="s">
        <v>102</v>
      </c>
      <c r="E43" s="4" t="s">
        <v>1562</v>
      </c>
      <c r="F43" s="4" t="s">
        <v>103</v>
      </c>
      <c r="G43" s="4" t="s">
        <v>104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2:22" ht="9.75" customHeight="1">
      <c r="B44" s="6">
        <f t="shared" si="3"/>
        <v>46120</v>
      </c>
      <c r="C44" s="7" t="s">
        <v>101</v>
      </c>
      <c r="D44" s="4" t="s">
        <v>35</v>
      </c>
      <c r="E44" s="4" t="s">
        <v>1562</v>
      </c>
      <c r="F44" s="4" t="s">
        <v>105</v>
      </c>
      <c r="G44" s="4" t="s">
        <v>22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2:22" ht="9.75" customHeight="1">
      <c r="B45" s="6">
        <f t="shared" si="3"/>
        <v>46120</v>
      </c>
      <c r="C45" s="7" t="s">
        <v>106</v>
      </c>
      <c r="D45" s="4" t="s">
        <v>107</v>
      </c>
      <c r="E45" s="4" t="s">
        <v>1562</v>
      </c>
      <c r="F45" s="4" t="s">
        <v>108</v>
      </c>
      <c r="G45" s="4" t="s">
        <v>22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spans="2:22" ht="9.75" customHeight="1">
      <c r="B46" s="6">
        <f t="shared" si="3"/>
        <v>46120</v>
      </c>
      <c r="C46" s="7" t="s">
        <v>101</v>
      </c>
      <c r="D46" s="4" t="s">
        <v>9</v>
      </c>
      <c r="E46" s="4" t="s">
        <v>1562</v>
      </c>
      <c r="F46" s="4" t="s">
        <v>109</v>
      </c>
      <c r="G46" s="4" t="s">
        <v>22</v>
      </c>
    </row>
    <row r="47" spans="2:22" ht="9.75" customHeight="1">
      <c r="B47" s="6">
        <f t="shared" si="3"/>
        <v>46120</v>
      </c>
      <c r="C47" s="7" t="s">
        <v>101</v>
      </c>
      <c r="D47" s="4" t="s">
        <v>110</v>
      </c>
      <c r="E47" s="4" t="s">
        <v>1562</v>
      </c>
      <c r="F47" s="4" t="s">
        <v>111</v>
      </c>
      <c r="G47" s="4" t="s">
        <v>74</v>
      </c>
    </row>
    <row r="48" spans="2:22" ht="9.75" customHeight="1">
      <c r="B48" s="6">
        <f t="shared" si="3"/>
        <v>46120</v>
      </c>
      <c r="C48" s="7" t="s">
        <v>106</v>
      </c>
      <c r="D48" s="4" t="s">
        <v>112</v>
      </c>
      <c r="E48" s="4" t="s">
        <v>1562</v>
      </c>
      <c r="F48" s="10" t="s">
        <v>113</v>
      </c>
      <c r="G48" s="4" t="s">
        <v>114</v>
      </c>
    </row>
    <row r="49" spans="2:7" ht="9.75" customHeight="1">
      <c r="B49" s="6">
        <f t="shared" si="3"/>
        <v>46120</v>
      </c>
      <c r="C49" s="4" t="s">
        <v>26</v>
      </c>
      <c r="D49" s="4" t="s">
        <v>33</v>
      </c>
      <c r="E49" s="4" t="s">
        <v>1562</v>
      </c>
      <c r="F49" s="10" t="s">
        <v>115</v>
      </c>
      <c r="G49" s="4" t="s">
        <v>22</v>
      </c>
    </row>
    <row r="50" spans="2:7" ht="9.75" customHeight="1">
      <c r="B50" s="6">
        <f t="shared" si="3"/>
        <v>46120</v>
      </c>
      <c r="C50" s="11"/>
      <c r="D50" s="11"/>
      <c r="E50" s="4" t="s">
        <v>1562</v>
      </c>
      <c r="F50" s="11"/>
      <c r="G50" s="11"/>
    </row>
    <row r="51" spans="2:7" ht="9.75" customHeight="1">
      <c r="B51" s="6">
        <f t="shared" si="3"/>
        <v>46120</v>
      </c>
      <c r="C51" s="4" t="s">
        <v>116</v>
      </c>
      <c r="D51" s="4" t="s">
        <v>67</v>
      </c>
      <c r="E51" s="4" t="s">
        <v>1561</v>
      </c>
      <c r="F51" s="4" t="s">
        <v>117</v>
      </c>
      <c r="G51" s="4" t="s">
        <v>25</v>
      </c>
    </row>
    <row r="52" spans="2:7" ht="9.75" customHeight="1">
      <c r="B52" s="6">
        <f t="shared" si="3"/>
        <v>46120</v>
      </c>
      <c r="C52" s="4" t="s">
        <v>118</v>
      </c>
      <c r="D52" s="4" t="s">
        <v>33</v>
      </c>
      <c r="E52" s="4" t="s">
        <v>1561</v>
      </c>
      <c r="F52" s="4" t="s">
        <v>119</v>
      </c>
      <c r="G52" s="4" t="s">
        <v>120</v>
      </c>
    </row>
    <row r="53" spans="2:7" ht="9.75" customHeight="1">
      <c r="B53" s="6">
        <f t="shared" si="3"/>
        <v>46120</v>
      </c>
      <c r="C53" s="4" t="s">
        <v>118</v>
      </c>
      <c r="D53" s="4" t="s">
        <v>121</v>
      </c>
      <c r="E53" s="4" t="s">
        <v>1561</v>
      </c>
      <c r="F53" s="4" t="s">
        <v>122</v>
      </c>
      <c r="G53" s="4" t="s">
        <v>25</v>
      </c>
    </row>
    <row r="54" spans="2:7" ht="9.75" customHeight="1">
      <c r="B54" s="3">
        <v>46121</v>
      </c>
      <c r="C54" s="7" t="s">
        <v>11</v>
      </c>
      <c r="D54" s="7" t="s">
        <v>123</v>
      </c>
      <c r="E54" s="4" t="s">
        <v>1561</v>
      </c>
      <c r="F54" s="7" t="s">
        <v>124</v>
      </c>
      <c r="G54" s="7" t="s">
        <v>22</v>
      </c>
    </row>
    <row r="55" spans="2:7" ht="9.75" customHeight="1">
      <c r="B55" s="3">
        <v>46122</v>
      </c>
      <c r="C55" s="7" t="s">
        <v>26</v>
      </c>
      <c r="D55" s="7" t="s">
        <v>125</v>
      </c>
      <c r="E55" s="27" t="s">
        <v>1561</v>
      </c>
      <c r="F55" s="7" t="s">
        <v>126</v>
      </c>
      <c r="G55" s="7" t="s">
        <v>22</v>
      </c>
    </row>
    <row r="56" spans="2:7" ht="9.75" customHeight="1">
      <c r="B56" s="6">
        <f>B55</f>
        <v>46122</v>
      </c>
      <c r="C56" s="4" t="s">
        <v>26</v>
      </c>
      <c r="D56" s="7" t="s">
        <v>12</v>
      </c>
      <c r="E56" s="4" t="s">
        <v>1561</v>
      </c>
      <c r="F56" s="4" t="s">
        <v>127</v>
      </c>
      <c r="G56" s="4" t="s">
        <v>22</v>
      </c>
    </row>
    <row r="57" spans="2:7" ht="9.75" customHeight="1">
      <c r="B57" s="3">
        <v>46123</v>
      </c>
      <c r="C57" s="7" t="s">
        <v>128</v>
      </c>
      <c r="D57" s="7" t="s">
        <v>129</v>
      </c>
      <c r="E57" s="4" t="s">
        <v>1561</v>
      </c>
      <c r="F57" s="7" t="s">
        <v>130</v>
      </c>
      <c r="G57" s="7" t="s">
        <v>131</v>
      </c>
    </row>
    <row r="58" spans="2:7" ht="9.75" customHeight="1">
      <c r="B58" s="6">
        <f t="shared" ref="B58:B64" si="4">B57</f>
        <v>46123</v>
      </c>
      <c r="C58" s="4" t="s">
        <v>132</v>
      </c>
      <c r="D58" s="4" t="s">
        <v>133</v>
      </c>
      <c r="E58" s="4" t="s">
        <v>1561</v>
      </c>
      <c r="F58" s="4" t="s">
        <v>134</v>
      </c>
      <c r="G58" s="4" t="s">
        <v>135</v>
      </c>
    </row>
    <row r="59" spans="2:7" ht="9.75" customHeight="1">
      <c r="B59" s="6">
        <f t="shared" si="4"/>
        <v>46123</v>
      </c>
      <c r="C59" s="4" t="s">
        <v>136</v>
      </c>
      <c r="D59" s="4" t="s">
        <v>72</v>
      </c>
      <c r="E59" s="4" t="s">
        <v>1561</v>
      </c>
      <c r="F59" s="4" t="s">
        <v>137</v>
      </c>
      <c r="G59" s="4" t="s">
        <v>138</v>
      </c>
    </row>
    <row r="60" spans="2:7" ht="9.75" customHeight="1">
      <c r="B60" s="6">
        <f t="shared" si="4"/>
        <v>46123</v>
      </c>
      <c r="C60" s="4" t="s">
        <v>139</v>
      </c>
      <c r="D60" s="4" t="s">
        <v>140</v>
      </c>
      <c r="E60" s="4" t="s">
        <v>1561</v>
      </c>
      <c r="F60" s="4" t="s">
        <v>141</v>
      </c>
      <c r="G60" s="4" t="s">
        <v>138</v>
      </c>
    </row>
    <row r="61" spans="2:7" ht="9.75" customHeight="1">
      <c r="B61" s="6">
        <f t="shared" si="4"/>
        <v>46123</v>
      </c>
      <c r="C61" s="4" t="s">
        <v>142</v>
      </c>
      <c r="D61" s="4" t="s">
        <v>72</v>
      </c>
      <c r="E61" s="4" t="s">
        <v>1561</v>
      </c>
      <c r="F61" s="4" t="s">
        <v>143</v>
      </c>
      <c r="G61" s="4" t="s">
        <v>138</v>
      </c>
    </row>
    <row r="62" spans="2:7" ht="9.75" customHeight="1">
      <c r="B62" s="6">
        <f t="shared" si="4"/>
        <v>46123</v>
      </c>
      <c r="C62" s="4" t="s">
        <v>132</v>
      </c>
      <c r="D62" s="4" t="s">
        <v>144</v>
      </c>
      <c r="E62" s="4" t="s">
        <v>1561</v>
      </c>
      <c r="F62" s="4" t="s">
        <v>145</v>
      </c>
      <c r="G62" s="4" t="s">
        <v>146</v>
      </c>
    </row>
    <row r="63" spans="2:7" ht="9.75" customHeight="1">
      <c r="B63" s="6">
        <f t="shared" si="4"/>
        <v>46123</v>
      </c>
      <c r="C63" s="4" t="s">
        <v>147</v>
      </c>
      <c r="D63" s="4" t="s">
        <v>67</v>
      </c>
      <c r="E63" s="4" t="s">
        <v>1561</v>
      </c>
      <c r="F63" s="4" t="s">
        <v>148</v>
      </c>
      <c r="G63" s="4" t="s">
        <v>149</v>
      </c>
    </row>
    <row r="64" spans="2:7" ht="9.75" customHeight="1">
      <c r="B64" s="6">
        <f t="shared" si="4"/>
        <v>46123</v>
      </c>
      <c r="C64" s="4" t="s">
        <v>150</v>
      </c>
      <c r="D64" s="4" t="s">
        <v>16</v>
      </c>
      <c r="E64" s="4" t="s">
        <v>1561</v>
      </c>
      <c r="F64" s="4" t="s">
        <v>151</v>
      </c>
      <c r="G64" s="4" t="s">
        <v>149</v>
      </c>
    </row>
    <row r="65" spans="2:7" ht="9.75" customHeight="1">
      <c r="B65" s="3">
        <v>46124</v>
      </c>
      <c r="C65" s="7" t="s">
        <v>152</v>
      </c>
      <c r="D65" s="7" t="s">
        <v>16</v>
      </c>
      <c r="E65" s="4" t="s">
        <v>1561</v>
      </c>
      <c r="F65" s="7" t="s">
        <v>153</v>
      </c>
      <c r="G65" s="9"/>
    </row>
    <row r="66" spans="2:7" ht="9.75" customHeight="1">
      <c r="B66" s="6">
        <f t="shared" ref="B66:B76" si="5">B65</f>
        <v>46124</v>
      </c>
      <c r="C66" s="4" t="s">
        <v>154</v>
      </c>
      <c r="D66" s="4" t="s">
        <v>155</v>
      </c>
      <c r="E66" s="4" t="s">
        <v>1562</v>
      </c>
      <c r="F66" s="4" t="s">
        <v>156</v>
      </c>
      <c r="G66" s="4" t="s">
        <v>74</v>
      </c>
    </row>
    <row r="67" spans="2:7" ht="9.75" customHeight="1">
      <c r="B67" s="6">
        <f t="shared" si="5"/>
        <v>46124</v>
      </c>
      <c r="C67" s="4" t="s">
        <v>157</v>
      </c>
      <c r="D67" s="4" t="s">
        <v>158</v>
      </c>
      <c r="E67" s="4" t="s">
        <v>1562</v>
      </c>
      <c r="F67" s="4" t="s">
        <v>159</v>
      </c>
      <c r="G67" s="4" t="s">
        <v>22</v>
      </c>
    </row>
    <row r="68" spans="2:7" ht="9.75" customHeight="1">
      <c r="B68" s="6">
        <f t="shared" si="5"/>
        <v>46124</v>
      </c>
      <c r="C68" s="4" t="s">
        <v>154</v>
      </c>
      <c r="D68" s="4" t="s">
        <v>33</v>
      </c>
      <c r="E68" s="4" t="s">
        <v>1562</v>
      </c>
      <c r="F68" s="4" t="s">
        <v>160</v>
      </c>
      <c r="G68" s="4" t="s">
        <v>74</v>
      </c>
    </row>
    <row r="69" spans="2:7" ht="9.75" customHeight="1">
      <c r="B69" s="6">
        <f t="shared" si="5"/>
        <v>46124</v>
      </c>
      <c r="C69" s="4" t="s">
        <v>58</v>
      </c>
      <c r="D69" s="4" t="s">
        <v>107</v>
      </c>
      <c r="E69" s="4" t="s">
        <v>1562</v>
      </c>
      <c r="F69" s="4" t="s">
        <v>161</v>
      </c>
      <c r="G69" s="4" t="s">
        <v>61</v>
      </c>
    </row>
    <row r="70" spans="2:7" ht="9.75" customHeight="1">
      <c r="B70" s="6">
        <f t="shared" si="5"/>
        <v>46124</v>
      </c>
      <c r="C70" s="4" t="s">
        <v>58</v>
      </c>
      <c r="D70" s="4" t="s">
        <v>35</v>
      </c>
      <c r="E70" s="4" t="s">
        <v>1562</v>
      </c>
      <c r="F70" s="4" t="s">
        <v>162</v>
      </c>
      <c r="G70" s="4" t="s">
        <v>61</v>
      </c>
    </row>
    <row r="71" spans="2:7" ht="9.75" customHeight="1">
      <c r="B71" s="6">
        <f t="shared" si="5"/>
        <v>46124</v>
      </c>
      <c r="C71" s="4" t="s">
        <v>58</v>
      </c>
      <c r="D71" s="4" t="s">
        <v>163</v>
      </c>
      <c r="E71" s="4" t="s">
        <v>1562</v>
      </c>
      <c r="F71" s="4" t="s">
        <v>164</v>
      </c>
      <c r="G71" s="4" t="s">
        <v>61</v>
      </c>
    </row>
    <row r="72" spans="2:7" ht="9.75" customHeight="1">
      <c r="B72" s="6">
        <f t="shared" si="5"/>
        <v>46124</v>
      </c>
      <c r="C72" s="4" t="s">
        <v>58</v>
      </c>
      <c r="D72" s="4" t="s">
        <v>107</v>
      </c>
      <c r="E72" s="4" t="s">
        <v>1562</v>
      </c>
      <c r="F72" s="4" t="s">
        <v>165</v>
      </c>
      <c r="G72" s="4" t="s">
        <v>61</v>
      </c>
    </row>
    <row r="73" spans="2:7" ht="9.75" customHeight="1">
      <c r="B73" s="6">
        <f t="shared" si="5"/>
        <v>46124</v>
      </c>
      <c r="C73" s="4" t="s">
        <v>58</v>
      </c>
      <c r="D73" s="4" t="s">
        <v>163</v>
      </c>
      <c r="E73" s="4" t="s">
        <v>1562</v>
      </c>
      <c r="F73" s="4" t="s">
        <v>166</v>
      </c>
      <c r="G73" s="4" t="s">
        <v>61</v>
      </c>
    </row>
    <row r="74" spans="2:7" ht="9.75" customHeight="1">
      <c r="B74" s="6">
        <f t="shared" si="5"/>
        <v>46124</v>
      </c>
      <c r="C74" s="4" t="s">
        <v>167</v>
      </c>
      <c r="D74" s="4" t="s">
        <v>168</v>
      </c>
      <c r="E74" s="4" t="s">
        <v>1561</v>
      </c>
      <c r="F74" s="4" t="s">
        <v>169</v>
      </c>
      <c r="G74" s="4" t="s">
        <v>170</v>
      </c>
    </row>
    <row r="75" spans="2:7" ht="9.75" customHeight="1">
      <c r="B75" s="6">
        <f t="shared" si="5"/>
        <v>46124</v>
      </c>
      <c r="C75" s="4" t="s">
        <v>167</v>
      </c>
      <c r="D75" s="4" t="s">
        <v>171</v>
      </c>
      <c r="E75" s="4" t="s">
        <v>1561</v>
      </c>
      <c r="F75" s="4" t="s">
        <v>172</v>
      </c>
      <c r="G75" s="4" t="s">
        <v>170</v>
      </c>
    </row>
    <row r="76" spans="2:7" ht="9.75" customHeight="1">
      <c r="B76" s="6">
        <f t="shared" si="5"/>
        <v>46124</v>
      </c>
      <c r="C76" s="4" t="s">
        <v>173</v>
      </c>
      <c r="D76" s="4" t="s">
        <v>72</v>
      </c>
      <c r="E76" s="4" t="s">
        <v>1561</v>
      </c>
      <c r="F76" s="4" t="s">
        <v>174</v>
      </c>
      <c r="G76" s="8"/>
    </row>
    <row r="77" spans="2:7" ht="9.75" customHeight="1">
      <c r="B77" s="3">
        <v>46125</v>
      </c>
      <c r="C77" s="7" t="s">
        <v>132</v>
      </c>
      <c r="D77" s="7" t="s">
        <v>107</v>
      </c>
      <c r="E77" s="4" t="s">
        <v>1561</v>
      </c>
      <c r="F77" s="7" t="s">
        <v>175</v>
      </c>
      <c r="G77" s="9"/>
    </row>
    <row r="78" spans="2:7" ht="9.75" customHeight="1">
      <c r="B78" s="3">
        <v>46128</v>
      </c>
      <c r="C78" s="7" t="s">
        <v>26</v>
      </c>
      <c r="D78" s="7" t="s">
        <v>176</v>
      </c>
      <c r="E78" s="4" t="s">
        <v>1562</v>
      </c>
      <c r="F78" s="7" t="s">
        <v>177</v>
      </c>
      <c r="G78" s="7" t="s">
        <v>178</v>
      </c>
    </row>
    <row r="79" spans="2:7" ht="9.75" customHeight="1">
      <c r="B79" s="6">
        <f t="shared" ref="B79:B96" si="6">B78</f>
        <v>46128</v>
      </c>
      <c r="C79" s="7" t="s">
        <v>26</v>
      </c>
      <c r="D79" s="4" t="s">
        <v>179</v>
      </c>
      <c r="E79" s="4" t="s">
        <v>1562</v>
      </c>
      <c r="F79" s="4" t="s">
        <v>180</v>
      </c>
      <c r="G79" s="4" t="s">
        <v>104</v>
      </c>
    </row>
    <row r="80" spans="2:7" ht="9.75" customHeight="1">
      <c r="B80" s="6">
        <f t="shared" si="6"/>
        <v>46128</v>
      </c>
      <c r="C80" s="4" t="s">
        <v>11</v>
      </c>
      <c r="D80" s="4" t="s">
        <v>43</v>
      </c>
      <c r="E80" s="4" t="s">
        <v>1562</v>
      </c>
      <c r="F80" s="10" t="s">
        <v>181</v>
      </c>
      <c r="G80" s="4" t="s">
        <v>182</v>
      </c>
    </row>
    <row r="81" spans="2:7" ht="9.75" customHeight="1">
      <c r="B81" s="6">
        <f t="shared" si="6"/>
        <v>46128</v>
      </c>
      <c r="C81" s="4" t="s">
        <v>183</v>
      </c>
      <c r="D81" s="4" t="s">
        <v>184</v>
      </c>
      <c r="E81" s="4" t="s">
        <v>1562</v>
      </c>
      <c r="F81" s="4" t="s">
        <v>185</v>
      </c>
      <c r="G81" s="4" t="s">
        <v>178</v>
      </c>
    </row>
    <row r="82" spans="2:7" ht="9.75" customHeight="1">
      <c r="B82" s="6">
        <f t="shared" si="6"/>
        <v>46128</v>
      </c>
      <c r="C82" s="4" t="s">
        <v>26</v>
      </c>
      <c r="D82" s="4" t="s">
        <v>186</v>
      </c>
      <c r="E82" s="4" t="s">
        <v>1562</v>
      </c>
      <c r="F82" s="12" t="s">
        <v>187</v>
      </c>
      <c r="G82" s="4" t="s">
        <v>182</v>
      </c>
    </row>
    <row r="83" spans="2:7" ht="9.75" customHeight="1">
      <c r="B83" s="6">
        <f t="shared" si="6"/>
        <v>46128</v>
      </c>
      <c r="C83" s="4" t="s">
        <v>188</v>
      </c>
      <c r="D83" s="4" t="s">
        <v>189</v>
      </c>
      <c r="E83" s="4" t="s">
        <v>1562</v>
      </c>
      <c r="F83" s="4" t="s">
        <v>190</v>
      </c>
      <c r="G83" s="4" t="s">
        <v>61</v>
      </c>
    </row>
    <row r="84" spans="2:7" ht="9.75" customHeight="1">
      <c r="B84" s="6">
        <f t="shared" si="6"/>
        <v>46128</v>
      </c>
      <c r="C84" s="4" t="s">
        <v>188</v>
      </c>
      <c r="D84" s="4" t="s">
        <v>191</v>
      </c>
      <c r="E84" s="4" t="s">
        <v>1562</v>
      </c>
      <c r="F84" s="4" t="s">
        <v>192</v>
      </c>
      <c r="G84" s="4" t="s">
        <v>42</v>
      </c>
    </row>
    <row r="85" spans="2:7" ht="9.75" customHeight="1">
      <c r="B85" s="6">
        <f t="shared" si="6"/>
        <v>46128</v>
      </c>
      <c r="C85" s="4" t="s">
        <v>167</v>
      </c>
      <c r="D85" s="4" t="s">
        <v>193</v>
      </c>
      <c r="E85" s="4" t="s">
        <v>1562</v>
      </c>
      <c r="F85" s="4" t="s">
        <v>194</v>
      </c>
      <c r="G85" s="4" t="s">
        <v>61</v>
      </c>
    </row>
    <row r="86" spans="2:7" ht="9.75" customHeight="1">
      <c r="B86" s="6">
        <f t="shared" si="6"/>
        <v>46128</v>
      </c>
      <c r="C86" s="4" t="s">
        <v>26</v>
      </c>
      <c r="D86" s="4" t="s">
        <v>107</v>
      </c>
      <c r="E86" s="4" t="s">
        <v>1562</v>
      </c>
      <c r="F86" s="13" t="s">
        <v>195</v>
      </c>
      <c r="G86" s="4" t="s">
        <v>61</v>
      </c>
    </row>
    <row r="87" spans="2:7" ht="9.75" customHeight="1">
      <c r="B87" s="6">
        <f t="shared" si="6"/>
        <v>46128</v>
      </c>
      <c r="C87" s="4" t="s">
        <v>26</v>
      </c>
      <c r="D87" s="13" t="s">
        <v>196</v>
      </c>
      <c r="E87" s="4" t="s">
        <v>1562</v>
      </c>
      <c r="F87" s="13" t="s">
        <v>197</v>
      </c>
      <c r="G87" s="4" t="s">
        <v>61</v>
      </c>
    </row>
    <row r="88" spans="2:7" ht="9.75" customHeight="1">
      <c r="B88" s="6">
        <f t="shared" si="6"/>
        <v>46128</v>
      </c>
      <c r="C88" s="4" t="s">
        <v>26</v>
      </c>
      <c r="D88" s="14" t="s">
        <v>198</v>
      </c>
      <c r="E88" s="4" t="s">
        <v>1562</v>
      </c>
      <c r="F88" s="14" t="s">
        <v>199</v>
      </c>
      <c r="G88" s="4" t="s">
        <v>61</v>
      </c>
    </row>
    <row r="89" spans="2:7" ht="9.75" customHeight="1">
      <c r="B89" s="6">
        <f t="shared" si="6"/>
        <v>46128</v>
      </c>
      <c r="C89" s="4" t="s">
        <v>26</v>
      </c>
      <c r="D89" s="14" t="s">
        <v>200</v>
      </c>
      <c r="E89" s="4" t="s">
        <v>1562</v>
      </c>
      <c r="F89" s="14" t="s">
        <v>201</v>
      </c>
      <c r="G89" s="4" t="s">
        <v>61</v>
      </c>
    </row>
    <row r="90" spans="2:7" ht="9.75" customHeight="1">
      <c r="B90" s="6">
        <f t="shared" si="6"/>
        <v>46128</v>
      </c>
      <c r="C90" s="4" t="s">
        <v>188</v>
      </c>
      <c r="D90" s="4" t="s">
        <v>16</v>
      </c>
      <c r="E90" s="4" t="s">
        <v>1562</v>
      </c>
      <c r="F90" s="4" t="s">
        <v>202</v>
      </c>
      <c r="G90" s="4" t="s">
        <v>182</v>
      </c>
    </row>
    <row r="91" spans="2:7" ht="9.75" customHeight="1">
      <c r="B91" s="6">
        <f t="shared" si="6"/>
        <v>46128</v>
      </c>
      <c r="C91" s="4" t="s">
        <v>188</v>
      </c>
      <c r="D91" s="4" t="s">
        <v>85</v>
      </c>
      <c r="E91" s="4" t="s">
        <v>1562</v>
      </c>
      <c r="F91" s="4" t="s">
        <v>203</v>
      </c>
      <c r="G91" s="4" t="s">
        <v>42</v>
      </c>
    </row>
    <row r="92" spans="2:7" ht="9.75" customHeight="1">
      <c r="B92" s="6">
        <f t="shared" si="6"/>
        <v>46128</v>
      </c>
      <c r="C92" s="4" t="s">
        <v>188</v>
      </c>
      <c r="D92" s="4" t="s">
        <v>204</v>
      </c>
      <c r="E92" s="4" t="s">
        <v>1562</v>
      </c>
      <c r="F92" s="4" t="s">
        <v>205</v>
      </c>
      <c r="G92" s="4" t="s">
        <v>61</v>
      </c>
    </row>
    <row r="93" spans="2:7" ht="9.75" customHeight="1">
      <c r="B93" s="6">
        <f t="shared" si="6"/>
        <v>46128</v>
      </c>
      <c r="C93" s="4" t="s">
        <v>206</v>
      </c>
      <c r="D93" s="4" t="s">
        <v>35</v>
      </c>
      <c r="E93" s="4" t="s">
        <v>1561</v>
      </c>
      <c r="F93" s="4" t="s">
        <v>207</v>
      </c>
      <c r="G93" s="4" t="s">
        <v>208</v>
      </c>
    </row>
    <row r="94" spans="2:7" ht="9.75" customHeight="1">
      <c r="B94" s="6">
        <f t="shared" si="6"/>
        <v>46128</v>
      </c>
      <c r="C94" s="4" t="s">
        <v>209</v>
      </c>
      <c r="D94" s="4" t="s">
        <v>67</v>
      </c>
      <c r="E94" s="4" t="s">
        <v>1561</v>
      </c>
      <c r="F94" s="4" t="s">
        <v>210</v>
      </c>
      <c r="G94" s="4" t="s">
        <v>42</v>
      </c>
    </row>
    <row r="95" spans="2:7" ht="9.75" customHeight="1">
      <c r="B95" s="6">
        <f t="shared" si="6"/>
        <v>46128</v>
      </c>
      <c r="C95" s="4" t="s">
        <v>211</v>
      </c>
      <c r="D95" s="4" t="s">
        <v>212</v>
      </c>
      <c r="E95" s="4" t="s">
        <v>1561</v>
      </c>
      <c r="F95" s="4" t="s">
        <v>213</v>
      </c>
      <c r="G95" s="4" t="s">
        <v>42</v>
      </c>
    </row>
    <row r="96" spans="2:7" ht="9.75" customHeight="1">
      <c r="B96" s="6">
        <f t="shared" si="6"/>
        <v>46128</v>
      </c>
      <c r="C96" s="4" t="s">
        <v>214</v>
      </c>
      <c r="D96" s="4" t="s">
        <v>215</v>
      </c>
      <c r="E96" s="4" t="s">
        <v>1561</v>
      </c>
      <c r="F96" s="4" t="s">
        <v>216</v>
      </c>
      <c r="G96" s="4" t="s">
        <v>42</v>
      </c>
    </row>
    <row r="97" spans="2:7" ht="9.75" customHeight="1">
      <c r="B97" s="3">
        <v>46129</v>
      </c>
      <c r="C97" s="4" t="s">
        <v>26</v>
      </c>
      <c r="D97" s="4" t="s">
        <v>217</v>
      </c>
      <c r="E97" s="4" t="s">
        <v>1562</v>
      </c>
      <c r="F97" s="4" t="s">
        <v>218</v>
      </c>
      <c r="G97" s="4" t="s">
        <v>22</v>
      </c>
    </row>
    <row r="98" spans="2:7" ht="9.75" customHeight="1">
      <c r="B98" s="6">
        <f t="shared" ref="B98:B114" si="7">B97</f>
        <v>46129</v>
      </c>
      <c r="C98" s="4" t="s">
        <v>26</v>
      </c>
      <c r="D98" s="4" t="s">
        <v>204</v>
      </c>
      <c r="E98" s="4" t="s">
        <v>1562</v>
      </c>
      <c r="F98" s="4" t="s">
        <v>219</v>
      </c>
      <c r="G98" s="4" t="s">
        <v>22</v>
      </c>
    </row>
    <row r="99" spans="2:7" ht="9.75" customHeight="1">
      <c r="B99" s="6">
        <f t="shared" si="7"/>
        <v>46129</v>
      </c>
      <c r="C99" s="4" t="s">
        <v>20</v>
      </c>
      <c r="D99" s="4" t="s">
        <v>16</v>
      </c>
      <c r="E99" s="4" t="s">
        <v>1562</v>
      </c>
      <c r="F99" s="4" t="s">
        <v>220</v>
      </c>
      <c r="G99" s="4" t="s">
        <v>22</v>
      </c>
    </row>
    <row r="100" spans="2:7" ht="9.75" customHeight="1">
      <c r="B100" s="6">
        <f t="shared" si="7"/>
        <v>46129</v>
      </c>
      <c r="C100" s="4" t="s">
        <v>20</v>
      </c>
      <c r="D100" s="4" t="s">
        <v>72</v>
      </c>
      <c r="E100" s="4" t="s">
        <v>1562</v>
      </c>
      <c r="F100" s="4" t="s">
        <v>221</v>
      </c>
      <c r="G100" s="4" t="s">
        <v>25</v>
      </c>
    </row>
    <row r="101" spans="2:7" ht="15.75" customHeight="1">
      <c r="B101" s="6">
        <f t="shared" si="7"/>
        <v>46129</v>
      </c>
      <c r="C101" s="4" t="s">
        <v>167</v>
      </c>
      <c r="D101" s="4" t="s">
        <v>9</v>
      </c>
      <c r="E101" s="4" t="s">
        <v>1562</v>
      </c>
      <c r="F101" s="4" t="s">
        <v>222</v>
      </c>
      <c r="G101" s="4" t="s">
        <v>22</v>
      </c>
    </row>
    <row r="102" spans="2:7" ht="15.75" customHeight="1">
      <c r="B102" s="6">
        <f t="shared" si="7"/>
        <v>46129</v>
      </c>
      <c r="C102" s="4" t="s">
        <v>20</v>
      </c>
      <c r="D102" s="4" t="s">
        <v>223</v>
      </c>
      <c r="E102" s="4" t="s">
        <v>1562</v>
      </c>
      <c r="F102" s="4" t="s">
        <v>224</v>
      </c>
      <c r="G102" s="4" t="s">
        <v>225</v>
      </c>
    </row>
    <row r="103" spans="2:7" ht="15.75" customHeight="1">
      <c r="B103" s="6">
        <f t="shared" si="7"/>
        <v>46129</v>
      </c>
      <c r="C103" s="4" t="s">
        <v>20</v>
      </c>
      <c r="D103" s="4" t="s">
        <v>33</v>
      </c>
      <c r="E103" s="4" t="s">
        <v>1562</v>
      </c>
      <c r="F103" s="4" t="s">
        <v>226</v>
      </c>
      <c r="G103" s="4" t="s">
        <v>22</v>
      </c>
    </row>
    <row r="104" spans="2:7" ht="15.75" customHeight="1">
      <c r="B104" s="6">
        <f t="shared" si="7"/>
        <v>46129</v>
      </c>
      <c r="C104" s="4" t="s">
        <v>167</v>
      </c>
      <c r="D104" s="4" t="s">
        <v>33</v>
      </c>
      <c r="E104" s="4" t="s">
        <v>1562</v>
      </c>
      <c r="F104" s="4" t="s">
        <v>227</v>
      </c>
      <c r="G104" s="4" t="s">
        <v>228</v>
      </c>
    </row>
    <row r="105" spans="2:7" ht="15.75" customHeight="1">
      <c r="B105" s="6">
        <f t="shared" si="7"/>
        <v>46129</v>
      </c>
      <c r="C105" s="4" t="s">
        <v>20</v>
      </c>
      <c r="D105" s="4" t="s">
        <v>204</v>
      </c>
      <c r="E105" s="4" t="s">
        <v>1562</v>
      </c>
      <c r="F105" s="4" t="s">
        <v>229</v>
      </c>
      <c r="G105" s="4" t="s">
        <v>61</v>
      </c>
    </row>
    <row r="106" spans="2:7" ht="15.75" customHeight="1">
      <c r="B106" s="6">
        <f t="shared" si="7"/>
        <v>46129</v>
      </c>
      <c r="C106" s="4" t="s">
        <v>20</v>
      </c>
      <c r="D106" s="4" t="s">
        <v>35</v>
      </c>
      <c r="E106" s="4" t="s">
        <v>1562</v>
      </c>
      <c r="F106" s="4" t="s">
        <v>230</v>
      </c>
      <c r="G106" s="4" t="s">
        <v>25</v>
      </c>
    </row>
    <row r="107" spans="2:7" ht="15.75" customHeight="1">
      <c r="B107" s="6">
        <f t="shared" si="7"/>
        <v>46129</v>
      </c>
      <c r="C107" s="4" t="s">
        <v>167</v>
      </c>
      <c r="D107" s="4" t="s">
        <v>6</v>
      </c>
      <c r="E107" s="4" t="s">
        <v>1562</v>
      </c>
      <c r="F107" s="4" t="s">
        <v>231</v>
      </c>
      <c r="G107" s="4" t="s">
        <v>61</v>
      </c>
    </row>
    <row r="108" spans="2:7" ht="15.75" customHeight="1">
      <c r="B108" s="6">
        <f t="shared" si="7"/>
        <v>46129</v>
      </c>
      <c r="C108" s="4" t="s">
        <v>20</v>
      </c>
      <c r="D108" s="4" t="s">
        <v>33</v>
      </c>
      <c r="E108" s="4" t="s">
        <v>1562</v>
      </c>
      <c r="F108" s="4" t="s">
        <v>232</v>
      </c>
      <c r="G108" s="4" t="s">
        <v>22</v>
      </c>
    </row>
    <row r="109" spans="2:7" ht="15.75" customHeight="1">
      <c r="B109" s="6">
        <f t="shared" si="7"/>
        <v>46129</v>
      </c>
      <c r="C109" s="4" t="s">
        <v>20</v>
      </c>
      <c r="D109" s="4" t="s">
        <v>233</v>
      </c>
      <c r="E109" s="4" t="s">
        <v>1562</v>
      </c>
      <c r="F109" s="4" t="s">
        <v>234</v>
      </c>
      <c r="G109" s="4" t="s">
        <v>61</v>
      </c>
    </row>
    <row r="110" spans="2:7" ht="15.75" customHeight="1">
      <c r="B110" s="6">
        <f t="shared" si="7"/>
        <v>46129</v>
      </c>
      <c r="C110" s="4" t="s">
        <v>20</v>
      </c>
      <c r="D110" s="4" t="s">
        <v>35</v>
      </c>
      <c r="E110" s="4" t="s">
        <v>1562</v>
      </c>
      <c r="F110" s="4" t="s">
        <v>235</v>
      </c>
      <c r="G110" s="4" t="s">
        <v>61</v>
      </c>
    </row>
    <row r="111" spans="2:7" ht="15.75" customHeight="1">
      <c r="B111" s="6">
        <f t="shared" si="7"/>
        <v>46129</v>
      </c>
      <c r="C111" s="4" t="s">
        <v>167</v>
      </c>
      <c r="D111" s="4" t="s">
        <v>6</v>
      </c>
      <c r="E111" s="4" t="s">
        <v>1562</v>
      </c>
      <c r="F111" s="4" t="s">
        <v>236</v>
      </c>
      <c r="G111" s="4" t="s">
        <v>22</v>
      </c>
    </row>
    <row r="112" spans="2:7" ht="15.75" customHeight="1">
      <c r="B112" s="6">
        <f t="shared" si="7"/>
        <v>46129</v>
      </c>
      <c r="C112" s="4" t="s">
        <v>20</v>
      </c>
      <c r="D112" s="4" t="s">
        <v>12</v>
      </c>
      <c r="E112" s="4" t="s">
        <v>1562</v>
      </c>
      <c r="F112" s="4" t="s">
        <v>237</v>
      </c>
      <c r="G112" s="4" t="s">
        <v>25</v>
      </c>
    </row>
    <row r="113" spans="2:7" ht="15.75" customHeight="1">
      <c r="B113" s="6">
        <f t="shared" si="7"/>
        <v>46129</v>
      </c>
      <c r="C113" s="4" t="s">
        <v>20</v>
      </c>
      <c r="D113" s="4" t="s">
        <v>35</v>
      </c>
      <c r="E113" s="4" t="s">
        <v>1562</v>
      </c>
      <c r="F113" s="4" t="s">
        <v>238</v>
      </c>
      <c r="G113" s="4" t="s">
        <v>61</v>
      </c>
    </row>
    <row r="114" spans="2:7" ht="15.75" customHeight="1">
      <c r="B114" s="6">
        <f t="shared" si="7"/>
        <v>46129</v>
      </c>
      <c r="C114" s="4" t="s">
        <v>20</v>
      </c>
      <c r="D114" s="4" t="s">
        <v>9</v>
      </c>
      <c r="E114" s="4" t="s">
        <v>1561</v>
      </c>
      <c r="F114" s="4" t="s">
        <v>239</v>
      </c>
      <c r="G114" s="4" t="s">
        <v>22</v>
      </c>
    </row>
    <row r="115" spans="2:7" ht="15.75" customHeight="1">
      <c r="B115" s="3">
        <v>46130</v>
      </c>
      <c r="C115" s="7" t="s">
        <v>240</v>
      </c>
      <c r="D115" s="7" t="s">
        <v>241</v>
      </c>
      <c r="E115" s="4" t="s">
        <v>1562</v>
      </c>
      <c r="F115" s="7" t="s">
        <v>242</v>
      </c>
      <c r="G115" s="7" t="s">
        <v>22</v>
      </c>
    </row>
    <row r="116" spans="2:7" ht="15.75" customHeight="1">
      <c r="B116" s="6">
        <f>B115</f>
        <v>46130</v>
      </c>
      <c r="C116" s="4" t="s">
        <v>20</v>
      </c>
      <c r="D116" s="4" t="s">
        <v>33</v>
      </c>
      <c r="E116" s="4" t="s">
        <v>1562</v>
      </c>
      <c r="F116" s="4" t="s">
        <v>237</v>
      </c>
      <c r="G116" s="4" t="s">
        <v>25</v>
      </c>
    </row>
    <row r="117" spans="2:7" ht="15.75" customHeight="1">
      <c r="B117" s="6">
        <f>B116</f>
        <v>46130</v>
      </c>
      <c r="C117" s="4" t="s">
        <v>26</v>
      </c>
      <c r="D117" s="4" t="s">
        <v>33</v>
      </c>
      <c r="E117" s="4" t="s">
        <v>1562</v>
      </c>
      <c r="F117" s="4" t="s">
        <v>243</v>
      </c>
      <c r="G117" s="4" t="s">
        <v>22</v>
      </c>
    </row>
    <row r="118" spans="2:7" ht="15.75" customHeight="1">
      <c r="B118" s="6">
        <f>B117</f>
        <v>46130</v>
      </c>
      <c r="C118" s="4" t="s">
        <v>26</v>
      </c>
      <c r="D118" s="4" t="s">
        <v>244</v>
      </c>
      <c r="E118" s="4" t="s">
        <v>1562</v>
      </c>
      <c r="F118" s="4" t="s">
        <v>245</v>
      </c>
      <c r="G118" s="4" t="s">
        <v>22</v>
      </c>
    </row>
    <row r="119" spans="2:7" ht="15.75" customHeight="1">
      <c r="B119" s="3">
        <v>46131</v>
      </c>
      <c r="C119" s="7" t="s">
        <v>246</v>
      </c>
      <c r="D119" s="7" t="s">
        <v>247</v>
      </c>
      <c r="E119" s="4" t="s">
        <v>1561</v>
      </c>
      <c r="F119" s="7" t="s">
        <v>248</v>
      </c>
      <c r="G119" s="7" t="s">
        <v>42</v>
      </c>
    </row>
    <row r="120" spans="2:7" ht="15.75" customHeight="1">
      <c r="B120" s="6">
        <f t="shared" ref="B120:B129" si="8">B119</f>
        <v>46131</v>
      </c>
      <c r="C120" s="4" t="s">
        <v>249</v>
      </c>
      <c r="D120" s="4" t="s">
        <v>16</v>
      </c>
      <c r="E120" s="4" t="s">
        <v>1562</v>
      </c>
      <c r="F120" s="4" t="s">
        <v>250</v>
      </c>
      <c r="G120" s="4" t="s">
        <v>22</v>
      </c>
    </row>
    <row r="121" spans="2:7" ht="15.75" customHeight="1">
      <c r="B121" s="6">
        <f t="shared" si="8"/>
        <v>46131</v>
      </c>
      <c r="C121" s="4" t="s">
        <v>251</v>
      </c>
      <c r="D121" s="4" t="s">
        <v>252</v>
      </c>
      <c r="E121" s="4" t="s">
        <v>1562</v>
      </c>
      <c r="F121" s="4" t="s">
        <v>253</v>
      </c>
      <c r="G121" s="4" t="s">
        <v>32</v>
      </c>
    </row>
    <row r="122" spans="2:7" ht="15.75" customHeight="1">
      <c r="B122" s="6">
        <f t="shared" si="8"/>
        <v>46131</v>
      </c>
      <c r="C122" s="4" t="s">
        <v>249</v>
      </c>
      <c r="D122" s="4" t="s">
        <v>23</v>
      </c>
      <c r="E122" s="4" t="s">
        <v>1562</v>
      </c>
      <c r="F122" s="4" t="s">
        <v>254</v>
      </c>
      <c r="G122" s="4" t="s">
        <v>42</v>
      </c>
    </row>
    <row r="123" spans="2:7" ht="15.75" customHeight="1">
      <c r="B123" s="6">
        <f t="shared" si="8"/>
        <v>46131</v>
      </c>
      <c r="C123" s="4" t="s">
        <v>167</v>
      </c>
      <c r="D123" s="4" t="s">
        <v>72</v>
      </c>
      <c r="E123" s="4" t="s">
        <v>1562</v>
      </c>
      <c r="F123" s="4" t="s">
        <v>255</v>
      </c>
      <c r="G123" s="4" t="s">
        <v>22</v>
      </c>
    </row>
    <row r="124" spans="2:7" ht="15.75" customHeight="1">
      <c r="B124" s="6">
        <f t="shared" si="8"/>
        <v>46131</v>
      </c>
      <c r="C124" s="4" t="s">
        <v>249</v>
      </c>
      <c r="D124" s="4" t="s">
        <v>33</v>
      </c>
      <c r="E124" s="4" t="s">
        <v>1562</v>
      </c>
      <c r="F124" s="4" t="s">
        <v>256</v>
      </c>
      <c r="G124" s="4" t="s">
        <v>42</v>
      </c>
    </row>
    <row r="125" spans="2:7" ht="15.75" customHeight="1">
      <c r="B125" s="6">
        <f t="shared" si="8"/>
        <v>46131</v>
      </c>
      <c r="C125" s="4" t="s">
        <v>26</v>
      </c>
      <c r="D125" s="4" t="s">
        <v>33</v>
      </c>
      <c r="E125" s="4" t="s">
        <v>1562</v>
      </c>
      <c r="F125" s="4" t="s">
        <v>28</v>
      </c>
      <c r="G125" s="4" t="s">
        <v>22</v>
      </c>
    </row>
    <row r="126" spans="2:7" ht="15.75" customHeight="1">
      <c r="B126" s="6">
        <f t="shared" si="8"/>
        <v>46131</v>
      </c>
      <c r="C126" s="4" t="s">
        <v>20</v>
      </c>
      <c r="D126" s="4" t="s">
        <v>33</v>
      </c>
      <c r="E126" s="4" t="s">
        <v>1562</v>
      </c>
      <c r="F126" s="4" t="s">
        <v>257</v>
      </c>
      <c r="G126" s="4" t="s">
        <v>42</v>
      </c>
    </row>
    <row r="127" spans="2:7" ht="15.75" customHeight="1">
      <c r="B127" s="6">
        <f t="shared" si="8"/>
        <v>46131</v>
      </c>
      <c r="C127" s="4" t="s">
        <v>251</v>
      </c>
      <c r="D127" s="4" t="s">
        <v>35</v>
      </c>
      <c r="E127" s="4" t="s">
        <v>1562</v>
      </c>
      <c r="F127" s="4" t="s">
        <v>258</v>
      </c>
      <c r="G127" s="4" t="s">
        <v>61</v>
      </c>
    </row>
    <row r="128" spans="2:7" ht="15.75" customHeight="1">
      <c r="B128" s="6">
        <f t="shared" si="8"/>
        <v>46131</v>
      </c>
      <c r="C128" s="4" t="s">
        <v>251</v>
      </c>
      <c r="D128" s="4" t="s">
        <v>35</v>
      </c>
      <c r="E128" s="4" t="s">
        <v>1562</v>
      </c>
      <c r="F128" s="4" t="s">
        <v>259</v>
      </c>
      <c r="G128" s="4" t="s">
        <v>32</v>
      </c>
    </row>
    <row r="129" spans="2:7" ht="15.75" customHeight="1">
      <c r="B129" s="6">
        <f t="shared" si="8"/>
        <v>46131</v>
      </c>
      <c r="C129" s="4" t="s">
        <v>20</v>
      </c>
      <c r="D129" s="4" t="s">
        <v>94</v>
      </c>
      <c r="E129" s="4" t="s">
        <v>1562</v>
      </c>
      <c r="F129" s="4" t="s">
        <v>260</v>
      </c>
      <c r="G129" s="4" t="s">
        <v>42</v>
      </c>
    </row>
    <row r="130" spans="2:7" ht="15.75" customHeight="1">
      <c r="B130" s="3">
        <v>46132</v>
      </c>
      <c r="C130" s="4" t="s">
        <v>154</v>
      </c>
      <c r="D130" s="4" t="s">
        <v>261</v>
      </c>
      <c r="E130" s="4" t="s">
        <v>1562</v>
      </c>
      <c r="F130" s="4" t="s">
        <v>262</v>
      </c>
      <c r="G130" s="4" t="s">
        <v>22</v>
      </c>
    </row>
    <row r="131" spans="2:7" ht="15.75" customHeight="1">
      <c r="B131" s="6">
        <f t="shared" ref="B131:B141" si="9">B130</f>
        <v>46132</v>
      </c>
      <c r="C131" s="4" t="s">
        <v>154</v>
      </c>
      <c r="D131" s="4" t="s">
        <v>263</v>
      </c>
      <c r="E131" s="4" t="s">
        <v>1562</v>
      </c>
      <c r="F131" s="4" t="s">
        <v>264</v>
      </c>
      <c r="G131" s="4" t="s">
        <v>22</v>
      </c>
    </row>
    <row r="132" spans="2:7" ht="15.75" customHeight="1">
      <c r="B132" s="6">
        <f t="shared" si="9"/>
        <v>46132</v>
      </c>
      <c r="C132" s="4" t="s">
        <v>154</v>
      </c>
      <c r="D132" s="4" t="s">
        <v>261</v>
      </c>
      <c r="E132" s="4" t="s">
        <v>1562</v>
      </c>
      <c r="F132" s="4" t="s">
        <v>265</v>
      </c>
      <c r="G132" s="4" t="s">
        <v>266</v>
      </c>
    </row>
    <row r="133" spans="2:7" ht="15.75" customHeight="1">
      <c r="B133" s="6">
        <f t="shared" si="9"/>
        <v>46132</v>
      </c>
      <c r="C133" s="4" t="s">
        <v>154</v>
      </c>
      <c r="D133" s="4" t="s">
        <v>267</v>
      </c>
      <c r="E133" s="4" t="s">
        <v>1562</v>
      </c>
      <c r="F133" s="4" t="s">
        <v>268</v>
      </c>
      <c r="G133" s="4" t="s">
        <v>22</v>
      </c>
    </row>
    <row r="134" spans="2:7" ht="15.75" customHeight="1">
      <c r="B134" s="6">
        <f t="shared" si="9"/>
        <v>46132</v>
      </c>
      <c r="C134" s="4" t="s">
        <v>154</v>
      </c>
      <c r="D134" s="4" t="s">
        <v>269</v>
      </c>
      <c r="E134" s="4" t="s">
        <v>1562</v>
      </c>
      <c r="F134" s="4" t="s">
        <v>270</v>
      </c>
      <c r="G134" s="4" t="s">
        <v>271</v>
      </c>
    </row>
    <row r="135" spans="2:7" ht="15.75" customHeight="1">
      <c r="B135" s="6">
        <f t="shared" si="9"/>
        <v>46132</v>
      </c>
      <c r="C135" s="4" t="s">
        <v>272</v>
      </c>
      <c r="D135" s="4" t="s">
        <v>107</v>
      </c>
      <c r="E135" s="4" t="s">
        <v>1562</v>
      </c>
      <c r="F135" s="4" t="s">
        <v>273</v>
      </c>
      <c r="G135" s="4" t="s">
        <v>61</v>
      </c>
    </row>
    <row r="136" spans="2:7" ht="15.75" customHeight="1">
      <c r="B136" s="6">
        <f t="shared" si="9"/>
        <v>46132</v>
      </c>
      <c r="C136" s="4" t="s">
        <v>154</v>
      </c>
      <c r="D136" s="4" t="s">
        <v>274</v>
      </c>
      <c r="E136" s="4" t="s">
        <v>1562</v>
      </c>
      <c r="F136" s="4" t="s">
        <v>275</v>
      </c>
      <c r="G136" s="4" t="s">
        <v>61</v>
      </c>
    </row>
    <row r="137" spans="2:7" ht="15.75" customHeight="1">
      <c r="B137" s="6">
        <f t="shared" si="9"/>
        <v>46132</v>
      </c>
      <c r="C137" s="4" t="s">
        <v>154</v>
      </c>
      <c r="D137" s="4" t="s">
        <v>276</v>
      </c>
      <c r="E137" s="4" t="s">
        <v>1562</v>
      </c>
      <c r="F137" s="4" t="s">
        <v>277</v>
      </c>
      <c r="G137" s="4" t="s">
        <v>61</v>
      </c>
    </row>
    <row r="138" spans="2:7" ht="15.75" customHeight="1">
      <c r="B138" s="6">
        <f t="shared" si="9"/>
        <v>46132</v>
      </c>
      <c r="C138" s="4" t="s">
        <v>154</v>
      </c>
      <c r="D138" s="4" t="s">
        <v>33</v>
      </c>
      <c r="E138" s="4" t="s">
        <v>1562</v>
      </c>
      <c r="F138" s="8"/>
      <c r="G138" s="11"/>
    </row>
    <row r="139" spans="2:7" ht="15.75" customHeight="1">
      <c r="B139" s="6">
        <f t="shared" si="9"/>
        <v>46132</v>
      </c>
      <c r="C139" s="4" t="s">
        <v>278</v>
      </c>
      <c r="D139" s="4" t="s">
        <v>67</v>
      </c>
      <c r="E139" s="4" t="s">
        <v>1561</v>
      </c>
      <c r="F139" s="4" t="s">
        <v>279</v>
      </c>
      <c r="G139" s="4" t="s">
        <v>25</v>
      </c>
    </row>
    <row r="140" spans="2:7" ht="15.75" customHeight="1">
      <c r="B140" s="6">
        <f t="shared" si="9"/>
        <v>46132</v>
      </c>
      <c r="C140" s="4" t="s">
        <v>280</v>
      </c>
      <c r="D140" s="4" t="s">
        <v>9</v>
      </c>
      <c r="E140" s="4" t="s">
        <v>1561</v>
      </c>
      <c r="F140" s="4" t="s">
        <v>281</v>
      </c>
      <c r="G140" s="11"/>
    </row>
    <row r="141" spans="2:7" ht="15.75" customHeight="1">
      <c r="B141" s="6">
        <f t="shared" si="9"/>
        <v>46132</v>
      </c>
      <c r="C141" s="4" t="s">
        <v>282</v>
      </c>
      <c r="D141" s="4" t="s">
        <v>283</v>
      </c>
      <c r="E141" s="4" t="s">
        <v>1561</v>
      </c>
      <c r="F141" s="4" t="s">
        <v>284</v>
      </c>
      <c r="G141" s="4" t="s">
        <v>285</v>
      </c>
    </row>
    <row r="142" spans="2:7" ht="15.75" customHeight="1">
      <c r="B142" s="15">
        <v>46133</v>
      </c>
      <c r="C142" s="4" t="s">
        <v>286</v>
      </c>
      <c r="D142" s="14" t="s">
        <v>85</v>
      </c>
      <c r="E142" s="4" t="s">
        <v>1562</v>
      </c>
      <c r="F142" s="4" t="s">
        <v>287</v>
      </c>
      <c r="G142" s="4" t="s">
        <v>74</v>
      </c>
    </row>
    <row r="143" spans="2:7" ht="15.75" customHeight="1">
      <c r="B143" s="6">
        <f t="shared" ref="B143:B148" si="10">B142</f>
        <v>46133</v>
      </c>
      <c r="C143" s="4" t="s">
        <v>286</v>
      </c>
      <c r="D143" s="4" t="s">
        <v>288</v>
      </c>
      <c r="E143" s="4" t="s">
        <v>1562</v>
      </c>
      <c r="F143" s="4" t="s">
        <v>289</v>
      </c>
      <c r="G143" s="4" t="s">
        <v>74</v>
      </c>
    </row>
    <row r="144" spans="2:7" ht="15.75" customHeight="1">
      <c r="B144" s="6">
        <f t="shared" si="10"/>
        <v>46133</v>
      </c>
      <c r="C144" s="4" t="s">
        <v>26</v>
      </c>
      <c r="D144" s="4" t="s">
        <v>12</v>
      </c>
      <c r="E144" s="4" t="s">
        <v>1562</v>
      </c>
      <c r="F144" s="4" t="s">
        <v>290</v>
      </c>
      <c r="G144" s="4" t="s">
        <v>22</v>
      </c>
    </row>
    <row r="145" spans="2:7" ht="15.75" customHeight="1">
      <c r="B145" s="6">
        <f t="shared" si="10"/>
        <v>46133</v>
      </c>
      <c r="C145" s="4" t="s">
        <v>26</v>
      </c>
      <c r="D145" s="4" t="s">
        <v>204</v>
      </c>
      <c r="E145" s="4" t="s">
        <v>1562</v>
      </c>
      <c r="F145" s="4" t="s">
        <v>291</v>
      </c>
      <c r="G145" s="4" t="s">
        <v>22</v>
      </c>
    </row>
    <row r="146" spans="2:7" ht="15.75" customHeight="1">
      <c r="B146" s="6">
        <f t="shared" si="10"/>
        <v>46133</v>
      </c>
      <c r="C146" s="4" t="s">
        <v>167</v>
      </c>
      <c r="D146" s="4" t="s">
        <v>85</v>
      </c>
      <c r="E146" s="4" t="s">
        <v>1562</v>
      </c>
      <c r="F146" s="4" t="s">
        <v>292</v>
      </c>
      <c r="G146" s="4" t="s">
        <v>22</v>
      </c>
    </row>
    <row r="147" spans="2:7" ht="15.75" customHeight="1">
      <c r="B147" s="6">
        <f t="shared" si="10"/>
        <v>46133</v>
      </c>
      <c r="C147" s="4" t="s">
        <v>167</v>
      </c>
      <c r="D147" s="4" t="s">
        <v>33</v>
      </c>
      <c r="E147" s="4" t="s">
        <v>1562</v>
      </c>
      <c r="F147" s="4" t="s">
        <v>293</v>
      </c>
      <c r="G147" s="4" t="s">
        <v>22</v>
      </c>
    </row>
    <row r="148" spans="2:7" ht="15.75" customHeight="1">
      <c r="B148" s="6">
        <f t="shared" si="10"/>
        <v>46133</v>
      </c>
      <c r="C148" s="4" t="s">
        <v>167</v>
      </c>
      <c r="D148" s="4" t="s">
        <v>35</v>
      </c>
      <c r="E148" s="4" t="s">
        <v>1562</v>
      </c>
      <c r="F148" s="10" t="s">
        <v>294</v>
      </c>
      <c r="G148" s="4" t="s">
        <v>22</v>
      </c>
    </row>
    <row r="149" spans="2:7" ht="15.75" customHeight="1">
      <c r="B149" s="3">
        <v>46134</v>
      </c>
      <c r="C149" s="7" t="s">
        <v>251</v>
      </c>
      <c r="D149" s="16" t="s">
        <v>6</v>
      </c>
      <c r="E149" s="4" t="s">
        <v>1562</v>
      </c>
      <c r="F149" s="7" t="s">
        <v>295</v>
      </c>
      <c r="G149" s="7" t="s">
        <v>22</v>
      </c>
    </row>
    <row r="150" spans="2:7" ht="15.75" customHeight="1">
      <c r="B150" s="6">
        <f t="shared" ref="B150:B163" si="11">B149</f>
        <v>46134</v>
      </c>
      <c r="C150" s="4" t="s">
        <v>167</v>
      </c>
      <c r="D150" s="4" t="s">
        <v>67</v>
      </c>
      <c r="E150" s="4" t="s">
        <v>1562</v>
      </c>
      <c r="F150" s="4" t="s">
        <v>296</v>
      </c>
      <c r="G150" s="4" t="s">
        <v>297</v>
      </c>
    </row>
    <row r="151" spans="2:7" ht="15.75" customHeight="1">
      <c r="B151" s="6">
        <f t="shared" si="11"/>
        <v>46134</v>
      </c>
      <c r="C151" s="4" t="s">
        <v>251</v>
      </c>
      <c r="D151" s="4" t="s">
        <v>23</v>
      </c>
      <c r="E151" s="4" t="s">
        <v>1562</v>
      </c>
      <c r="F151" s="4" t="s">
        <v>298</v>
      </c>
      <c r="G151" s="4" t="s">
        <v>25</v>
      </c>
    </row>
    <row r="152" spans="2:7" ht="15.75" customHeight="1">
      <c r="B152" s="6">
        <f t="shared" si="11"/>
        <v>46134</v>
      </c>
      <c r="C152" s="4" t="s">
        <v>299</v>
      </c>
      <c r="D152" s="4" t="s">
        <v>300</v>
      </c>
      <c r="E152" s="4" t="s">
        <v>1562</v>
      </c>
      <c r="F152" s="4" t="s">
        <v>301</v>
      </c>
      <c r="G152" s="4" t="s">
        <v>32</v>
      </c>
    </row>
    <row r="153" spans="2:7" ht="15.75" customHeight="1">
      <c r="B153" s="6">
        <f t="shared" si="11"/>
        <v>46134</v>
      </c>
      <c r="C153" s="4" t="s">
        <v>20</v>
      </c>
      <c r="D153" s="4" t="s">
        <v>23</v>
      </c>
      <c r="E153" s="4" t="s">
        <v>1562</v>
      </c>
      <c r="F153" s="4" t="s">
        <v>302</v>
      </c>
      <c r="G153" s="4" t="s">
        <v>25</v>
      </c>
    </row>
    <row r="154" spans="2:7" ht="15.75" customHeight="1">
      <c r="B154" s="6">
        <f t="shared" si="11"/>
        <v>46134</v>
      </c>
      <c r="C154" s="4" t="s">
        <v>20</v>
      </c>
      <c r="D154" s="4" t="s">
        <v>23</v>
      </c>
      <c r="E154" s="4" t="s">
        <v>1562</v>
      </c>
      <c r="F154" s="4" t="s">
        <v>303</v>
      </c>
      <c r="G154" s="4" t="s">
        <v>25</v>
      </c>
    </row>
    <row r="155" spans="2:7" ht="15.75" customHeight="1">
      <c r="B155" s="6">
        <f t="shared" si="11"/>
        <v>46134</v>
      </c>
      <c r="C155" s="4" t="s">
        <v>74</v>
      </c>
      <c r="D155" s="4" t="s">
        <v>27</v>
      </c>
      <c r="E155" s="4" t="s">
        <v>1562</v>
      </c>
      <c r="F155" s="4" t="s">
        <v>304</v>
      </c>
      <c r="G155" s="4" t="s">
        <v>25</v>
      </c>
    </row>
    <row r="156" spans="2:7" ht="15.75" customHeight="1">
      <c r="B156" s="6">
        <f t="shared" si="11"/>
        <v>46134</v>
      </c>
      <c r="C156" s="4" t="s">
        <v>251</v>
      </c>
      <c r="D156" s="4" t="s">
        <v>35</v>
      </c>
      <c r="E156" s="4" t="s">
        <v>1562</v>
      </c>
      <c r="F156" s="4" t="s">
        <v>305</v>
      </c>
      <c r="G156" s="4" t="s">
        <v>22</v>
      </c>
    </row>
    <row r="157" spans="2:7" ht="15.75" customHeight="1">
      <c r="B157" s="6">
        <f t="shared" si="11"/>
        <v>46134</v>
      </c>
      <c r="C157" s="4" t="s">
        <v>74</v>
      </c>
      <c r="D157" s="4" t="s">
        <v>306</v>
      </c>
      <c r="E157" s="4" t="s">
        <v>1562</v>
      </c>
      <c r="F157" s="4" t="s">
        <v>307</v>
      </c>
      <c r="G157" s="4" t="s">
        <v>25</v>
      </c>
    </row>
    <row r="158" spans="2:7" ht="15.75" customHeight="1">
      <c r="B158" s="6">
        <f t="shared" si="11"/>
        <v>46134</v>
      </c>
      <c r="C158" s="4" t="s">
        <v>20</v>
      </c>
      <c r="D158" s="4" t="s">
        <v>308</v>
      </c>
      <c r="E158" s="4" t="s">
        <v>1562</v>
      </c>
      <c r="F158" s="4" t="s">
        <v>309</v>
      </c>
      <c r="G158" s="4" t="s">
        <v>22</v>
      </c>
    </row>
    <row r="159" spans="2:7" ht="15.75" customHeight="1">
      <c r="B159" s="6">
        <f t="shared" si="11"/>
        <v>46134</v>
      </c>
      <c r="C159" s="4" t="s">
        <v>20</v>
      </c>
      <c r="D159" s="4" t="s">
        <v>33</v>
      </c>
      <c r="E159" s="4" t="s">
        <v>1562</v>
      </c>
      <c r="F159" s="4" t="s">
        <v>310</v>
      </c>
      <c r="G159" s="4" t="s">
        <v>25</v>
      </c>
    </row>
    <row r="160" spans="2:7" ht="15.75" customHeight="1">
      <c r="B160" s="6">
        <f t="shared" si="11"/>
        <v>46134</v>
      </c>
      <c r="C160" s="4" t="s">
        <v>20</v>
      </c>
      <c r="D160" s="4" t="s">
        <v>241</v>
      </c>
      <c r="E160" s="4" t="s">
        <v>1562</v>
      </c>
      <c r="F160" s="4" t="s">
        <v>311</v>
      </c>
      <c r="G160" s="4" t="s">
        <v>22</v>
      </c>
    </row>
    <row r="161" spans="2:7" ht="15.75" customHeight="1">
      <c r="B161" s="6">
        <f t="shared" si="11"/>
        <v>46134</v>
      </c>
      <c r="C161" s="4" t="s">
        <v>20</v>
      </c>
      <c r="D161" s="4" t="s">
        <v>85</v>
      </c>
      <c r="E161" s="4" t="s">
        <v>1562</v>
      </c>
      <c r="F161" s="4" t="s">
        <v>312</v>
      </c>
      <c r="G161" s="4" t="s">
        <v>25</v>
      </c>
    </row>
    <row r="162" spans="2:7" ht="15.75" customHeight="1">
      <c r="B162" s="6">
        <f t="shared" si="11"/>
        <v>46134</v>
      </c>
      <c r="C162" s="4" t="s">
        <v>20</v>
      </c>
      <c r="D162" s="4" t="s">
        <v>33</v>
      </c>
      <c r="E162" s="4" t="s">
        <v>1562</v>
      </c>
      <c r="F162" s="4" t="s">
        <v>313</v>
      </c>
      <c r="G162" s="4" t="s">
        <v>25</v>
      </c>
    </row>
    <row r="163" spans="2:7" ht="15.75" customHeight="1">
      <c r="B163" s="6">
        <f t="shared" si="11"/>
        <v>46134</v>
      </c>
      <c r="C163" s="4" t="s">
        <v>20</v>
      </c>
      <c r="D163" s="4" t="s">
        <v>35</v>
      </c>
      <c r="E163" s="4" t="s">
        <v>1562</v>
      </c>
      <c r="F163" s="4" t="s">
        <v>314</v>
      </c>
      <c r="G163" s="4" t="s">
        <v>22</v>
      </c>
    </row>
    <row r="164" spans="2:7" ht="15.75" customHeight="1">
      <c r="B164" s="3">
        <v>46135</v>
      </c>
      <c r="C164" s="7" t="s">
        <v>56</v>
      </c>
      <c r="D164" s="7" t="s">
        <v>261</v>
      </c>
      <c r="E164" s="4" t="s">
        <v>1562</v>
      </c>
      <c r="F164" s="7" t="s">
        <v>315</v>
      </c>
      <c r="G164" s="7" t="s">
        <v>22</v>
      </c>
    </row>
    <row r="165" spans="2:7" ht="15.75" customHeight="1">
      <c r="B165" s="6">
        <f t="shared" ref="B165:B186" si="12">B164</f>
        <v>46135</v>
      </c>
      <c r="C165" s="4" t="s">
        <v>66</v>
      </c>
      <c r="D165" s="7" t="s">
        <v>261</v>
      </c>
      <c r="E165" s="4" t="s">
        <v>1562</v>
      </c>
      <c r="F165" s="4" t="s">
        <v>316</v>
      </c>
      <c r="G165" s="7" t="s">
        <v>22</v>
      </c>
    </row>
    <row r="166" spans="2:7" ht="15.75" customHeight="1">
      <c r="B166" s="6">
        <f t="shared" si="12"/>
        <v>46135</v>
      </c>
      <c r="C166" s="4" t="s">
        <v>66</v>
      </c>
      <c r="D166" s="4" t="s">
        <v>317</v>
      </c>
      <c r="E166" s="4" t="s">
        <v>1562</v>
      </c>
      <c r="F166" s="4" t="s">
        <v>318</v>
      </c>
      <c r="G166" s="7" t="s">
        <v>22</v>
      </c>
    </row>
    <row r="167" spans="2:7" ht="15.75" customHeight="1">
      <c r="B167" s="6">
        <f t="shared" si="12"/>
        <v>46135</v>
      </c>
      <c r="C167" s="7" t="s">
        <v>56</v>
      </c>
      <c r="D167" s="4" t="s">
        <v>261</v>
      </c>
      <c r="E167" s="4" t="s">
        <v>1562</v>
      </c>
      <c r="F167" s="4" t="s">
        <v>319</v>
      </c>
      <c r="G167" s="7" t="s">
        <v>22</v>
      </c>
    </row>
    <row r="168" spans="2:7" ht="15.75" customHeight="1">
      <c r="B168" s="6">
        <f t="shared" si="12"/>
        <v>46135</v>
      </c>
      <c r="C168" s="7" t="s">
        <v>56</v>
      </c>
      <c r="D168" s="4" t="s">
        <v>320</v>
      </c>
      <c r="E168" s="4" t="s">
        <v>1562</v>
      </c>
      <c r="F168" s="7" t="s">
        <v>321</v>
      </c>
      <c r="G168" s="7" t="s">
        <v>22</v>
      </c>
    </row>
    <row r="169" spans="2:7" ht="15.75" customHeight="1">
      <c r="B169" s="6">
        <f t="shared" si="12"/>
        <v>46135</v>
      </c>
      <c r="C169" s="4" t="s">
        <v>66</v>
      </c>
      <c r="D169" s="4" t="s">
        <v>322</v>
      </c>
      <c r="E169" s="4" t="s">
        <v>1562</v>
      </c>
      <c r="F169" s="7" t="s">
        <v>323</v>
      </c>
      <c r="G169" s="7" t="s">
        <v>22</v>
      </c>
    </row>
    <row r="170" spans="2:7" ht="15.75" customHeight="1">
      <c r="B170" s="6">
        <f t="shared" si="12"/>
        <v>46135</v>
      </c>
      <c r="C170" s="4" t="s">
        <v>66</v>
      </c>
      <c r="D170" s="4" t="s">
        <v>107</v>
      </c>
      <c r="E170" s="4" t="s">
        <v>1562</v>
      </c>
      <c r="F170" s="4" t="s">
        <v>324</v>
      </c>
      <c r="G170" s="7" t="s">
        <v>22</v>
      </c>
    </row>
    <row r="171" spans="2:7" ht="15.75" customHeight="1">
      <c r="B171" s="6">
        <f t="shared" si="12"/>
        <v>46135</v>
      </c>
      <c r="C171" s="4" t="s">
        <v>58</v>
      </c>
      <c r="D171" s="4" t="s">
        <v>261</v>
      </c>
      <c r="E171" s="4" t="s">
        <v>1562</v>
      </c>
      <c r="F171" s="4" t="s">
        <v>325</v>
      </c>
      <c r="G171" s="4" t="s">
        <v>61</v>
      </c>
    </row>
    <row r="172" spans="2:7" ht="15.75" customHeight="1">
      <c r="B172" s="6">
        <f t="shared" si="12"/>
        <v>46135</v>
      </c>
      <c r="C172" s="4" t="s">
        <v>58</v>
      </c>
      <c r="D172" s="4" t="s">
        <v>326</v>
      </c>
      <c r="E172" s="4" t="s">
        <v>1562</v>
      </c>
      <c r="F172" s="4" t="s">
        <v>327</v>
      </c>
      <c r="G172" s="4" t="s">
        <v>61</v>
      </c>
    </row>
    <row r="173" spans="2:7" ht="15.75" customHeight="1">
      <c r="B173" s="6">
        <f t="shared" si="12"/>
        <v>46135</v>
      </c>
      <c r="C173" s="4" t="s">
        <v>58</v>
      </c>
      <c r="D173" s="4" t="s">
        <v>322</v>
      </c>
      <c r="E173" s="4" t="s">
        <v>1562</v>
      </c>
      <c r="F173" s="4" t="s">
        <v>328</v>
      </c>
      <c r="G173" s="4" t="s">
        <v>61</v>
      </c>
    </row>
    <row r="174" spans="2:7" ht="15.75" customHeight="1">
      <c r="B174" s="6">
        <f t="shared" si="12"/>
        <v>46135</v>
      </c>
      <c r="C174" s="4" t="s">
        <v>58</v>
      </c>
      <c r="D174" s="4" t="s">
        <v>329</v>
      </c>
      <c r="E174" s="4" t="s">
        <v>1562</v>
      </c>
      <c r="F174" s="4" t="s">
        <v>330</v>
      </c>
      <c r="G174" s="4" t="s">
        <v>61</v>
      </c>
    </row>
    <row r="175" spans="2:7" ht="15.75" customHeight="1">
      <c r="B175" s="6">
        <f t="shared" si="12"/>
        <v>46135</v>
      </c>
      <c r="C175" s="4" t="s">
        <v>58</v>
      </c>
      <c r="D175" s="4" t="s">
        <v>261</v>
      </c>
      <c r="E175" s="4" t="s">
        <v>1562</v>
      </c>
      <c r="F175" s="4" t="s">
        <v>331</v>
      </c>
      <c r="G175" s="4" t="s">
        <v>61</v>
      </c>
    </row>
    <row r="176" spans="2:7" ht="15.75" customHeight="1">
      <c r="B176" s="6">
        <f t="shared" si="12"/>
        <v>46135</v>
      </c>
      <c r="C176" s="4" t="s">
        <v>58</v>
      </c>
      <c r="D176" s="4" t="s">
        <v>329</v>
      </c>
      <c r="E176" s="4" t="s">
        <v>1562</v>
      </c>
      <c r="F176" s="4" t="s">
        <v>332</v>
      </c>
      <c r="G176" s="4" t="s">
        <v>61</v>
      </c>
    </row>
    <row r="177" spans="2:7" ht="15.75" customHeight="1">
      <c r="B177" s="6">
        <f t="shared" si="12"/>
        <v>46135</v>
      </c>
      <c r="C177" s="4" t="s">
        <v>58</v>
      </c>
      <c r="D177" s="4" t="s">
        <v>329</v>
      </c>
      <c r="E177" s="4" t="s">
        <v>1562</v>
      </c>
      <c r="F177" s="4" t="s">
        <v>333</v>
      </c>
      <c r="G177" s="4" t="s">
        <v>61</v>
      </c>
    </row>
    <row r="178" spans="2:7" ht="15.75" customHeight="1">
      <c r="B178" s="6">
        <f t="shared" si="12"/>
        <v>46135</v>
      </c>
      <c r="C178" s="4" t="s">
        <v>58</v>
      </c>
      <c r="D178" s="4" t="s">
        <v>261</v>
      </c>
      <c r="E178" s="4" t="s">
        <v>1562</v>
      </c>
      <c r="F178" s="4" t="s">
        <v>334</v>
      </c>
      <c r="G178" s="4" t="s">
        <v>61</v>
      </c>
    </row>
    <row r="179" spans="2:7" ht="15.75" customHeight="1">
      <c r="B179" s="6">
        <f t="shared" si="12"/>
        <v>46135</v>
      </c>
      <c r="C179" s="4" t="s">
        <v>58</v>
      </c>
      <c r="D179" s="4" t="s">
        <v>107</v>
      </c>
      <c r="E179" s="4" t="s">
        <v>1562</v>
      </c>
      <c r="F179" s="4" t="s">
        <v>335</v>
      </c>
      <c r="G179" s="4" t="s">
        <v>61</v>
      </c>
    </row>
    <row r="180" spans="2:7" ht="15.75" customHeight="1">
      <c r="B180" s="6">
        <f t="shared" si="12"/>
        <v>46135</v>
      </c>
      <c r="C180" s="4" t="s">
        <v>58</v>
      </c>
      <c r="D180" s="4" t="s">
        <v>329</v>
      </c>
      <c r="E180" s="4" t="s">
        <v>1562</v>
      </c>
      <c r="F180" s="4" t="s">
        <v>336</v>
      </c>
      <c r="G180" s="4" t="s">
        <v>61</v>
      </c>
    </row>
    <row r="181" spans="2:7" ht="15.75" customHeight="1">
      <c r="B181" s="6">
        <f t="shared" si="12"/>
        <v>46135</v>
      </c>
      <c r="C181" s="4" t="s">
        <v>58</v>
      </c>
      <c r="D181" s="4" t="s">
        <v>322</v>
      </c>
      <c r="E181" s="4" t="s">
        <v>1562</v>
      </c>
      <c r="F181" s="4" t="s">
        <v>337</v>
      </c>
      <c r="G181" s="4" t="s">
        <v>22</v>
      </c>
    </row>
    <row r="182" spans="2:7" ht="15.75" customHeight="1">
      <c r="B182" s="6">
        <f t="shared" si="12"/>
        <v>46135</v>
      </c>
      <c r="C182" s="4" t="s">
        <v>58</v>
      </c>
      <c r="D182" s="4" t="s">
        <v>322</v>
      </c>
      <c r="E182" s="4" t="s">
        <v>1562</v>
      </c>
      <c r="F182" s="4" t="s">
        <v>338</v>
      </c>
      <c r="G182" s="7" t="s">
        <v>22</v>
      </c>
    </row>
    <row r="183" spans="2:7" ht="15.75" customHeight="1">
      <c r="B183" s="6">
        <f t="shared" si="12"/>
        <v>46135</v>
      </c>
      <c r="C183" s="4" t="s">
        <v>58</v>
      </c>
      <c r="D183" s="4" t="s">
        <v>326</v>
      </c>
      <c r="E183" s="4" t="s">
        <v>1562</v>
      </c>
      <c r="F183" s="4" t="s">
        <v>339</v>
      </c>
      <c r="G183" s="4" t="s">
        <v>61</v>
      </c>
    </row>
    <row r="184" spans="2:7" ht="15.75" customHeight="1">
      <c r="B184" s="6">
        <f t="shared" si="12"/>
        <v>46135</v>
      </c>
      <c r="C184" s="4" t="s">
        <v>58</v>
      </c>
      <c r="D184" s="4" t="s">
        <v>261</v>
      </c>
      <c r="E184" s="4" t="s">
        <v>1562</v>
      </c>
      <c r="F184" s="4" t="s">
        <v>340</v>
      </c>
      <c r="G184" s="4" t="s">
        <v>61</v>
      </c>
    </row>
    <row r="185" spans="2:7" ht="15.75" customHeight="1">
      <c r="B185" s="6">
        <f t="shared" si="12"/>
        <v>46135</v>
      </c>
      <c r="C185" s="4" t="s">
        <v>58</v>
      </c>
      <c r="D185" s="4" t="s">
        <v>329</v>
      </c>
      <c r="E185" s="4" t="s">
        <v>1562</v>
      </c>
      <c r="F185" s="4" t="s">
        <v>341</v>
      </c>
      <c r="G185" s="4" t="s">
        <v>61</v>
      </c>
    </row>
    <row r="186" spans="2:7" ht="15.75" customHeight="1">
      <c r="B186" s="6">
        <f t="shared" si="12"/>
        <v>46135</v>
      </c>
      <c r="C186" s="4" t="s">
        <v>74</v>
      </c>
      <c r="D186" s="4" t="s">
        <v>33</v>
      </c>
      <c r="E186" s="4" t="s">
        <v>1562</v>
      </c>
      <c r="F186" s="4" t="s">
        <v>342</v>
      </c>
      <c r="G186" s="4" t="s">
        <v>74</v>
      </c>
    </row>
    <row r="187" spans="2:7" ht="15.75" customHeight="1">
      <c r="B187" s="3">
        <v>46136</v>
      </c>
      <c r="C187" s="7" t="s">
        <v>286</v>
      </c>
      <c r="D187" s="7" t="s">
        <v>343</v>
      </c>
      <c r="E187" s="4" t="s">
        <v>1562</v>
      </c>
      <c r="F187" s="7" t="s">
        <v>344</v>
      </c>
      <c r="G187" s="7" t="s">
        <v>14</v>
      </c>
    </row>
    <row r="188" spans="2:7" ht="15.75" customHeight="1">
      <c r="B188" s="6">
        <f t="shared" ref="B188:B194" si="13">B187</f>
        <v>46136</v>
      </c>
      <c r="C188" s="7" t="s">
        <v>286</v>
      </c>
      <c r="D188" s="4" t="s">
        <v>94</v>
      </c>
      <c r="E188" s="4" t="s">
        <v>1562</v>
      </c>
      <c r="F188" s="4" t="s">
        <v>345</v>
      </c>
      <c r="G188" s="4" t="s">
        <v>74</v>
      </c>
    </row>
    <row r="189" spans="2:7" ht="15.75" customHeight="1">
      <c r="B189" s="6">
        <f t="shared" si="13"/>
        <v>46136</v>
      </c>
      <c r="C189" s="4" t="s">
        <v>167</v>
      </c>
      <c r="D189" s="4" t="s">
        <v>23</v>
      </c>
      <c r="E189" s="4" t="s">
        <v>1562</v>
      </c>
      <c r="F189" s="4" t="s">
        <v>346</v>
      </c>
      <c r="G189" s="4" t="s">
        <v>14</v>
      </c>
    </row>
    <row r="190" spans="2:7" ht="15.75" customHeight="1">
      <c r="B190" s="6">
        <f t="shared" si="13"/>
        <v>46136</v>
      </c>
      <c r="C190" s="4" t="s">
        <v>167</v>
      </c>
      <c r="D190" s="4" t="s">
        <v>35</v>
      </c>
      <c r="E190" s="4" t="s">
        <v>1562</v>
      </c>
      <c r="F190" s="4" t="s">
        <v>347</v>
      </c>
      <c r="G190" s="4" t="s">
        <v>14</v>
      </c>
    </row>
    <row r="191" spans="2:7" ht="15.75" customHeight="1">
      <c r="B191" s="6">
        <f t="shared" si="13"/>
        <v>46136</v>
      </c>
      <c r="C191" s="7" t="s">
        <v>286</v>
      </c>
      <c r="D191" s="4" t="s">
        <v>343</v>
      </c>
      <c r="E191" s="4" t="s">
        <v>1562</v>
      </c>
      <c r="F191" s="10" t="s">
        <v>348</v>
      </c>
      <c r="G191" s="4" t="s">
        <v>14</v>
      </c>
    </row>
    <row r="192" spans="2:7" ht="15.75" customHeight="1">
      <c r="B192" s="6">
        <f t="shared" si="13"/>
        <v>46136</v>
      </c>
      <c r="C192" s="7" t="s">
        <v>286</v>
      </c>
      <c r="D192" s="4" t="s">
        <v>85</v>
      </c>
      <c r="E192" s="4" t="s">
        <v>1562</v>
      </c>
      <c r="F192" s="10" t="s">
        <v>349</v>
      </c>
      <c r="G192" s="4" t="s">
        <v>14</v>
      </c>
    </row>
    <row r="193" spans="2:7" ht="15.75" customHeight="1">
      <c r="B193" s="6">
        <f t="shared" si="13"/>
        <v>46136</v>
      </c>
      <c r="C193" s="4" t="s">
        <v>167</v>
      </c>
      <c r="D193" s="4" t="s">
        <v>16</v>
      </c>
      <c r="E193" s="4" t="s">
        <v>1562</v>
      </c>
      <c r="F193" s="10" t="s">
        <v>350</v>
      </c>
      <c r="G193" s="4" t="s">
        <v>14</v>
      </c>
    </row>
    <row r="194" spans="2:7" ht="15.75" customHeight="1">
      <c r="B194" s="6">
        <f t="shared" si="13"/>
        <v>46136</v>
      </c>
      <c r="C194" s="10" t="s">
        <v>351</v>
      </c>
      <c r="D194" s="4" t="s">
        <v>33</v>
      </c>
      <c r="E194" s="4" t="s">
        <v>1561</v>
      </c>
      <c r="F194" s="4" t="s">
        <v>352</v>
      </c>
      <c r="G194" s="11"/>
    </row>
    <row r="195" spans="2:7" ht="15.75" customHeight="1">
      <c r="B195" s="3">
        <v>46137</v>
      </c>
      <c r="C195" s="7" t="s">
        <v>167</v>
      </c>
      <c r="D195" s="7" t="s">
        <v>35</v>
      </c>
      <c r="E195" s="4" t="s">
        <v>1562</v>
      </c>
      <c r="F195" s="7" t="s">
        <v>353</v>
      </c>
      <c r="G195" s="7" t="s">
        <v>22</v>
      </c>
    </row>
    <row r="196" spans="2:7" ht="15.75" customHeight="1">
      <c r="B196" s="6">
        <f t="shared" ref="B196:B208" si="14">B195</f>
        <v>46137</v>
      </c>
      <c r="C196" s="4" t="s">
        <v>20</v>
      </c>
      <c r="D196" s="4" t="s">
        <v>343</v>
      </c>
      <c r="E196" s="4" t="s">
        <v>1562</v>
      </c>
      <c r="F196" s="4" t="s">
        <v>354</v>
      </c>
      <c r="G196" s="4" t="s">
        <v>22</v>
      </c>
    </row>
    <row r="197" spans="2:7" ht="15.75" customHeight="1">
      <c r="B197" s="6">
        <f t="shared" si="14"/>
        <v>46137</v>
      </c>
      <c r="C197" s="4" t="s">
        <v>74</v>
      </c>
      <c r="D197" s="4" t="s">
        <v>16</v>
      </c>
      <c r="E197" s="4" t="s">
        <v>1562</v>
      </c>
      <c r="F197" s="4" t="s">
        <v>355</v>
      </c>
      <c r="G197" s="4" t="s">
        <v>25</v>
      </c>
    </row>
    <row r="198" spans="2:7" ht="15.75" customHeight="1">
      <c r="B198" s="6">
        <f t="shared" si="14"/>
        <v>46137</v>
      </c>
      <c r="C198" s="4" t="s">
        <v>20</v>
      </c>
      <c r="D198" s="4" t="s">
        <v>356</v>
      </c>
      <c r="E198" s="4" t="s">
        <v>1562</v>
      </c>
      <c r="F198" s="4" t="s">
        <v>357</v>
      </c>
      <c r="G198" s="4" t="s">
        <v>22</v>
      </c>
    </row>
    <row r="199" spans="2:7" ht="15.75" customHeight="1">
      <c r="B199" s="6">
        <f t="shared" si="14"/>
        <v>46137</v>
      </c>
      <c r="C199" s="7" t="s">
        <v>167</v>
      </c>
      <c r="D199" s="4" t="s">
        <v>204</v>
      </c>
      <c r="E199" s="4" t="s">
        <v>1562</v>
      </c>
      <c r="F199" s="4" t="s">
        <v>358</v>
      </c>
      <c r="G199" s="4" t="s">
        <v>22</v>
      </c>
    </row>
    <row r="200" spans="2:7" ht="15.75" customHeight="1">
      <c r="B200" s="6">
        <f t="shared" si="14"/>
        <v>46137</v>
      </c>
      <c r="C200" s="7" t="s">
        <v>167</v>
      </c>
      <c r="D200" s="4" t="s">
        <v>204</v>
      </c>
      <c r="E200" s="4" t="s">
        <v>1562</v>
      </c>
      <c r="F200" s="4" t="s">
        <v>359</v>
      </c>
      <c r="G200" s="4" t="s">
        <v>32</v>
      </c>
    </row>
    <row r="201" spans="2:7" ht="15.75" customHeight="1">
      <c r="B201" s="6">
        <f t="shared" si="14"/>
        <v>46137</v>
      </c>
      <c r="C201" s="7" t="s">
        <v>20</v>
      </c>
      <c r="D201" s="4" t="s">
        <v>9</v>
      </c>
      <c r="E201" s="4" t="s">
        <v>1562</v>
      </c>
      <c r="F201" s="4" t="s">
        <v>360</v>
      </c>
      <c r="G201" s="4" t="s">
        <v>25</v>
      </c>
    </row>
    <row r="202" spans="2:7" ht="15.75" customHeight="1">
      <c r="B202" s="6">
        <f t="shared" si="14"/>
        <v>46137</v>
      </c>
      <c r="C202" s="4" t="s">
        <v>167</v>
      </c>
      <c r="D202" s="4" t="s">
        <v>33</v>
      </c>
      <c r="E202" s="4" t="s">
        <v>1562</v>
      </c>
      <c r="F202" s="4" t="s">
        <v>361</v>
      </c>
      <c r="G202" s="4" t="s">
        <v>362</v>
      </c>
    </row>
    <row r="203" spans="2:7" ht="15.75" customHeight="1">
      <c r="B203" s="6">
        <f t="shared" si="14"/>
        <v>46137</v>
      </c>
      <c r="C203" s="4" t="s">
        <v>167</v>
      </c>
      <c r="D203" s="4" t="s">
        <v>33</v>
      </c>
      <c r="E203" s="4" t="s">
        <v>1562</v>
      </c>
      <c r="F203" s="4" t="s">
        <v>363</v>
      </c>
      <c r="G203" s="4" t="s">
        <v>22</v>
      </c>
    </row>
    <row r="204" spans="2:7" ht="15.75" customHeight="1">
      <c r="B204" s="6">
        <f t="shared" si="14"/>
        <v>46137</v>
      </c>
      <c r="C204" s="4" t="s">
        <v>167</v>
      </c>
      <c r="D204" s="7" t="s">
        <v>35</v>
      </c>
      <c r="E204" s="4" t="s">
        <v>1562</v>
      </c>
      <c r="F204" s="4" t="s">
        <v>364</v>
      </c>
      <c r="G204" s="4" t="s">
        <v>22</v>
      </c>
    </row>
    <row r="205" spans="2:7" ht="15.75" customHeight="1">
      <c r="B205" s="6">
        <f t="shared" si="14"/>
        <v>46137</v>
      </c>
      <c r="C205" s="7" t="s">
        <v>20</v>
      </c>
      <c r="D205" s="4" t="s">
        <v>365</v>
      </c>
      <c r="E205" s="4" t="s">
        <v>1562</v>
      </c>
      <c r="F205" s="4" t="s">
        <v>366</v>
      </c>
      <c r="G205" s="4" t="s">
        <v>25</v>
      </c>
    </row>
    <row r="206" spans="2:7" ht="15.75" customHeight="1">
      <c r="B206" s="6">
        <f t="shared" si="14"/>
        <v>46137</v>
      </c>
      <c r="C206" s="7" t="s">
        <v>20</v>
      </c>
      <c r="D206" s="4" t="s">
        <v>67</v>
      </c>
      <c r="E206" s="4" t="s">
        <v>1562</v>
      </c>
      <c r="F206" s="4" t="s">
        <v>367</v>
      </c>
      <c r="G206" s="4" t="s">
        <v>25</v>
      </c>
    </row>
    <row r="207" spans="2:7" ht="15.75" customHeight="1">
      <c r="B207" s="6">
        <f t="shared" si="14"/>
        <v>46137</v>
      </c>
      <c r="C207" s="7" t="s">
        <v>20</v>
      </c>
      <c r="D207" s="4" t="s">
        <v>368</v>
      </c>
      <c r="E207" s="4" t="s">
        <v>1562</v>
      </c>
      <c r="F207" s="4" t="s">
        <v>369</v>
      </c>
      <c r="G207" s="4" t="s">
        <v>370</v>
      </c>
    </row>
    <row r="208" spans="2:7" ht="15.75" customHeight="1">
      <c r="B208" s="6">
        <f t="shared" si="14"/>
        <v>46137</v>
      </c>
      <c r="C208" s="4" t="s">
        <v>371</v>
      </c>
      <c r="D208" s="4" t="s">
        <v>372</v>
      </c>
      <c r="E208" s="4" t="s">
        <v>1561</v>
      </c>
      <c r="F208" s="4" t="s">
        <v>373</v>
      </c>
      <c r="G208" s="4" t="s">
        <v>42</v>
      </c>
    </row>
    <row r="209" spans="2:7" ht="15.75" customHeight="1">
      <c r="B209" s="3">
        <v>46138</v>
      </c>
      <c r="C209" s="7" t="s">
        <v>374</v>
      </c>
      <c r="D209" s="7" t="s">
        <v>247</v>
      </c>
      <c r="E209" s="4" t="s">
        <v>1561</v>
      </c>
      <c r="F209" s="7" t="s">
        <v>375</v>
      </c>
      <c r="G209" s="7" t="s">
        <v>42</v>
      </c>
    </row>
    <row r="210" spans="2:7" ht="15.75" customHeight="1">
      <c r="B210" s="6">
        <f t="shared" ref="B210:B227" si="15">B209</f>
        <v>46138</v>
      </c>
      <c r="C210" s="7" t="s">
        <v>26</v>
      </c>
      <c r="D210" s="4" t="s">
        <v>376</v>
      </c>
      <c r="E210" s="4" t="s">
        <v>1561</v>
      </c>
      <c r="F210" s="4" t="s">
        <v>377</v>
      </c>
      <c r="G210" s="4" t="s">
        <v>78</v>
      </c>
    </row>
    <row r="211" spans="2:7" ht="15.75" customHeight="1">
      <c r="B211" s="6">
        <f t="shared" si="15"/>
        <v>46138</v>
      </c>
      <c r="C211" s="4" t="s">
        <v>167</v>
      </c>
      <c r="D211" s="4" t="s">
        <v>72</v>
      </c>
      <c r="E211" s="4" t="s">
        <v>1562</v>
      </c>
      <c r="F211" s="4" t="s">
        <v>378</v>
      </c>
      <c r="G211" s="4" t="s">
        <v>22</v>
      </c>
    </row>
    <row r="212" spans="2:7" ht="15.75" customHeight="1">
      <c r="B212" s="6">
        <f t="shared" si="15"/>
        <v>46138</v>
      </c>
      <c r="C212" s="4" t="s">
        <v>20</v>
      </c>
      <c r="D212" s="4" t="s">
        <v>72</v>
      </c>
      <c r="E212" s="4" t="s">
        <v>1562</v>
      </c>
      <c r="F212" s="4" t="s">
        <v>379</v>
      </c>
      <c r="G212" s="4" t="s">
        <v>42</v>
      </c>
    </row>
    <row r="213" spans="2:7" ht="15.75" customHeight="1">
      <c r="B213" s="6">
        <f t="shared" si="15"/>
        <v>46138</v>
      </c>
      <c r="C213" s="4" t="s">
        <v>20</v>
      </c>
      <c r="D213" s="4" t="s">
        <v>380</v>
      </c>
      <c r="E213" s="4" t="s">
        <v>1562</v>
      </c>
      <c r="F213" s="4" t="s">
        <v>381</v>
      </c>
      <c r="G213" s="4" t="s">
        <v>42</v>
      </c>
    </row>
    <row r="214" spans="2:7" ht="15.75" customHeight="1">
      <c r="B214" s="6">
        <f t="shared" si="15"/>
        <v>46138</v>
      </c>
      <c r="C214" s="4" t="s">
        <v>20</v>
      </c>
      <c r="D214" s="4" t="s">
        <v>204</v>
      </c>
      <c r="E214" s="4" t="s">
        <v>1562</v>
      </c>
      <c r="F214" s="4" t="s">
        <v>382</v>
      </c>
      <c r="G214" s="4" t="s">
        <v>42</v>
      </c>
    </row>
    <row r="215" spans="2:7" ht="15.75" customHeight="1">
      <c r="B215" s="6">
        <f t="shared" si="15"/>
        <v>46138</v>
      </c>
      <c r="C215" s="4" t="s">
        <v>20</v>
      </c>
      <c r="D215" s="4" t="s">
        <v>33</v>
      </c>
      <c r="E215" s="4" t="s">
        <v>1562</v>
      </c>
      <c r="F215" s="4" t="s">
        <v>383</v>
      </c>
      <c r="G215" s="4" t="s">
        <v>42</v>
      </c>
    </row>
    <row r="216" spans="2:7" ht="15.75" customHeight="1">
      <c r="B216" s="6">
        <f t="shared" si="15"/>
        <v>46138</v>
      </c>
      <c r="C216" s="4" t="s">
        <v>20</v>
      </c>
      <c r="D216" s="4" t="s">
        <v>308</v>
      </c>
      <c r="E216" s="4" t="s">
        <v>1562</v>
      </c>
      <c r="F216" s="4" t="s">
        <v>384</v>
      </c>
      <c r="G216" s="4" t="s">
        <v>22</v>
      </c>
    </row>
    <row r="217" spans="2:7" ht="15.75" customHeight="1">
      <c r="B217" s="6">
        <f t="shared" si="15"/>
        <v>46138</v>
      </c>
      <c r="C217" s="4" t="s">
        <v>167</v>
      </c>
      <c r="D217" s="4" t="s">
        <v>385</v>
      </c>
      <c r="E217" s="4" t="s">
        <v>1562</v>
      </c>
      <c r="F217" s="4" t="s">
        <v>386</v>
      </c>
      <c r="G217" s="4" t="s">
        <v>22</v>
      </c>
    </row>
    <row r="218" spans="2:7" ht="15.75" customHeight="1">
      <c r="B218" s="6">
        <f t="shared" si="15"/>
        <v>46138</v>
      </c>
      <c r="C218" s="4" t="s">
        <v>167</v>
      </c>
      <c r="D218" s="4" t="s">
        <v>252</v>
      </c>
      <c r="E218" s="4" t="s">
        <v>1562</v>
      </c>
      <c r="F218" s="4" t="s">
        <v>387</v>
      </c>
      <c r="G218" s="4" t="s">
        <v>22</v>
      </c>
    </row>
    <row r="219" spans="2:7" ht="15.75" customHeight="1">
      <c r="B219" s="6">
        <f t="shared" si="15"/>
        <v>46138</v>
      </c>
      <c r="C219" s="4" t="s">
        <v>167</v>
      </c>
      <c r="D219" s="4" t="s">
        <v>155</v>
      </c>
      <c r="E219" s="4" t="s">
        <v>1562</v>
      </c>
      <c r="F219" s="4" t="s">
        <v>388</v>
      </c>
      <c r="G219" s="4" t="s">
        <v>225</v>
      </c>
    </row>
    <row r="220" spans="2:7" ht="15.75" customHeight="1">
      <c r="B220" s="6">
        <f t="shared" si="15"/>
        <v>46138</v>
      </c>
      <c r="C220" s="4" t="s">
        <v>20</v>
      </c>
      <c r="D220" s="4" t="s">
        <v>343</v>
      </c>
      <c r="E220" s="4" t="s">
        <v>1562</v>
      </c>
      <c r="F220" s="4" t="s">
        <v>389</v>
      </c>
      <c r="G220" s="4" t="s">
        <v>22</v>
      </c>
    </row>
    <row r="221" spans="2:7" ht="15.75" customHeight="1">
      <c r="B221" s="6">
        <f t="shared" si="15"/>
        <v>46138</v>
      </c>
      <c r="C221" s="4" t="s">
        <v>167</v>
      </c>
      <c r="D221" s="4" t="s">
        <v>33</v>
      </c>
      <c r="E221" s="4" t="s">
        <v>1562</v>
      </c>
      <c r="F221" s="4" t="s">
        <v>390</v>
      </c>
      <c r="G221" s="4" t="s">
        <v>22</v>
      </c>
    </row>
    <row r="222" spans="2:7" ht="15.75" customHeight="1">
      <c r="B222" s="6">
        <f t="shared" si="15"/>
        <v>46138</v>
      </c>
      <c r="C222" s="4" t="s">
        <v>249</v>
      </c>
      <c r="D222" s="4" t="s">
        <v>16</v>
      </c>
      <c r="E222" s="4" t="s">
        <v>1562</v>
      </c>
      <c r="F222" s="10" t="s">
        <v>345</v>
      </c>
      <c r="G222" s="4" t="s">
        <v>42</v>
      </c>
    </row>
    <row r="223" spans="2:7" ht="15.75" customHeight="1">
      <c r="B223" s="6">
        <f t="shared" si="15"/>
        <v>46138</v>
      </c>
      <c r="C223" s="4" t="s">
        <v>249</v>
      </c>
      <c r="D223" s="4" t="s">
        <v>85</v>
      </c>
      <c r="E223" s="4" t="s">
        <v>1562</v>
      </c>
      <c r="F223" s="4" t="s">
        <v>391</v>
      </c>
      <c r="G223" s="4" t="s">
        <v>42</v>
      </c>
    </row>
    <row r="224" spans="2:7" ht="15.75" customHeight="1">
      <c r="B224" s="6">
        <f t="shared" si="15"/>
        <v>46138</v>
      </c>
      <c r="C224" s="4" t="s">
        <v>249</v>
      </c>
      <c r="D224" s="4" t="s">
        <v>392</v>
      </c>
      <c r="E224" s="4" t="s">
        <v>1562</v>
      </c>
      <c r="F224" s="4" t="s">
        <v>393</v>
      </c>
      <c r="G224" s="4" t="s">
        <v>42</v>
      </c>
    </row>
    <row r="225" spans="2:7" ht="15.75" customHeight="1">
      <c r="B225" s="6">
        <f t="shared" si="15"/>
        <v>46138</v>
      </c>
      <c r="C225" s="4" t="s">
        <v>26</v>
      </c>
      <c r="D225" s="4" t="s">
        <v>394</v>
      </c>
      <c r="E225" s="4" t="s">
        <v>1562</v>
      </c>
      <c r="F225" s="10" t="s">
        <v>395</v>
      </c>
      <c r="G225" s="4" t="s">
        <v>396</v>
      </c>
    </row>
    <row r="226" spans="2:7" ht="15.75" customHeight="1">
      <c r="B226" s="6">
        <f t="shared" si="15"/>
        <v>46138</v>
      </c>
      <c r="C226" s="4" t="s">
        <v>397</v>
      </c>
      <c r="D226" s="4" t="s">
        <v>398</v>
      </c>
      <c r="E226" s="4" t="s">
        <v>1561</v>
      </c>
      <c r="F226" s="4" t="s">
        <v>399</v>
      </c>
      <c r="G226" s="4" t="s">
        <v>42</v>
      </c>
    </row>
    <row r="227" spans="2:7" ht="15.75" customHeight="1">
      <c r="B227" s="6">
        <f t="shared" si="15"/>
        <v>46138</v>
      </c>
      <c r="C227" s="4" t="s">
        <v>400</v>
      </c>
      <c r="D227" s="4" t="s">
        <v>72</v>
      </c>
      <c r="E227" s="4" t="s">
        <v>1561</v>
      </c>
      <c r="F227" s="4" t="s">
        <v>401</v>
      </c>
      <c r="G227" s="4" t="s">
        <v>42</v>
      </c>
    </row>
    <row r="228" spans="2:7" ht="15.75" customHeight="1">
      <c r="B228" s="3">
        <v>46139</v>
      </c>
      <c r="C228" s="4" t="s">
        <v>402</v>
      </c>
      <c r="D228" s="4" t="s">
        <v>43</v>
      </c>
      <c r="E228" s="4" t="s">
        <v>1561</v>
      </c>
      <c r="F228" s="4" t="s">
        <v>403</v>
      </c>
      <c r="G228" s="7" t="s">
        <v>42</v>
      </c>
    </row>
    <row r="229" spans="2:7" ht="15.75" customHeight="1">
      <c r="B229" s="6">
        <f>B228</f>
        <v>46139</v>
      </c>
      <c r="C229" s="4" t="s">
        <v>404</v>
      </c>
      <c r="D229" s="4" t="s">
        <v>16</v>
      </c>
      <c r="E229" s="4" t="s">
        <v>1562</v>
      </c>
      <c r="F229" s="4" t="s">
        <v>405</v>
      </c>
      <c r="G229" s="7" t="s">
        <v>42</v>
      </c>
    </row>
    <row r="230" spans="2:7" ht="15.75" customHeight="1">
      <c r="B230" s="6">
        <f>B229</f>
        <v>46139</v>
      </c>
      <c r="C230" s="4" t="s">
        <v>406</v>
      </c>
      <c r="D230" s="4" t="s">
        <v>16</v>
      </c>
      <c r="E230" s="4" t="s">
        <v>1562</v>
      </c>
      <c r="F230" s="4" t="s">
        <v>407</v>
      </c>
      <c r="G230" s="4" t="s">
        <v>83</v>
      </c>
    </row>
    <row r="231" spans="2:7" ht="15.75" customHeight="1">
      <c r="B231" s="6">
        <f>B230</f>
        <v>46139</v>
      </c>
      <c r="C231" s="4" t="s">
        <v>408</v>
      </c>
      <c r="D231" s="4" t="s">
        <v>35</v>
      </c>
      <c r="E231" s="4" t="s">
        <v>1562</v>
      </c>
      <c r="F231" s="4" t="s">
        <v>407</v>
      </c>
      <c r="G231" s="4" t="s">
        <v>83</v>
      </c>
    </row>
    <row r="232" spans="2:7" ht="15.75" customHeight="1">
      <c r="B232" s="6">
        <f>B231</f>
        <v>46139</v>
      </c>
      <c r="C232" s="4" t="s">
        <v>147</v>
      </c>
      <c r="D232" s="4" t="s">
        <v>43</v>
      </c>
      <c r="E232" s="4" t="s">
        <v>1561</v>
      </c>
      <c r="F232" s="4" t="s">
        <v>409</v>
      </c>
      <c r="G232" s="4" t="s">
        <v>25</v>
      </c>
    </row>
    <row r="233" spans="2:7" ht="15.75" customHeight="1">
      <c r="B233" s="6">
        <f>B232</f>
        <v>46139</v>
      </c>
      <c r="C233" s="4" t="s">
        <v>410</v>
      </c>
      <c r="D233" s="4" t="s">
        <v>411</v>
      </c>
      <c r="E233" s="4" t="s">
        <v>1561</v>
      </c>
      <c r="F233" s="4" t="s">
        <v>412</v>
      </c>
      <c r="G233" s="4" t="s">
        <v>25</v>
      </c>
    </row>
    <row r="234" spans="2:7" ht="15.75" customHeight="1">
      <c r="B234" s="3">
        <v>46140</v>
      </c>
      <c r="C234" s="7" t="s">
        <v>413</v>
      </c>
      <c r="D234" s="7" t="s">
        <v>51</v>
      </c>
      <c r="E234" s="4" t="s">
        <v>1562</v>
      </c>
      <c r="F234" s="7" t="s">
        <v>414</v>
      </c>
      <c r="G234" s="7" t="s">
        <v>178</v>
      </c>
    </row>
    <row r="235" spans="2:7" ht="15.75" customHeight="1">
      <c r="B235" s="6">
        <f>B234</f>
        <v>46140</v>
      </c>
      <c r="C235" s="4" t="s">
        <v>249</v>
      </c>
      <c r="D235" s="4" t="s">
        <v>29</v>
      </c>
      <c r="E235" s="4" t="s">
        <v>1562</v>
      </c>
      <c r="F235" s="14" t="s">
        <v>415</v>
      </c>
      <c r="G235" s="4" t="s">
        <v>14</v>
      </c>
    </row>
    <row r="236" spans="2:7" ht="15.75" customHeight="1">
      <c r="B236" s="6">
        <f>B235</f>
        <v>46140</v>
      </c>
      <c r="C236" s="4" t="s">
        <v>249</v>
      </c>
      <c r="D236" s="4" t="s">
        <v>144</v>
      </c>
      <c r="E236" s="4" t="s">
        <v>1562</v>
      </c>
      <c r="F236" s="17" t="s">
        <v>416</v>
      </c>
      <c r="G236" s="4" t="s">
        <v>178</v>
      </c>
    </row>
    <row r="237" spans="2:7" ht="15.75" customHeight="1">
      <c r="B237" s="6">
        <f>B236</f>
        <v>46140</v>
      </c>
      <c r="C237" s="4" t="s">
        <v>249</v>
      </c>
      <c r="D237" s="4" t="s">
        <v>35</v>
      </c>
      <c r="E237" s="4" t="s">
        <v>1562</v>
      </c>
      <c r="F237" s="14" t="s">
        <v>417</v>
      </c>
      <c r="G237" s="4" t="s">
        <v>178</v>
      </c>
    </row>
    <row r="238" spans="2:7" ht="15.75" customHeight="1">
      <c r="B238" s="6">
        <f>B237</f>
        <v>46140</v>
      </c>
      <c r="C238" s="8"/>
      <c r="D238" s="8"/>
      <c r="E238" s="4" t="s">
        <v>1562</v>
      </c>
      <c r="F238" s="18"/>
      <c r="G238" s="8"/>
    </row>
    <row r="239" spans="2:7" ht="15.75" customHeight="1">
      <c r="B239" s="3">
        <v>46141</v>
      </c>
      <c r="C239" s="7" t="s">
        <v>20</v>
      </c>
      <c r="D239" s="7" t="s">
        <v>35</v>
      </c>
      <c r="E239" s="4" t="s">
        <v>1562</v>
      </c>
      <c r="F239" s="7" t="s">
        <v>383</v>
      </c>
      <c r="G239" s="7" t="s">
        <v>22</v>
      </c>
    </row>
    <row r="240" spans="2:7" ht="15.75" customHeight="1">
      <c r="B240" s="6">
        <f t="shared" ref="B240:B263" si="16">B239</f>
        <v>46141</v>
      </c>
      <c r="C240" s="4" t="s">
        <v>26</v>
      </c>
      <c r="D240" s="4" t="s">
        <v>85</v>
      </c>
      <c r="E240" s="4" t="s">
        <v>1562</v>
      </c>
      <c r="F240" s="4" t="s">
        <v>418</v>
      </c>
      <c r="G240" s="4" t="s">
        <v>419</v>
      </c>
    </row>
    <row r="241" spans="2:7" ht="15.75" customHeight="1">
      <c r="B241" s="6">
        <f t="shared" si="16"/>
        <v>46141</v>
      </c>
      <c r="C241" s="4" t="s">
        <v>167</v>
      </c>
      <c r="D241" s="4" t="s">
        <v>35</v>
      </c>
      <c r="E241" s="4" t="s">
        <v>1562</v>
      </c>
      <c r="F241" s="4" t="s">
        <v>420</v>
      </c>
      <c r="G241" s="4" t="s">
        <v>22</v>
      </c>
    </row>
    <row r="242" spans="2:7" ht="15.75" customHeight="1">
      <c r="B242" s="6">
        <f t="shared" si="16"/>
        <v>46141</v>
      </c>
      <c r="C242" s="4" t="s">
        <v>167</v>
      </c>
      <c r="D242" s="4" t="s">
        <v>35</v>
      </c>
      <c r="E242" s="4" t="s">
        <v>1562</v>
      </c>
      <c r="F242" s="4" t="s">
        <v>421</v>
      </c>
      <c r="G242" s="4" t="s">
        <v>362</v>
      </c>
    </row>
    <row r="243" spans="2:7" ht="15.75" customHeight="1">
      <c r="B243" s="6">
        <f t="shared" si="16"/>
        <v>46141</v>
      </c>
      <c r="C243" s="4" t="s">
        <v>74</v>
      </c>
      <c r="D243" s="4" t="s">
        <v>365</v>
      </c>
      <c r="E243" s="4" t="s">
        <v>1562</v>
      </c>
      <c r="F243" s="4" t="s">
        <v>422</v>
      </c>
      <c r="G243" s="4" t="s">
        <v>22</v>
      </c>
    </row>
    <row r="244" spans="2:7" ht="15.75" customHeight="1">
      <c r="B244" s="6">
        <f t="shared" si="16"/>
        <v>46141</v>
      </c>
      <c r="C244" s="4" t="s">
        <v>74</v>
      </c>
      <c r="D244" s="4" t="s">
        <v>33</v>
      </c>
      <c r="E244" s="4" t="s">
        <v>1562</v>
      </c>
      <c r="F244" s="4" t="s">
        <v>422</v>
      </c>
      <c r="G244" s="4" t="s">
        <v>22</v>
      </c>
    </row>
    <row r="245" spans="2:7" ht="15.75" customHeight="1">
      <c r="B245" s="6">
        <f t="shared" si="16"/>
        <v>46141</v>
      </c>
      <c r="C245" s="4" t="s">
        <v>74</v>
      </c>
      <c r="D245" s="4" t="s">
        <v>27</v>
      </c>
      <c r="E245" s="4" t="s">
        <v>1562</v>
      </c>
      <c r="F245" s="4" t="s">
        <v>245</v>
      </c>
      <c r="G245" s="4" t="s">
        <v>22</v>
      </c>
    </row>
    <row r="246" spans="2:7" ht="15.75" customHeight="1">
      <c r="B246" s="6">
        <f t="shared" si="16"/>
        <v>46141</v>
      </c>
      <c r="C246" s="4" t="s">
        <v>74</v>
      </c>
      <c r="D246" s="4" t="s">
        <v>423</v>
      </c>
      <c r="E246" s="4" t="s">
        <v>1562</v>
      </c>
      <c r="F246" s="4" t="s">
        <v>424</v>
      </c>
      <c r="G246" s="4" t="s">
        <v>25</v>
      </c>
    </row>
    <row r="247" spans="2:7" ht="15.75" customHeight="1">
      <c r="B247" s="6">
        <f t="shared" si="16"/>
        <v>46141</v>
      </c>
      <c r="C247" s="7" t="s">
        <v>20</v>
      </c>
      <c r="D247" s="4" t="s">
        <v>16</v>
      </c>
      <c r="E247" s="4" t="s">
        <v>1562</v>
      </c>
      <c r="F247" s="4" t="s">
        <v>425</v>
      </c>
      <c r="G247" s="4" t="s">
        <v>25</v>
      </c>
    </row>
    <row r="248" spans="2:7" ht="15.75" customHeight="1">
      <c r="B248" s="6">
        <f t="shared" si="16"/>
        <v>46141</v>
      </c>
      <c r="C248" s="7" t="s">
        <v>20</v>
      </c>
      <c r="D248" s="4" t="s">
        <v>23</v>
      </c>
      <c r="E248" s="4" t="s">
        <v>1562</v>
      </c>
      <c r="F248" s="4" t="s">
        <v>426</v>
      </c>
      <c r="G248" s="4" t="s">
        <v>25</v>
      </c>
    </row>
    <row r="249" spans="2:7" ht="15.75" customHeight="1">
      <c r="B249" s="6">
        <f t="shared" si="16"/>
        <v>46141</v>
      </c>
      <c r="C249" s="4" t="s">
        <v>167</v>
      </c>
      <c r="D249" s="4" t="s">
        <v>33</v>
      </c>
      <c r="E249" s="4" t="s">
        <v>1562</v>
      </c>
      <c r="F249" s="4" t="s">
        <v>427</v>
      </c>
      <c r="G249" s="4" t="s">
        <v>22</v>
      </c>
    </row>
    <row r="250" spans="2:7" ht="15.75" customHeight="1">
      <c r="B250" s="6">
        <f t="shared" si="16"/>
        <v>46141</v>
      </c>
      <c r="C250" s="4" t="s">
        <v>20</v>
      </c>
      <c r="D250" s="4" t="s">
        <v>428</v>
      </c>
      <c r="E250" s="4" t="s">
        <v>1562</v>
      </c>
      <c r="F250" s="4" t="s">
        <v>429</v>
      </c>
      <c r="G250" s="4" t="s">
        <v>25</v>
      </c>
    </row>
    <row r="251" spans="2:7" ht="15.75" customHeight="1">
      <c r="B251" s="6">
        <f t="shared" si="16"/>
        <v>46141</v>
      </c>
      <c r="C251" s="4" t="s">
        <v>167</v>
      </c>
      <c r="D251" s="4" t="s">
        <v>85</v>
      </c>
      <c r="E251" s="4" t="s">
        <v>1562</v>
      </c>
      <c r="F251" s="4" t="s">
        <v>430</v>
      </c>
      <c r="G251" s="4" t="s">
        <v>22</v>
      </c>
    </row>
    <row r="252" spans="2:7" ht="15.75" customHeight="1">
      <c r="B252" s="6">
        <f t="shared" si="16"/>
        <v>46141</v>
      </c>
      <c r="C252" s="4" t="s">
        <v>20</v>
      </c>
      <c r="D252" s="4" t="s">
        <v>85</v>
      </c>
      <c r="E252" s="4" t="s">
        <v>1562</v>
      </c>
      <c r="F252" s="4" t="s">
        <v>431</v>
      </c>
      <c r="G252" s="4" t="s">
        <v>22</v>
      </c>
    </row>
    <row r="253" spans="2:7" ht="15.75" customHeight="1">
      <c r="B253" s="6">
        <f t="shared" si="16"/>
        <v>46141</v>
      </c>
      <c r="C253" s="4" t="s">
        <v>20</v>
      </c>
      <c r="D253" s="4" t="s">
        <v>85</v>
      </c>
      <c r="E253" s="4" t="s">
        <v>1562</v>
      </c>
      <c r="F253" s="4" t="s">
        <v>432</v>
      </c>
      <c r="G253" s="4" t="s">
        <v>25</v>
      </c>
    </row>
    <row r="254" spans="2:7" ht="15.75" customHeight="1">
      <c r="B254" s="6">
        <f t="shared" si="16"/>
        <v>46141</v>
      </c>
      <c r="C254" s="4" t="s">
        <v>167</v>
      </c>
      <c r="D254" s="4" t="s">
        <v>35</v>
      </c>
      <c r="E254" s="4" t="s">
        <v>1562</v>
      </c>
      <c r="F254" s="4" t="s">
        <v>433</v>
      </c>
      <c r="G254" s="4" t="s">
        <v>61</v>
      </c>
    </row>
    <row r="255" spans="2:7" ht="15.75" customHeight="1">
      <c r="B255" s="6">
        <f t="shared" si="16"/>
        <v>46141</v>
      </c>
      <c r="C255" s="4" t="s">
        <v>74</v>
      </c>
      <c r="D255" s="4" t="s">
        <v>158</v>
      </c>
      <c r="E255" s="4" t="s">
        <v>1562</v>
      </c>
      <c r="F255" s="4" t="s">
        <v>434</v>
      </c>
      <c r="G255" s="4" t="s">
        <v>61</v>
      </c>
    </row>
    <row r="256" spans="2:7" ht="15.75" customHeight="1">
      <c r="B256" s="6">
        <f t="shared" si="16"/>
        <v>46141</v>
      </c>
      <c r="C256" s="4" t="s">
        <v>167</v>
      </c>
      <c r="D256" s="4" t="s">
        <v>35</v>
      </c>
      <c r="E256" s="4" t="s">
        <v>1562</v>
      </c>
      <c r="F256" s="4" t="s">
        <v>435</v>
      </c>
      <c r="G256" s="4" t="s">
        <v>61</v>
      </c>
    </row>
    <row r="257" spans="2:7" ht="15.75" customHeight="1">
      <c r="B257" s="6">
        <f t="shared" si="16"/>
        <v>46141</v>
      </c>
      <c r="C257" s="4" t="s">
        <v>167</v>
      </c>
      <c r="D257" s="4" t="s">
        <v>6</v>
      </c>
      <c r="E257" s="4" t="s">
        <v>1562</v>
      </c>
      <c r="F257" s="4" t="s">
        <v>436</v>
      </c>
      <c r="G257" s="4" t="s">
        <v>61</v>
      </c>
    </row>
    <row r="258" spans="2:7" ht="15.75" customHeight="1">
      <c r="B258" s="6">
        <f t="shared" si="16"/>
        <v>46141</v>
      </c>
      <c r="C258" s="4" t="s">
        <v>74</v>
      </c>
      <c r="D258" s="4" t="s">
        <v>35</v>
      </c>
      <c r="E258" s="4" t="s">
        <v>1562</v>
      </c>
      <c r="F258" s="4" t="s">
        <v>437</v>
      </c>
      <c r="G258" s="4" t="s">
        <v>25</v>
      </c>
    </row>
    <row r="259" spans="2:7" ht="15.75" customHeight="1">
      <c r="B259" s="6">
        <f t="shared" si="16"/>
        <v>46141</v>
      </c>
      <c r="C259" s="4" t="s">
        <v>20</v>
      </c>
      <c r="D259" s="4" t="s">
        <v>67</v>
      </c>
      <c r="E259" s="4" t="s">
        <v>1562</v>
      </c>
      <c r="F259" s="4" t="s">
        <v>438</v>
      </c>
      <c r="G259" s="4" t="s">
        <v>25</v>
      </c>
    </row>
    <row r="260" spans="2:7" ht="15.75" customHeight="1">
      <c r="B260" s="6">
        <f t="shared" si="16"/>
        <v>46141</v>
      </c>
      <c r="C260" s="4" t="s">
        <v>439</v>
      </c>
      <c r="D260" s="4" t="s">
        <v>398</v>
      </c>
      <c r="E260" s="4" t="s">
        <v>1561</v>
      </c>
      <c r="F260" s="4" t="s">
        <v>440</v>
      </c>
      <c r="G260" s="4" t="s">
        <v>25</v>
      </c>
    </row>
    <row r="261" spans="2:7" ht="15.75" customHeight="1">
      <c r="B261" s="6">
        <f t="shared" si="16"/>
        <v>46141</v>
      </c>
      <c r="C261" s="4" t="s">
        <v>26</v>
      </c>
      <c r="D261" s="4" t="s">
        <v>43</v>
      </c>
      <c r="E261" s="4" t="s">
        <v>1561</v>
      </c>
      <c r="F261" s="4" t="s">
        <v>441</v>
      </c>
      <c r="G261" s="4" t="s">
        <v>22</v>
      </c>
    </row>
    <row r="262" spans="2:7" ht="15.75" customHeight="1">
      <c r="B262" s="6">
        <f t="shared" si="16"/>
        <v>46141</v>
      </c>
      <c r="C262" s="4" t="s">
        <v>442</v>
      </c>
      <c r="D262" s="4" t="s">
        <v>43</v>
      </c>
      <c r="E262" s="4" t="s">
        <v>1561</v>
      </c>
      <c r="F262" s="4" t="s">
        <v>443</v>
      </c>
      <c r="G262" s="4" t="s">
        <v>42</v>
      </c>
    </row>
    <row r="263" spans="2:7" ht="15.75" customHeight="1">
      <c r="B263" s="6">
        <f t="shared" si="16"/>
        <v>46141</v>
      </c>
      <c r="C263" s="4" t="s">
        <v>444</v>
      </c>
      <c r="D263" s="4" t="s">
        <v>223</v>
      </c>
      <c r="E263" s="4" t="s">
        <v>1561</v>
      </c>
      <c r="F263" s="4" t="s">
        <v>445</v>
      </c>
      <c r="G263" s="4" t="s">
        <v>42</v>
      </c>
    </row>
    <row r="264" spans="2:7" ht="15.75" customHeight="1">
      <c r="B264" s="3">
        <v>46142</v>
      </c>
      <c r="C264" s="7" t="s">
        <v>446</v>
      </c>
      <c r="D264" s="7" t="s">
        <v>447</v>
      </c>
      <c r="E264" s="4" t="s">
        <v>1561</v>
      </c>
      <c r="F264" s="7" t="s">
        <v>448</v>
      </c>
      <c r="G264" s="7" t="s">
        <v>25</v>
      </c>
    </row>
    <row r="265" spans="2:7" ht="15.75" customHeight="1">
      <c r="B265" s="6">
        <f t="shared" ref="B265:B278" si="17">B264</f>
        <v>46142</v>
      </c>
      <c r="C265" s="4" t="s">
        <v>449</v>
      </c>
      <c r="D265" s="4" t="s">
        <v>450</v>
      </c>
      <c r="E265" s="4" t="s">
        <v>1561</v>
      </c>
      <c r="F265" s="4" t="s">
        <v>451</v>
      </c>
      <c r="G265" s="4" t="s">
        <v>25</v>
      </c>
    </row>
    <row r="266" spans="2:7" ht="15.75" customHeight="1">
      <c r="B266" s="6">
        <f t="shared" si="17"/>
        <v>46142</v>
      </c>
      <c r="C266" s="4" t="s">
        <v>452</v>
      </c>
      <c r="D266" s="4" t="s">
        <v>453</v>
      </c>
      <c r="E266" s="4" t="s">
        <v>1561</v>
      </c>
      <c r="F266" s="4" t="s">
        <v>454</v>
      </c>
      <c r="G266" s="4" t="s">
        <v>25</v>
      </c>
    </row>
    <row r="267" spans="2:7" ht="15.75" customHeight="1">
      <c r="B267" s="6">
        <f t="shared" si="17"/>
        <v>46142</v>
      </c>
      <c r="C267" s="4" t="s">
        <v>455</v>
      </c>
      <c r="D267" s="4" t="s">
        <v>394</v>
      </c>
      <c r="E267" s="4" t="s">
        <v>1561</v>
      </c>
      <c r="F267" s="4" t="s">
        <v>456</v>
      </c>
      <c r="G267" s="4" t="s">
        <v>25</v>
      </c>
    </row>
    <row r="268" spans="2:7" ht="15.75" customHeight="1">
      <c r="B268" s="6">
        <f t="shared" si="17"/>
        <v>46142</v>
      </c>
      <c r="C268" s="4" t="s">
        <v>457</v>
      </c>
      <c r="D268" s="4" t="s">
        <v>35</v>
      </c>
      <c r="E268" s="4" t="s">
        <v>1562</v>
      </c>
      <c r="F268" s="4" t="s">
        <v>28</v>
      </c>
      <c r="G268" s="4" t="s">
        <v>25</v>
      </c>
    </row>
    <row r="269" spans="2:7" ht="15.75" customHeight="1">
      <c r="B269" s="6">
        <f t="shared" si="17"/>
        <v>46142</v>
      </c>
      <c r="C269" s="4" t="s">
        <v>20</v>
      </c>
      <c r="D269" s="4" t="s">
        <v>35</v>
      </c>
      <c r="E269" s="4" t="s">
        <v>1562</v>
      </c>
      <c r="F269" s="4" t="s">
        <v>458</v>
      </c>
      <c r="G269" s="4" t="s">
        <v>25</v>
      </c>
    </row>
    <row r="270" spans="2:7" ht="15.75" customHeight="1">
      <c r="B270" s="6">
        <f t="shared" si="17"/>
        <v>46142</v>
      </c>
      <c r="C270" s="4" t="s">
        <v>74</v>
      </c>
      <c r="D270" s="4" t="s">
        <v>33</v>
      </c>
      <c r="E270" s="4" t="s">
        <v>1562</v>
      </c>
      <c r="F270" s="4" t="s">
        <v>28</v>
      </c>
      <c r="G270" s="4" t="s">
        <v>25</v>
      </c>
    </row>
    <row r="271" spans="2:7" ht="15.75" customHeight="1">
      <c r="B271" s="6">
        <f t="shared" si="17"/>
        <v>46142</v>
      </c>
      <c r="C271" s="4" t="s">
        <v>167</v>
      </c>
      <c r="D271" s="4" t="s">
        <v>35</v>
      </c>
      <c r="E271" s="4" t="s">
        <v>1562</v>
      </c>
      <c r="F271" s="4" t="s">
        <v>459</v>
      </c>
      <c r="G271" s="4" t="s">
        <v>22</v>
      </c>
    </row>
    <row r="272" spans="2:7" ht="15.75" customHeight="1">
      <c r="B272" s="6">
        <f t="shared" si="17"/>
        <v>46142</v>
      </c>
      <c r="C272" s="4" t="s">
        <v>26</v>
      </c>
      <c r="D272" s="4" t="s">
        <v>29</v>
      </c>
      <c r="E272" s="4" t="s">
        <v>1562</v>
      </c>
      <c r="F272" s="4" t="s">
        <v>460</v>
      </c>
      <c r="G272" s="4" t="s">
        <v>22</v>
      </c>
    </row>
    <row r="273" spans="2:7" ht="15.75" customHeight="1">
      <c r="B273" s="6">
        <f t="shared" si="17"/>
        <v>46142</v>
      </c>
      <c r="C273" s="4" t="s">
        <v>74</v>
      </c>
      <c r="D273" s="4" t="s">
        <v>33</v>
      </c>
      <c r="E273" s="4" t="s">
        <v>1562</v>
      </c>
      <c r="F273" s="4" t="s">
        <v>461</v>
      </c>
      <c r="G273" s="4" t="s">
        <v>25</v>
      </c>
    </row>
    <row r="274" spans="2:7" ht="15.75" customHeight="1">
      <c r="B274" s="6">
        <f t="shared" si="17"/>
        <v>46142</v>
      </c>
      <c r="C274" s="4" t="s">
        <v>167</v>
      </c>
      <c r="D274" s="4" t="s">
        <v>447</v>
      </c>
      <c r="E274" s="4" t="s">
        <v>1562</v>
      </c>
      <c r="F274" s="4" t="s">
        <v>462</v>
      </c>
      <c r="G274" s="4" t="s">
        <v>22</v>
      </c>
    </row>
    <row r="275" spans="2:7" ht="15.75" customHeight="1">
      <c r="B275" s="6">
        <f t="shared" si="17"/>
        <v>46142</v>
      </c>
      <c r="C275" s="4" t="s">
        <v>167</v>
      </c>
      <c r="D275" s="4" t="s">
        <v>380</v>
      </c>
      <c r="E275" s="4" t="s">
        <v>1562</v>
      </c>
      <c r="F275" s="4" t="s">
        <v>463</v>
      </c>
      <c r="G275" s="4" t="s">
        <v>22</v>
      </c>
    </row>
    <row r="276" spans="2:7" ht="15.75" customHeight="1">
      <c r="B276" s="6">
        <f t="shared" si="17"/>
        <v>46142</v>
      </c>
      <c r="C276" s="4" t="s">
        <v>26</v>
      </c>
      <c r="D276" s="4" t="s">
        <v>380</v>
      </c>
      <c r="E276" s="4" t="s">
        <v>1561</v>
      </c>
      <c r="F276" s="4" t="s">
        <v>464</v>
      </c>
      <c r="G276" s="4" t="s">
        <v>228</v>
      </c>
    </row>
    <row r="277" spans="2:7" ht="15.75" customHeight="1">
      <c r="B277" s="6">
        <f t="shared" si="17"/>
        <v>46142</v>
      </c>
      <c r="C277" s="4" t="s">
        <v>465</v>
      </c>
      <c r="D277" s="4" t="s">
        <v>466</v>
      </c>
      <c r="E277" s="4" t="s">
        <v>1561</v>
      </c>
      <c r="F277" s="4" t="s">
        <v>467</v>
      </c>
      <c r="G277" s="4" t="s">
        <v>42</v>
      </c>
    </row>
    <row r="278" spans="2:7" ht="15.75" customHeight="1">
      <c r="B278" s="6">
        <f t="shared" si="17"/>
        <v>46142</v>
      </c>
      <c r="C278" s="4" t="s">
        <v>26</v>
      </c>
      <c r="D278" s="4" t="s">
        <v>43</v>
      </c>
      <c r="E278" s="4" t="s">
        <v>1561</v>
      </c>
      <c r="F278" s="4" t="s">
        <v>443</v>
      </c>
      <c r="G278" s="4" t="s">
        <v>468</v>
      </c>
    </row>
    <row r="279" spans="2:7" ht="15.75" customHeight="1">
      <c r="B279" s="3">
        <v>46143</v>
      </c>
      <c r="C279" s="4" t="s">
        <v>469</v>
      </c>
      <c r="D279" s="4" t="s">
        <v>6</v>
      </c>
      <c r="E279" s="4" t="s">
        <v>1561</v>
      </c>
      <c r="F279" s="4" t="s">
        <v>470</v>
      </c>
      <c r="G279" s="4" t="s">
        <v>471</v>
      </c>
    </row>
    <row r="280" spans="2:7" ht="15.75" customHeight="1">
      <c r="B280" s="6">
        <f>B279</f>
        <v>46143</v>
      </c>
      <c r="C280" s="4" t="s">
        <v>472</v>
      </c>
      <c r="D280" s="4"/>
      <c r="E280" s="4" t="s">
        <v>1561</v>
      </c>
      <c r="F280" s="4" t="s">
        <v>473</v>
      </c>
      <c r="G280" s="4" t="s">
        <v>474</v>
      </c>
    </row>
    <row r="281" spans="2:7" ht="15.75" customHeight="1">
      <c r="B281" s="3">
        <v>46144</v>
      </c>
      <c r="C281" s="7" t="s">
        <v>475</v>
      </c>
      <c r="D281" s="7" t="s">
        <v>133</v>
      </c>
      <c r="E281" s="4" t="s">
        <v>1562</v>
      </c>
      <c r="F281" s="7" t="s">
        <v>476</v>
      </c>
      <c r="G281" s="7" t="s">
        <v>22</v>
      </c>
    </row>
    <row r="282" spans="2:7" ht="15.75" customHeight="1">
      <c r="B282" s="6">
        <f t="shared" ref="B282:B288" si="18">B281</f>
        <v>46144</v>
      </c>
      <c r="C282" s="4" t="s">
        <v>477</v>
      </c>
      <c r="D282" s="4" t="s">
        <v>33</v>
      </c>
      <c r="E282" s="4" t="s">
        <v>1562</v>
      </c>
      <c r="F282" s="4" t="s">
        <v>478</v>
      </c>
      <c r="G282" s="4" t="s">
        <v>22</v>
      </c>
    </row>
    <row r="283" spans="2:7" ht="15.75" customHeight="1">
      <c r="B283" s="6">
        <f t="shared" si="18"/>
        <v>46144</v>
      </c>
      <c r="C283" s="4" t="s">
        <v>477</v>
      </c>
      <c r="D283" s="4" t="s">
        <v>479</v>
      </c>
      <c r="E283" s="4" t="s">
        <v>1562</v>
      </c>
      <c r="F283" s="4" t="s">
        <v>480</v>
      </c>
      <c r="G283" s="4" t="s">
        <v>22</v>
      </c>
    </row>
    <row r="284" spans="2:7" ht="15.75" customHeight="1">
      <c r="B284" s="6">
        <f t="shared" si="18"/>
        <v>46144</v>
      </c>
      <c r="C284" s="4" t="s">
        <v>74</v>
      </c>
      <c r="D284" s="4" t="s">
        <v>481</v>
      </c>
      <c r="E284" s="4" t="s">
        <v>1562</v>
      </c>
      <c r="F284" s="4" t="s">
        <v>482</v>
      </c>
      <c r="G284" s="4" t="s">
        <v>483</v>
      </c>
    </row>
    <row r="285" spans="2:7" ht="15.75" customHeight="1">
      <c r="B285" s="6">
        <f t="shared" si="18"/>
        <v>46144</v>
      </c>
      <c r="C285" s="4" t="s">
        <v>477</v>
      </c>
      <c r="D285" s="4" t="s">
        <v>16</v>
      </c>
      <c r="E285" s="4" t="s">
        <v>1562</v>
      </c>
      <c r="F285" s="4" t="s">
        <v>484</v>
      </c>
      <c r="G285" s="4" t="s">
        <v>22</v>
      </c>
    </row>
    <row r="286" spans="2:7" ht="15.75" customHeight="1">
      <c r="B286" s="6">
        <f t="shared" si="18"/>
        <v>46144</v>
      </c>
      <c r="C286" s="4" t="s">
        <v>477</v>
      </c>
      <c r="D286" s="4" t="s">
        <v>35</v>
      </c>
      <c r="E286" s="4" t="s">
        <v>1562</v>
      </c>
      <c r="F286" s="4" t="s">
        <v>485</v>
      </c>
      <c r="G286" s="4" t="s">
        <v>22</v>
      </c>
    </row>
    <row r="287" spans="2:7" ht="15.75" customHeight="1">
      <c r="B287" s="6">
        <f t="shared" si="18"/>
        <v>46144</v>
      </c>
      <c r="C287" s="4" t="s">
        <v>477</v>
      </c>
      <c r="D287" s="4" t="s">
        <v>35</v>
      </c>
      <c r="E287" s="4" t="s">
        <v>1561</v>
      </c>
      <c r="F287" s="4" t="s">
        <v>486</v>
      </c>
      <c r="G287" s="4" t="s">
        <v>487</v>
      </c>
    </row>
    <row r="288" spans="2:7" ht="15.75" customHeight="1">
      <c r="B288" s="6">
        <f t="shared" si="18"/>
        <v>46144</v>
      </c>
      <c r="C288" s="4" t="s">
        <v>477</v>
      </c>
      <c r="D288" s="4" t="s">
        <v>16</v>
      </c>
      <c r="E288" s="4" t="s">
        <v>1561</v>
      </c>
      <c r="F288" s="4" t="s">
        <v>488</v>
      </c>
      <c r="G288" s="4" t="s">
        <v>22</v>
      </c>
    </row>
    <row r="289" spans="2:7" ht="15.75" customHeight="1">
      <c r="B289" s="3">
        <v>46145</v>
      </c>
      <c r="C289" s="4" t="s">
        <v>477</v>
      </c>
      <c r="D289" s="7" t="s">
        <v>33</v>
      </c>
      <c r="E289" s="4" t="s">
        <v>1561</v>
      </c>
      <c r="F289" s="7" t="s">
        <v>489</v>
      </c>
      <c r="G289" s="7" t="s">
        <v>22</v>
      </c>
    </row>
    <row r="290" spans="2:7" ht="15.75" customHeight="1">
      <c r="B290" s="6">
        <f t="shared" ref="B290:B299" si="19">B289</f>
        <v>46145</v>
      </c>
      <c r="C290" s="4" t="s">
        <v>490</v>
      </c>
      <c r="D290" s="4" t="s">
        <v>16</v>
      </c>
      <c r="E290" s="4" t="s">
        <v>1562</v>
      </c>
      <c r="F290" s="7" t="s">
        <v>491</v>
      </c>
      <c r="G290" s="4" t="s">
        <v>25</v>
      </c>
    </row>
    <row r="291" spans="2:7" ht="15.75" customHeight="1">
      <c r="B291" s="6">
        <f t="shared" si="19"/>
        <v>46145</v>
      </c>
      <c r="C291" s="4" t="s">
        <v>167</v>
      </c>
      <c r="D291" s="4" t="s">
        <v>193</v>
      </c>
      <c r="E291" s="4" t="s">
        <v>1562</v>
      </c>
      <c r="F291" s="4" t="s">
        <v>492</v>
      </c>
      <c r="G291" s="4" t="s">
        <v>22</v>
      </c>
    </row>
    <row r="292" spans="2:7" ht="15.75" customHeight="1">
      <c r="B292" s="6">
        <f t="shared" si="19"/>
        <v>46145</v>
      </c>
      <c r="C292" s="4" t="s">
        <v>20</v>
      </c>
      <c r="D292" s="4" t="s">
        <v>6</v>
      </c>
      <c r="E292" s="4" t="s">
        <v>1562</v>
      </c>
      <c r="F292" s="4" t="s">
        <v>493</v>
      </c>
      <c r="G292" s="4" t="s">
        <v>25</v>
      </c>
    </row>
    <row r="293" spans="2:7" ht="15.75" customHeight="1">
      <c r="B293" s="6">
        <f t="shared" si="19"/>
        <v>46145</v>
      </c>
      <c r="C293" s="4" t="s">
        <v>167</v>
      </c>
      <c r="D293" s="4" t="s">
        <v>33</v>
      </c>
      <c r="E293" s="4" t="s">
        <v>1562</v>
      </c>
      <c r="F293" s="4" t="s">
        <v>494</v>
      </c>
      <c r="G293" s="4" t="s">
        <v>22</v>
      </c>
    </row>
    <row r="294" spans="2:7" ht="15.75" customHeight="1">
      <c r="B294" s="6">
        <f t="shared" si="19"/>
        <v>46145</v>
      </c>
      <c r="C294" s="4" t="s">
        <v>206</v>
      </c>
      <c r="D294" s="4" t="s">
        <v>72</v>
      </c>
      <c r="E294" s="4" t="s">
        <v>1562</v>
      </c>
      <c r="F294" s="4" t="s">
        <v>495</v>
      </c>
      <c r="G294" s="4" t="s">
        <v>22</v>
      </c>
    </row>
    <row r="295" spans="2:7" ht="15.75" customHeight="1">
      <c r="B295" s="6">
        <f t="shared" si="19"/>
        <v>46145</v>
      </c>
      <c r="C295" s="4" t="s">
        <v>167</v>
      </c>
      <c r="D295" s="4" t="s">
        <v>33</v>
      </c>
      <c r="E295" s="4" t="s">
        <v>1562</v>
      </c>
      <c r="F295" s="4" t="s">
        <v>496</v>
      </c>
      <c r="G295" s="4" t="s">
        <v>362</v>
      </c>
    </row>
    <row r="296" spans="2:7" ht="15.75" customHeight="1">
      <c r="B296" s="6">
        <f t="shared" si="19"/>
        <v>46145</v>
      </c>
      <c r="C296" s="4" t="s">
        <v>206</v>
      </c>
      <c r="D296" s="4" t="s">
        <v>380</v>
      </c>
      <c r="E296" s="4" t="s">
        <v>1562</v>
      </c>
      <c r="F296" s="4" t="s">
        <v>497</v>
      </c>
      <c r="G296" s="4" t="s">
        <v>22</v>
      </c>
    </row>
    <row r="297" spans="2:7" ht="15.75" customHeight="1">
      <c r="B297" s="6">
        <f t="shared" si="19"/>
        <v>46145</v>
      </c>
      <c r="C297" s="4" t="s">
        <v>206</v>
      </c>
      <c r="D297" s="4" t="s">
        <v>498</v>
      </c>
      <c r="E297" s="4" t="s">
        <v>1562</v>
      </c>
      <c r="F297" s="4" t="s">
        <v>499</v>
      </c>
      <c r="G297" s="4" t="s">
        <v>22</v>
      </c>
    </row>
    <row r="298" spans="2:7" ht="15.75" customHeight="1">
      <c r="B298" s="6">
        <f t="shared" si="19"/>
        <v>46145</v>
      </c>
      <c r="C298" s="4" t="s">
        <v>206</v>
      </c>
      <c r="D298" s="4" t="s">
        <v>500</v>
      </c>
      <c r="E298" s="4" t="s">
        <v>1562</v>
      </c>
      <c r="F298" s="4" t="s">
        <v>501</v>
      </c>
      <c r="G298" s="4" t="s">
        <v>25</v>
      </c>
    </row>
    <row r="299" spans="2:7" ht="15.75" customHeight="1">
      <c r="B299" s="6">
        <f t="shared" si="19"/>
        <v>46145</v>
      </c>
      <c r="C299" s="4" t="s">
        <v>502</v>
      </c>
      <c r="D299" s="4" t="s">
        <v>33</v>
      </c>
      <c r="E299" s="4" t="s">
        <v>1561</v>
      </c>
      <c r="F299" s="4" t="s">
        <v>503</v>
      </c>
      <c r="G299" s="4" t="s">
        <v>42</v>
      </c>
    </row>
    <row r="300" spans="2:7" ht="15.75" customHeight="1">
      <c r="B300" s="3">
        <v>46146</v>
      </c>
      <c r="C300" s="7" t="s">
        <v>26</v>
      </c>
      <c r="D300" s="4" t="s">
        <v>123</v>
      </c>
      <c r="E300" s="4" t="s">
        <v>1561</v>
      </c>
      <c r="F300" s="4" t="s">
        <v>504</v>
      </c>
      <c r="G300" s="4" t="s">
        <v>22</v>
      </c>
    </row>
    <row r="301" spans="2:7" ht="15.75" customHeight="1">
      <c r="B301" s="6">
        <f t="shared" ref="B301:B331" si="20">B300</f>
        <v>46146</v>
      </c>
      <c r="C301" s="4" t="s">
        <v>74</v>
      </c>
      <c r="D301" s="4" t="s">
        <v>505</v>
      </c>
      <c r="E301" s="4" t="s">
        <v>1562</v>
      </c>
      <c r="F301" s="4" t="s">
        <v>506</v>
      </c>
      <c r="G301" s="4" t="s">
        <v>25</v>
      </c>
    </row>
    <row r="302" spans="2:7" ht="15.75" customHeight="1">
      <c r="B302" s="6">
        <f t="shared" si="20"/>
        <v>46146</v>
      </c>
      <c r="C302" s="4" t="s">
        <v>74</v>
      </c>
      <c r="D302" s="4" t="s">
        <v>505</v>
      </c>
      <c r="E302" s="4" t="s">
        <v>1562</v>
      </c>
      <c r="F302" s="4" t="s">
        <v>507</v>
      </c>
      <c r="G302" s="4" t="s">
        <v>25</v>
      </c>
    </row>
    <row r="303" spans="2:7" ht="15.75" customHeight="1">
      <c r="B303" s="6">
        <f t="shared" si="20"/>
        <v>46146</v>
      </c>
      <c r="C303" s="4" t="s">
        <v>167</v>
      </c>
      <c r="D303" s="4" t="s">
        <v>9</v>
      </c>
      <c r="E303" s="4" t="s">
        <v>1562</v>
      </c>
      <c r="F303" s="4" t="s">
        <v>508</v>
      </c>
      <c r="G303" s="4" t="s">
        <v>22</v>
      </c>
    </row>
    <row r="304" spans="2:7" ht="15.75" customHeight="1">
      <c r="B304" s="6">
        <f t="shared" si="20"/>
        <v>46146</v>
      </c>
      <c r="C304" s="4" t="s">
        <v>167</v>
      </c>
      <c r="D304" s="4" t="s">
        <v>509</v>
      </c>
      <c r="E304" s="4" t="s">
        <v>1562</v>
      </c>
      <c r="F304" s="4" t="s">
        <v>510</v>
      </c>
      <c r="G304" s="4" t="s">
        <v>22</v>
      </c>
    </row>
    <row r="305" spans="2:7" ht="15.75" customHeight="1">
      <c r="B305" s="6">
        <f t="shared" si="20"/>
        <v>46146</v>
      </c>
      <c r="C305" s="4" t="s">
        <v>167</v>
      </c>
      <c r="D305" s="4" t="s">
        <v>35</v>
      </c>
      <c r="E305" s="4" t="s">
        <v>1562</v>
      </c>
      <c r="F305" s="4" t="s">
        <v>511</v>
      </c>
      <c r="G305" s="4" t="s">
        <v>362</v>
      </c>
    </row>
    <row r="306" spans="2:7" ht="15.75" customHeight="1">
      <c r="B306" s="6">
        <f t="shared" si="20"/>
        <v>46146</v>
      </c>
      <c r="C306" s="4" t="s">
        <v>167</v>
      </c>
      <c r="D306" s="4" t="s">
        <v>53</v>
      </c>
      <c r="E306" s="4" t="s">
        <v>1562</v>
      </c>
      <c r="F306" s="4" t="s">
        <v>512</v>
      </c>
      <c r="G306" s="4" t="s">
        <v>22</v>
      </c>
    </row>
    <row r="307" spans="2:7" ht="15.75" customHeight="1">
      <c r="B307" s="6">
        <f t="shared" si="20"/>
        <v>46146</v>
      </c>
      <c r="C307" s="4" t="s">
        <v>167</v>
      </c>
      <c r="D307" s="4" t="s">
        <v>33</v>
      </c>
      <c r="E307" s="4" t="s">
        <v>1562</v>
      </c>
      <c r="F307" s="4" t="s">
        <v>513</v>
      </c>
      <c r="G307" s="4" t="s">
        <v>419</v>
      </c>
    </row>
    <row r="308" spans="2:7" ht="15.75" customHeight="1">
      <c r="B308" s="6">
        <f t="shared" si="20"/>
        <v>46146</v>
      </c>
      <c r="C308" s="4" t="s">
        <v>20</v>
      </c>
      <c r="D308" s="4" t="s">
        <v>9</v>
      </c>
      <c r="E308" s="4" t="s">
        <v>1562</v>
      </c>
      <c r="F308" s="4" t="s">
        <v>514</v>
      </c>
      <c r="G308" s="4" t="s">
        <v>25</v>
      </c>
    </row>
    <row r="309" spans="2:7" ht="15.75" customHeight="1">
      <c r="B309" s="6">
        <f t="shared" si="20"/>
        <v>46146</v>
      </c>
      <c r="C309" s="4" t="s">
        <v>167</v>
      </c>
      <c r="D309" s="4" t="s">
        <v>33</v>
      </c>
      <c r="E309" s="4" t="s">
        <v>1562</v>
      </c>
      <c r="F309" s="4" t="s">
        <v>222</v>
      </c>
      <c r="G309" s="4" t="s">
        <v>22</v>
      </c>
    </row>
    <row r="310" spans="2:7" ht="15.75" customHeight="1">
      <c r="B310" s="6">
        <f t="shared" si="20"/>
        <v>46146</v>
      </c>
      <c r="C310" s="4" t="s">
        <v>20</v>
      </c>
      <c r="D310" s="4" t="s">
        <v>67</v>
      </c>
      <c r="E310" s="4" t="s">
        <v>1562</v>
      </c>
      <c r="F310" s="4" t="s">
        <v>515</v>
      </c>
      <c r="G310" s="4" t="s">
        <v>25</v>
      </c>
    </row>
    <row r="311" spans="2:7" ht="15.75" customHeight="1">
      <c r="B311" s="6">
        <f t="shared" si="20"/>
        <v>46146</v>
      </c>
      <c r="C311" s="4" t="s">
        <v>74</v>
      </c>
      <c r="D311" s="4" t="s">
        <v>35</v>
      </c>
      <c r="E311" s="4" t="s">
        <v>1562</v>
      </c>
      <c r="F311" s="4" t="s">
        <v>516</v>
      </c>
      <c r="G311" s="4" t="s">
        <v>61</v>
      </c>
    </row>
    <row r="312" spans="2:7" ht="15.75" customHeight="1">
      <c r="B312" s="6">
        <f t="shared" si="20"/>
        <v>46146</v>
      </c>
      <c r="C312" s="4" t="s">
        <v>167</v>
      </c>
      <c r="D312" s="4" t="s">
        <v>12</v>
      </c>
      <c r="E312" s="4" t="s">
        <v>1562</v>
      </c>
      <c r="F312" s="4" t="s">
        <v>517</v>
      </c>
      <c r="G312" s="4" t="s">
        <v>22</v>
      </c>
    </row>
    <row r="313" spans="2:7" ht="15.75" customHeight="1">
      <c r="B313" s="6">
        <f t="shared" si="20"/>
        <v>46146</v>
      </c>
      <c r="C313" s="4" t="s">
        <v>20</v>
      </c>
      <c r="D313" s="4" t="s">
        <v>12</v>
      </c>
      <c r="E313" s="4" t="s">
        <v>1562</v>
      </c>
      <c r="F313" s="4" t="s">
        <v>518</v>
      </c>
      <c r="G313" s="4" t="s">
        <v>25</v>
      </c>
    </row>
    <row r="314" spans="2:7" ht="15.75" customHeight="1">
      <c r="B314" s="6">
        <f t="shared" si="20"/>
        <v>46146</v>
      </c>
      <c r="C314" s="4" t="s">
        <v>20</v>
      </c>
      <c r="D314" s="4" t="s">
        <v>33</v>
      </c>
      <c r="E314" s="4" t="s">
        <v>1562</v>
      </c>
      <c r="F314" s="4" t="s">
        <v>519</v>
      </c>
      <c r="G314" s="4" t="s">
        <v>25</v>
      </c>
    </row>
    <row r="315" spans="2:7" ht="15.75" customHeight="1">
      <c r="B315" s="6">
        <f t="shared" si="20"/>
        <v>46146</v>
      </c>
      <c r="C315" s="4" t="s">
        <v>20</v>
      </c>
      <c r="D315" s="4" t="s">
        <v>27</v>
      </c>
      <c r="E315" s="4" t="s">
        <v>1562</v>
      </c>
      <c r="F315" s="4" t="s">
        <v>520</v>
      </c>
      <c r="G315" s="4" t="s">
        <v>25</v>
      </c>
    </row>
    <row r="316" spans="2:7" ht="15.75" customHeight="1">
      <c r="B316" s="6">
        <f t="shared" si="20"/>
        <v>46146</v>
      </c>
      <c r="C316" s="4" t="s">
        <v>20</v>
      </c>
      <c r="D316" s="4" t="s">
        <v>12</v>
      </c>
      <c r="E316" s="4" t="s">
        <v>1562</v>
      </c>
      <c r="F316" s="4" t="s">
        <v>521</v>
      </c>
      <c r="G316" s="4" t="s">
        <v>25</v>
      </c>
    </row>
    <row r="317" spans="2:7" ht="15.75" customHeight="1">
      <c r="B317" s="6">
        <f t="shared" si="20"/>
        <v>46146</v>
      </c>
      <c r="C317" s="4" t="s">
        <v>20</v>
      </c>
      <c r="D317" s="4" t="s">
        <v>33</v>
      </c>
      <c r="E317" s="4" t="s">
        <v>1562</v>
      </c>
      <c r="F317" s="4" t="s">
        <v>522</v>
      </c>
      <c r="G317" s="4" t="s">
        <v>25</v>
      </c>
    </row>
    <row r="318" spans="2:7" ht="15.75" customHeight="1">
      <c r="B318" s="6">
        <f t="shared" si="20"/>
        <v>46146</v>
      </c>
      <c r="C318" s="4" t="s">
        <v>20</v>
      </c>
      <c r="D318" s="4" t="s">
        <v>33</v>
      </c>
      <c r="E318" s="4" t="s">
        <v>1562</v>
      </c>
      <c r="F318" s="4" t="s">
        <v>523</v>
      </c>
      <c r="G318" s="4" t="s">
        <v>25</v>
      </c>
    </row>
    <row r="319" spans="2:7" ht="15.75" customHeight="1">
      <c r="B319" s="6">
        <f t="shared" si="20"/>
        <v>46146</v>
      </c>
      <c r="C319" s="4" t="s">
        <v>20</v>
      </c>
      <c r="D319" s="4" t="s">
        <v>9</v>
      </c>
      <c r="E319" s="4" t="s">
        <v>1562</v>
      </c>
      <c r="F319" s="4" t="s">
        <v>524</v>
      </c>
      <c r="G319" s="4" t="s">
        <v>25</v>
      </c>
    </row>
    <row r="320" spans="2:7" ht="15.75" customHeight="1">
      <c r="B320" s="6">
        <f t="shared" si="20"/>
        <v>46146</v>
      </c>
      <c r="C320" s="4" t="s">
        <v>20</v>
      </c>
      <c r="D320" s="4" t="s">
        <v>343</v>
      </c>
      <c r="E320" s="4" t="s">
        <v>1562</v>
      </c>
      <c r="F320" s="4" t="s">
        <v>524</v>
      </c>
      <c r="G320" s="4" t="s">
        <v>25</v>
      </c>
    </row>
    <row r="321" spans="2:7" ht="15.75" customHeight="1">
      <c r="B321" s="6">
        <f t="shared" si="20"/>
        <v>46146</v>
      </c>
      <c r="C321" s="4" t="s">
        <v>20</v>
      </c>
      <c r="D321" s="4" t="s">
        <v>9</v>
      </c>
      <c r="E321" s="4" t="s">
        <v>1562</v>
      </c>
      <c r="F321" s="4" t="s">
        <v>525</v>
      </c>
      <c r="G321" s="4" t="s">
        <v>22</v>
      </c>
    </row>
    <row r="322" spans="2:7" ht="15.75" customHeight="1">
      <c r="B322" s="6">
        <f t="shared" si="20"/>
        <v>46146</v>
      </c>
      <c r="C322" s="4" t="s">
        <v>167</v>
      </c>
      <c r="D322" s="4" t="s">
        <v>12</v>
      </c>
      <c r="E322" s="4" t="s">
        <v>1562</v>
      </c>
      <c r="F322" s="4" t="s">
        <v>517</v>
      </c>
      <c r="G322" s="4" t="s">
        <v>22</v>
      </c>
    </row>
    <row r="323" spans="2:7" ht="15.75" customHeight="1">
      <c r="B323" s="6">
        <f t="shared" si="20"/>
        <v>46146</v>
      </c>
      <c r="C323" s="4" t="s">
        <v>20</v>
      </c>
      <c r="D323" s="4" t="s">
        <v>35</v>
      </c>
      <c r="E323" s="4" t="s">
        <v>1562</v>
      </c>
      <c r="F323" s="4" t="s">
        <v>517</v>
      </c>
      <c r="G323" s="4" t="s">
        <v>22</v>
      </c>
    </row>
    <row r="324" spans="2:7" ht="15.75" customHeight="1">
      <c r="B324" s="6">
        <f t="shared" si="20"/>
        <v>46146</v>
      </c>
      <c r="C324" s="4" t="s">
        <v>74</v>
      </c>
      <c r="D324" s="4" t="s">
        <v>35</v>
      </c>
      <c r="E324" s="4" t="s">
        <v>1562</v>
      </c>
      <c r="F324" s="4" t="s">
        <v>526</v>
      </c>
      <c r="G324" s="4" t="s">
        <v>61</v>
      </c>
    </row>
    <row r="325" spans="2:7" ht="15.75" customHeight="1">
      <c r="B325" s="6">
        <f t="shared" si="20"/>
        <v>46146</v>
      </c>
      <c r="C325" s="4" t="s">
        <v>74</v>
      </c>
      <c r="D325" s="4" t="s">
        <v>204</v>
      </c>
      <c r="E325" s="4" t="s">
        <v>1562</v>
      </c>
      <c r="F325" s="4" t="s">
        <v>527</v>
      </c>
      <c r="G325" s="4" t="s">
        <v>61</v>
      </c>
    </row>
    <row r="326" spans="2:7" ht="15.75" customHeight="1">
      <c r="B326" s="6">
        <f t="shared" si="20"/>
        <v>46146</v>
      </c>
      <c r="C326" s="4" t="s">
        <v>74</v>
      </c>
      <c r="D326" s="4" t="s">
        <v>35</v>
      </c>
      <c r="E326" s="4" t="s">
        <v>1562</v>
      </c>
      <c r="F326" s="4" t="s">
        <v>528</v>
      </c>
      <c r="G326" s="4" t="s">
        <v>61</v>
      </c>
    </row>
    <row r="327" spans="2:7" ht="15.75" customHeight="1">
      <c r="B327" s="6">
        <f t="shared" si="20"/>
        <v>46146</v>
      </c>
      <c r="C327" s="4" t="s">
        <v>408</v>
      </c>
      <c r="D327" s="4" t="s">
        <v>529</v>
      </c>
      <c r="E327" s="4" t="s">
        <v>1562</v>
      </c>
      <c r="F327" s="4" t="s">
        <v>530</v>
      </c>
      <c r="G327" s="4" t="s">
        <v>408</v>
      </c>
    </row>
    <row r="328" spans="2:7" ht="15.75" customHeight="1">
      <c r="B328" s="6">
        <f t="shared" si="20"/>
        <v>46146</v>
      </c>
      <c r="C328" s="4" t="s">
        <v>374</v>
      </c>
      <c r="D328" s="4" t="s">
        <v>12</v>
      </c>
      <c r="E328" s="4" t="s">
        <v>1561</v>
      </c>
      <c r="F328" s="4" t="s">
        <v>531</v>
      </c>
      <c r="G328" s="4" t="s">
        <v>42</v>
      </c>
    </row>
    <row r="329" spans="2:7" ht="15.75" customHeight="1">
      <c r="B329" s="6">
        <f t="shared" si="20"/>
        <v>46146</v>
      </c>
      <c r="C329" s="4" t="s">
        <v>26</v>
      </c>
      <c r="D329" s="4" t="s">
        <v>447</v>
      </c>
      <c r="E329" s="4" t="s">
        <v>1561</v>
      </c>
      <c r="F329" s="4" t="s">
        <v>532</v>
      </c>
      <c r="G329" s="4" t="s">
        <v>45</v>
      </c>
    </row>
    <row r="330" spans="2:7" ht="15.75" customHeight="1">
      <c r="B330" s="6">
        <f t="shared" si="20"/>
        <v>46146</v>
      </c>
      <c r="C330" s="4" t="s">
        <v>26</v>
      </c>
      <c r="D330" s="4" t="s">
        <v>376</v>
      </c>
      <c r="E330" s="4" t="s">
        <v>1561</v>
      </c>
      <c r="F330" s="4" t="s">
        <v>533</v>
      </c>
      <c r="G330" s="4" t="s">
        <v>14</v>
      </c>
    </row>
    <row r="331" spans="2:7" ht="15.75" customHeight="1">
      <c r="B331" s="6">
        <f t="shared" si="20"/>
        <v>46146</v>
      </c>
      <c r="C331" s="4" t="s">
        <v>26</v>
      </c>
      <c r="D331" s="4" t="s">
        <v>12</v>
      </c>
      <c r="E331" s="4" t="s">
        <v>1561</v>
      </c>
      <c r="F331" s="4" t="s">
        <v>13</v>
      </c>
      <c r="G331" s="4" t="s">
        <v>22</v>
      </c>
    </row>
    <row r="332" spans="2:7" ht="15.75" customHeight="1">
      <c r="B332" s="3">
        <v>46147</v>
      </c>
      <c r="C332" s="4" t="s">
        <v>534</v>
      </c>
      <c r="D332" s="4" t="s">
        <v>535</v>
      </c>
      <c r="E332" s="4" t="s">
        <v>1561</v>
      </c>
      <c r="F332" s="4" t="s">
        <v>536</v>
      </c>
      <c r="G332" s="4" t="s">
        <v>74</v>
      </c>
    </row>
    <row r="333" spans="2:7" ht="15.75" customHeight="1">
      <c r="B333" s="6">
        <f>B332</f>
        <v>46147</v>
      </c>
      <c r="C333" s="4" t="s">
        <v>537</v>
      </c>
      <c r="D333" s="4" t="s">
        <v>33</v>
      </c>
      <c r="E333" s="4" t="s">
        <v>1561</v>
      </c>
      <c r="F333" s="4" t="s">
        <v>538</v>
      </c>
      <c r="G333" s="4" t="s">
        <v>539</v>
      </c>
    </row>
    <row r="334" spans="2:7" ht="15.75" customHeight="1">
      <c r="B334" s="6">
        <f>B333</f>
        <v>46147</v>
      </c>
      <c r="C334" s="4" t="s">
        <v>540</v>
      </c>
      <c r="D334" s="4" t="s">
        <v>67</v>
      </c>
      <c r="E334" s="4" t="s">
        <v>1561</v>
      </c>
      <c r="F334" s="4" t="s">
        <v>541</v>
      </c>
      <c r="G334" s="4" t="s">
        <v>25</v>
      </c>
    </row>
    <row r="335" spans="2:7" ht="15.75" customHeight="1">
      <c r="B335" s="6">
        <f>B334</f>
        <v>46147</v>
      </c>
      <c r="C335" s="4" t="s">
        <v>542</v>
      </c>
      <c r="D335" s="4" t="s">
        <v>543</v>
      </c>
      <c r="E335" s="4" t="s">
        <v>1561</v>
      </c>
      <c r="F335" s="4" t="s">
        <v>544</v>
      </c>
      <c r="G335" s="4" t="s">
        <v>25</v>
      </c>
    </row>
    <row r="336" spans="2:7" ht="15.75" customHeight="1">
      <c r="B336" s="3">
        <v>46148</v>
      </c>
      <c r="C336" s="7" t="s">
        <v>545</v>
      </c>
      <c r="D336" s="7" t="s">
        <v>67</v>
      </c>
      <c r="E336" s="4" t="s">
        <v>1562</v>
      </c>
      <c r="F336" s="7" t="s">
        <v>546</v>
      </c>
      <c r="G336" s="7" t="s">
        <v>182</v>
      </c>
    </row>
    <row r="337" spans="2:7" ht="15.75" customHeight="1">
      <c r="B337" s="6">
        <f t="shared" ref="B337:B347" si="21">B336</f>
        <v>46148</v>
      </c>
      <c r="C337" s="4" t="s">
        <v>81</v>
      </c>
      <c r="D337" s="4" t="s">
        <v>94</v>
      </c>
      <c r="E337" s="4" t="s">
        <v>1562</v>
      </c>
      <c r="F337" s="4" t="s">
        <v>547</v>
      </c>
      <c r="G337" s="7" t="s">
        <v>182</v>
      </c>
    </row>
    <row r="338" spans="2:7" ht="15.75" customHeight="1">
      <c r="B338" s="6">
        <f t="shared" si="21"/>
        <v>46148</v>
      </c>
      <c r="C338" s="4" t="s">
        <v>545</v>
      </c>
      <c r="D338" s="4" t="s">
        <v>193</v>
      </c>
      <c r="E338" s="4" t="s">
        <v>1562</v>
      </c>
      <c r="F338" s="4" t="s">
        <v>548</v>
      </c>
      <c r="G338" s="4" t="s">
        <v>182</v>
      </c>
    </row>
    <row r="339" spans="2:7" ht="15.75" customHeight="1">
      <c r="B339" s="6">
        <f t="shared" si="21"/>
        <v>46148</v>
      </c>
      <c r="C339" s="4" t="s">
        <v>545</v>
      </c>
      <c r="D339" s="4" t="s">
        <v>193</v>
      </c>
      <c r="E339" s="4" t="s">
        <v>1562</v>
      </c>
      <c r="F339" s="4" t="s">
        <v>549</v>
      </c>
      <c r="G339" s="4" t="s">
        <v>182</v>
      </c>
    </row>
    <row r="340" spans="2:7" ht="15.75" customHeight="1">
      <c r="B340" s="6">
        <f t="shared" si="21"/>
        <v>46148</v>
      </c>
      <c r="C340" s="4" t="s">
        <v>545</v>
      </c>
      <c r="D340" s="4" t="s">
        <v>33</v>
      </c>
      <c r="E340" s="4" t="s">
        <v>1562</v>
      </c>
      <c r="F340" s="4" t="s">
        <v>550</v>
      </c>
      <c r="G340" s="4" t="s">
        <v>74</v>
      </c>
    </row>
    <row r="341" spans="2:7" ht="15.75" customHeight="1">
      <c r="B341" s="6">
        <f t="shared" si="21"/>
        <v>46148</v>
      </c>
      <c r="C341" s="4" t="s">
        <v>545</v>
      </c>
      <c r="D341" s="4" t="s">
        <v>252</v>
      </c>
      <c r="E341" s="4" t="s">
        <v>1562</v>
      </c>
      <c r="F341" s="4" t="s">
        <v>551</v>
      </c>
      <c r="G341" s="4" t="s">
        <v>182</v>
      </c>
    </row>
    <row r="342" spans="2:7" ht="15.75" customHeight="1">
      <c r="B342" s="6">
        <f t="shared" si="21"/>
        <v>46148</v>
      </c>
      <c r="C342" s="4" t="s">
        <v>545</v>
      </c>
      <c r="D342" s="4" t="s">
        <v>16</v>
      </c>
      <c r="E342" s="4" t="s">
        <v>1562</v>
      </c>
      <c r="F342" s="4" t="s">
        <v>551</v>
      </c>
      <c r="G342" s="4" t="s">
        <v>182</v>
      </c>
    </row>
    <row r="343" spans="2:7" ht="15.75" customHeight="1">
      <c r="B343" s="6">
        <f t="shared" si="21"/>
        <v>46148</v>
      </c>
      <c r="C343" s="4" t="s">
        <v>545</v>
      </c>
      <c r="D343" s="4" t="s">
        <v>552</v>
      </c>
      <c r="E343" s="4" t="s">
        <v>1562</v>
      </c>
      <c r="F343" s="4" t="s">
        <v>553</v>
      </c>
      <c r="G343" s="4" t="s">
        <v>25</v>
      </c>
    </row>
    <row r="344" spans="2:7" ht="15.75" customHeight="1">
      <c r="B344" s="6">
        <f t="shared" si="21"/>
        <v>46148</v>
      </c>
      <c r="C344" s="4" t="s">
        <v>545</v>
      </c>
      <c r="D344" s="4" t="s">
        <v>554</v>
      </c>
      <c r="E344" s="4" t="s">
        <v>1562</v>
      </c>
      <c r="F344" s="4" t="s">
        <v>555</v>
      </c>
      <c r="G344" s="4" t="s">
        <v>182</v>
      </c>
    </row>
    <row r="345" spans="2:7" ht="15.75" customHeight="1">
      <c r="B345" s="6">
        <f t="shared" si="21"/>
        <v>46148</v>
      </c>
      <c r="C345" s="4" t="s">
        <v>545</v>
      </c>
      <c r="D345" s="4" t="s">
        <v>556</v>
      </c>
      <c r="E345" s="4" t="s">
        <v>1562</v>
      </c>
      <c r="F345" s="4" t="s">
        <v>557</v>
      </c>
      <c r="G345" s="4" t="s">
        <v>182</v>
      </c>
    </row>
    <row r="346" spans="2:7" ht="15.75" customHeight="1">
      <c r="B346" s="6">
        <f t="shared" si="21"/>
        <v>46148</v>
      </c>
      <c r="C346" s="4" t="s">
        <v>545</v>
      </c>
      <c r="D346" s="4" t="s">
        <v>252</v>
      </c>
      <c r="E346" s="4" t="s">
        <v>1562</v>
      </c>
      <c r="F346" s="4" t="s">
        <v>558</v>
      </c>
      <c r="G346" s="4" t="s">
        <v>182</v>
      </c>
    </row>
    <row r="347" spans="2:7" ht="15.75" customHeight="1">
      <c r="B347" s="6">
        <f t="shared" si="21"/>
        <v>46148</v>
      </c>
      <c r="C347" s="8"/>
      <c r="D347" s="4" t="s">
        <v>204</v>
      </c>
      <c r="E347" s="4" t="s">
        <v>1562</v>
      </c>
      <c r="F347" s="4" t="s">
        <v>559</v>
      </c>
      <c r="G347" s="4" t="s">
        <v>182</v>
      </c>
    </row>
    <row r="348" spans="2:7" ht="15.75" customHeight="1">
      <c r="B348" s="3">
        <v>46149</v>
      </c>
      <c r="C348" s="7" t="s">
        <v>560</v>
      </c>
      <c r="D348" s="7" t="s">
        <v>561</v>
      </c>
      <c r="E348" s="4" t="s">
        <v>1562</v>
      </c>
      <c r="F348" s="7" t="s">
        <v>562</v>
      </c>
      <c r="G348" s="7" t="s">
        <v>178</v>
      </c>
    </row>
    <row r="349" spans="2:7" ht="15.75" customHeight="1">
      <c r="B349" s="6">
        <f t="shared" ref="B349:B367" si="22">B348</f>
        <v>46149</v>
      </c>
      <c r="C349" s="7" t="s">
        <v>563</v>
      </c>
      <c r="D349" s="4" t="s">
        <v>564</v>
      </c>
      <c r="E349" s="4" t="s">
        <v>1562</v>
      </c>
      <c r="F349" s="4" t="s">
        <v>565</v>
      </c>
      <c r="G349" s="7" t="s">
        <v>22</v>
      </c>
    </row>
    <row r="350" spans="2:7" ht="15.75" customHeight="1">
      <c r="B350" s="6">
        <f t="shared" si="22"/>
        <v>46149</v>
      </c>
      <c r="C350" s="4" t="s">
        <v>26</v>
      </c>
      <c r="D350" s="4" t="s">
        <v>35</v>
      </c>
      <c r="E350" s="4" t="s">
        <v>1562</v>
      </c>
      <c r="F350" s="4" t="s">
        <v>566</v>
      </c>
      <c r="G350" s="7" t="s">
        <v>61</v>
      </c>
    </row>
    <row r="351" spans="2:7" ht="15.75" customHeight="1">
      <c r="B351" s="6">
        <f t="shared" si="22"/>
        <v>46149</v>
      </c>
      <c r="C351" s="4" t="s">
        <v>567</v>
      </c>
      <c r="D351" s="4" t="s">
        <v>561</v>
      </c>
      <c r="E351" s="4" t="s">
        <v>1562</v>
      </c>
      <c r="F351" s="4" t="s">
        <v>568</v>
      </c>
      <c r="G351" s="7" t="s">
        <v>178</v>
      </c>
    </row>
    <row r="352" spans="2:7" ht="15.75" customHeight="1">
      <c r="B352" s="6">
        <f t="shared" si="22"/>
        <v>46149</v>
      </c>
      <c r="C352" s="4" t="s">
        <v>167</v>
      </c>
      <c r="D352" s="4" t="s">
        <v>204</v>
      </c>
      <c r="E352" s="4" t="s">
        <v>1562</v>
      </c>
      <c r="F352" s="4" t="s">
        <v>569</v>
      </c>
      <c r="G352" s="7" t="s">
        <v>22</v>
      </c>
    </row>
    <row r="353" spans="2:7" ht="15.75" customHeight="1">
      <c r="B353" s="6">
        <f t="shared" si="22"/>
        <v>46149</v>
      </c>
      <c r="C353" s="4" t="s">
        <v>167</v>
      </c>
      <c r="D353" s="4" t="s">
        <v>570</v>
      </c>
      <c r="E353" s="4" t="s">
        <v>1562</v>
      </c>
      <c r="F353" s="4" t="s">
        <v>571</v>
      </c>
      <c r="G353" s="7" t="s">
        <v>22</v>
      </c>
    </row>
    <row r="354" spans="2:7" ht="15.75" customHeight="1">
      <c r="B354" s="6">
        <f t="shared" si="22"/>
        <v>46149</v>
      </c>
      <c r="C354" s="4" t="s">
        <v>572</v>
      </c>
      <c r="D354" s="4" t="s">
        <v>35</v>
      </c>
      <c r="E354" s="4" t="s">
        <v>1562</v>
      </c>
      <c r="F354" s="4" t="s">
        <v>573</v>
      </c>
      <c r="G354" s="4" t="s">
        <v>14</v>
      </c>
    </row>
    <row r="355" spans="2:7" ht="15.75" customHeight="1">
      <c r="B355" s="6">
        <f t="shared" si="22"/>
        <v>46149</v>
      </c>
      <c r="C355" s="4" t="s">
        <v>572</v>
      </c>
      <c r="D355" s="4" t="s">
        <v>9</v>
      </c>
      <c r="E355" s="4" t="s">
        <v>1562</v>
      </c>
      <c r="F355" s="4" t="s">
        <v>573</v>
      </c>
      <c r="G355" s="4" t="s">
        <v>22</v>
      </c>
    </row>
    <row r="356" spans="2:7" ht="15.75" customHeight="1">
      <c r="B356" s="6">
        <f t="shared" si="22"/>
        <v>46149</v>
      </c>
      <c r="C356" s="4" t="s">
        <v>167</v>
      </c>
      <c r="D356" s="4" t="s">
        <v>574</v>
      </c>
      <c r="E356" s="4" t="s">
        <v>1562</v>
      </c>
      <c r="F356" s="4" t="s">
        <v>575</v>
      </c>
      <c r="G356" s="4" t="s">
        <v>14</v>
      </c>
    </row>
    <row r="357" spans="2:7" ht="15.75" customHeight="1">
      <c r="B357" s="6">
        <f t="shared" si="22"/>
        <v>46149</v>
      </c>
      <c r="C357" s="4" t="s">
        <v>576</v>
      </c>
      <c r="D357" s="4" t="s">
        <v>85</v>
      </c>
      <c r="E357" s="4" t="s">
        <v>1562</v>
      </c>
      <c r="F357" s="10" t="s">
        <v>577</v>
      </c>
      <c r="G357" s="4" t="s">
        <v>22</v>
      </c>
    </row>
    <row r="358" spans="2:7" ht="15.75" customHeight="1">
      <c r="B358" s="6">
        <f t="shared" si="22"/>
        <v>46149</v>
      </c>
      <c r="C358" s="4" t="s">
        <v>167</v>
      </c>
      <c r="D358" s="4" t="s">
        <v>85</v>
      </c>
      <c r="E358" s="4" t="s">
        <v>1562</v>
      </c>
      <c r="F358" s="10" t="s">
        <v>578</v>
      </c>
      <c r="G358" s="4" t="s">
        <v>22</v>
      </c>
    </row>
    <row r="359" spans="2:7" ht="15.75" customHeight="1">
      <c r="B359" s="6">
        <f t="shared" si="22"/>
        <v>46149</v>
      </c>
      <c r="C359" s="4" t="s">
        <v>167</v>
      </c>
      <c r="D359" s="4" t="s">
        <v>579</v>
      </c>
      <c r="E359" s="4" t="s">
        <v>1562</v>
      </c>
      <c r="F359" s="10" t="s">
        <v>580</v>
      </c>
      <c r="G359" s="4" t="s">
        <v>22</v>
      </c>
    </row>
    <row r="360" spans="2:7" ht="15.75" customHeight="1">
      <c r="B360" s="6">
        <f t="shared" si="22"/>
        <v>46149</v>
      </c>
      <c r="C360" s="4" t="s">
        <v>167</v>
      </c>
      <c r="D360" s="4" t="s">
        <v>33</v>
      </c>
      <c r="E360" s="4" t="s">
        <v>1562</v>
      </c>
      <c r="F360" s="10" t="s">
        <v>581</v>
      </c>
      <c r="G360" s="4" t="s">
        <v>22</v>
      </c>
    </row>
    <row r="361" spans="2:7" ht="15.75" customHeight="1">
      <c r="B361" s="6">
        <f t="shared" si="22"/>
        <v>46149</v>
      </c>
      <c r="C361" s="4" t="s">
        <v>167</v>
      </c>
      <c r="D361" s="4" t="s">
        <v>94</v>
      </c>
      <c r="E361" s="4" t="s">
        <v>1562</v>
      </c>
      <c r="F361" s="10" t="s">
        <v>582</v>
      </c>
      <c r="G361" s="4" t="s">
        <v>22</v>
      </c>
    </row>
    <row r="362" spans="2:7" ht="15.75" customHeight="1">
      <c r="B362" s="6">
        <f t="shared" si="22"/>
        <v>46149</v>
      </c>
      <c r="C362" s="4" t="s">
        <v>167</v>
      </c>
      <c r="D362" s="4" t="s">
        <v>583</v>
      </c>
      <c r="E362" s="4" t="s">
        <v>1562</v>
      </c>
      <c r="F362" s="10" t="s">
        <v>584</v>
      </c>
      <c r="G362" s="4" t="s">
        <v>585</v>
      </c>
    </row>
    <row r="363" spans="2:7" ht="15.75" customHeight="1">
      <c r="B363" s="6">
        <f t="shared" si="22"/>
        <v>46149</v>
      </c>
      <c r="C363" s="4" t="s">
        <v>586</v>
      </c>
      <c r="D363" s="4" t="s">
        <v>587</v>
      </c>
      <c r="E363" s="4" t="s">
        <v>1562</v>
      </c>
      <c r="F363" s="10" t="s">
        <v>588</v>
      </c>
      <c r="G363" s="4" t="s">
        <v>22</v>
      </c>
    </row>
    <row r="364" spans="2:7" ht="15.75" customHeight="1">
      <c r="B364" s="6">
        <f t="shared" si="22"/>
        <v>46149</v>
      </c>
      <c r="C364" s="4" t="s">
        <v>589</v>
      </c>
      <c r="D364" s="4" t="s">
        <v>561</v>
      </c>
      <c r="E364" s="4" t="s">
        <v>1562</v>
      </c>
      <c r="F364" s="10" t="s">
        <v>590</v>
      </c>
      <c r="G364" s="4" t="s">
        <v>178</v>
      </c>
    </row>
    <row r="365" spans="2:7" ht="15.75" customHeight="1">
      <c r="B365" s="6">
        <f t="shared" si="22"/>
        <v>46149</v>
      </c>
      <c r="C365" s="4" t="s">
        <v>167</v>
      </c>
      <c r="D365" s="4" t="s">
        <v>33</v>
      </c>
      <c r="E365" s="4" t="s">
        <v>1562</v>
      </c>
      <c r="F365" s="10" t="s">
        <v>591</v>
      </c>
      <c r="G365" s="4" t="s">
        <v>178</v>
      </c>
    </row>
    <row r="366" spans="2:7" ht="15.75" customHeight="1">
      <c r="B366" s="6">
        <f t="shared" si="22"/>
        <v>46149</v>
      </c>
      <c r="C366" s="4" t="s">
        <v>592</v>
      </c>
      <c r="D366" s="4" t="s">
        <v>12</v>
      </c>
      <c r="E366" s="4" t="s">
        <v>1561</v>
      </c>
      <c r="F366" s="4" t="s">
        <v>593</v>
      </c>
      <c r="G366" s="4" t="s">
        <v>178</v>
      </c>
    </row>
    <row r="367" spans="2:7" ht="15.75" customHeight="1">
      <c r="B367" s="6">
        <f t="shared" si="22"/>
        <v>46149</v>
      </c>
      <c r="C367" s="4" t="s">
        <v>594</v>
      </c>
      <c r="D367" s="4" t="s">
        <v>12</v>
      </c>
      <c r="E367" s="4" t="s">
        <v>1561</v>
      </c>
      <c r="F367" s="4" t="s">
        <v>595</v>
      </c>
      <c r="G367" s="4" t="s">
        <v>178</v>
      </c>
    </row>
    <row r="368" spans="2:7" ht="15.75" customHeight="1">
      <c r="B368" s="3">
        <v>46150</v>
      </c>
      <c r="C368" s="7" t="s">
        <v>596</v>
      </c>
      <c r="D368" s="7" t="s">
        <v>33</v>
      </c>
      <c r="E368" s="4" t="s">
        <v>1562</v>
      </c>
      <c r="F368" s="7" t="s">
        <v>597</v>
      </c>
      <c r="G368" s="7" t="s">
        <v>25</v>
      </c>
    </row>
    <row r="369" spans="2:7" ht="15.75" customHeight="1">
      <c r="B369" s="6">
        <f t="shared" ref="B369:B382" si="23">B368</f>
        <v>46150</v>
      </c>
      <c r="C369" s="7" t="s">
        <v>598</v>
      </c>
      <c r="D369" s="4" t="s">
        <v>35</v>
      </c>
      <c r="E369" s="4" t="s">
        <v>1562</v>
      </c>
      <c r="F369" s="4" t="s">
        <v>599</v>
      </c>
      <c r="G369" s="4" t="s">
        <v>61</v>
      </c>
    </row>
    <row r="370" spans="2:7" ht="15.75" customHeight="1">
      <c r="B370" s="6">
        <f t="shared" si="23"/>
        <v>46150</v>
      </c>
      <c r="C370" s="7" t="s">
        <v>167</v>
      </c>
      <c r="D370" s="4" t="s">
        <v>204</v>
      </c>
      <c r="E370" s="4" t="s">
        <v>1562</v>
      </c>
      <c r="F370" s="4" t="s">
        <v>600</v>
      </c>
      <c r="G370" s="4" t="s">
        <v>419</v>
      </c>
    </row>
    <row r="371" spans="2:7" ht="15.75" customHeight="1">
      <c r="B371" s="6">
        <f t="shared" si="23"/>
        <v>46150</v>
      </c>
      <c r="C371" s="7" t="s">
        <v>167</v>
      </c>
      <c r="D371" s="4" t="s">
        <v>35</v>
      </c>
      <c r="E371" s="4" t="s">
        <v>1562</v>
      </c>
      <c r="F371" s="4" t="s">
        <v>601</v>
      </c>
      <c r="G371" s="4" t="s">
        <v>22</v>
      </c>
    </row>
    <row r="372" spans="2:7" ht="15.75" customHeight="1">
      <c r="B372" s="6">
        <f t="shared" si="23"/>
        <v>46150</v>
      </c>
      <c r="C372" s="7" t="s">
        <v>602</v>
      </c>
      <c r="D372" s="4" t="s">
        <v>603</v>
      </c>
      <c r="E372" s="4" t="s">
        <v>1562</v>
      </c>
      <c r="F372" s="4" t="s">
        <v>604</v>
      </c>
      <c r="G372" s="4" t="s">
        <v>25</v>
      </c>
    </row>
    <row r="373" spans="2:7" ht="15.75" customHeight="1">
      <c r="B373" s="6">
        <f t="shared" si="23"/>
        <v>46150</v>
      </c>
      <c r="C373" s="7" t="s">
        <v>605</v>
      </c>
      <c r="D373" s="4" t="s">
        <v>94</v>
      </c>
      <c r="E373" s="4" t="s">
        <v>1562</v>
      </c>
      <c r="F373" s="4" t="s">
        <v>606</v>
      </c>
      <c r="G373" s="4" t="s">
        <v>25</v>
      </c>
    </row>
    <row r="374" spans="2:7" ht="15.75" customHeight="1">
      <c r="B374" s="6">
        <f t="shared" si="23"/>
        <v>46150</v>
      </c>
      <c r="C374" s="7" t="s">
        <v>167</v>
      </c>
      <c r="D374" s="4" t="s">
        <v>35</v>
      </c>
      <c r="E374" s="4" t="s">
        <v>1562</v>
      </c>
      <c r="F374" s="10" t="s">
        <v>607</v>
      </c>
      <c r="G374" s="4" t="s">
        <v>362</v>
      </c>
    </row>
    <row r="375" spans="2:7" ht="15.75" customHeight="1">
      <c r="B375" s="6">
        <f t="shared" si="23"/>
        <v>46150</v>
      </c>
      <c r="C375" s="4" t="s">
        <v>608</v>
      </c>
      <c r="D375" s="4" t="s">
        <v>6</v>
      </c>
      <c r="E375" s="4" t="s">
        <v>1562</v>
      </c>
      <c r="F375" s="10" t="s">
        <v>609</v>
      </c>
      <c r="G375" s="4" t="s">
        <v>22</v>
      </c>
    </row>
    <row r="376" spans="2:7" ht="15.75" customHeight="1">
      <c r="B376" s="6">
        <f t="shared" si="23"/>
        <v>46150</v>
      </c>
      <c r="C376" s="4" t="s">
        <v>610</v>
      </c>
      <c r="D376" s="4" t="s">
        <v>72</v>
      </c>
      <c r="E376" s="4" t="s">
        <v>1562</v>
      </c>
      <c r="F376" s="10" t="s">
        <v>611</v>
      </c>
      <c r="G376" s="4" t="s">
        <v>22</v>
      </c>
    </row>
    <row r="377" spans="2:7" ht="15.75" customHeight="1">
      <c r="B377" s="6">
        <f t="shared" si="23"/>
        <v>46150</v>
      </c>
      <c r="C377" s="4" t="s">
        <v>612</v>
      </c>
      <c r="D377" s="4" t="s">
        <v>613</v>
      </c>
      <c r="E377" s="4" t="s">
        <v>1562</v>
      </c>
      <c r="F377" s="4" t="s">
        <v>614</v>
      </c>
      <c r="G377" s="4" t="s">
        <v>22</v>
      </c>
    </row>
    <row r="378" spans="2:7" ht="15.75" customHeight="1">
      <c r="B378" s="6">
        <f t="shared" si="23"/>
        <v>46150</v>
      </c>
      <c r="C378" s="4" t="s">
        <v>167</v>
      </c>
      <c r="D378" s="8"/>
      <c r="E378" s="4" t="s">
        <v>1562</v>
      </c>
      <c r="F378" s="4" t="s">
        <v>615</v>
      </c>
      <c r="G378" s="4" t="s">
        <v>22</v>
      </c>
    </row>
    <row r="379" spans="2:7" ht="15.75" customHeight="1">
      <c r="B379" s="6">
        <f t="shared" si="23"/>
        <v>46150</v>
      </c>
      <c r="C379" s="4" t="s">
        <v>26</v>
      </c>
      <c r="D379" s="4" t="s">
        <v>16</v>
      </c>
      <c r="E379" s="4" t="s">
        <v>1561</v>
      </c>
      <c r="F379" s="4" t="s">
        <v>616</v>
      </c>
      <c r="G379" s="4" t="s">
        <v>617</v>
      </c>
    </row>
    <row r="380" spans="2:7" ht="15.75" customHeight="1">
      <c r="B380" s="6">
        <f t="shared" si="23"/>
        <v>46150</v>
      </c>
      <c r="C380" s="4" t="s">
        <v>26</v>
      </c>
      <c r="D380" s="4" t="s">
        <v>12</v>
      </c>
      <c r="E380" s="4" t="s">
        <v>1561</v>
      </c>
      <c r="F380" s="4" t="s">
        <v>618</v>
      </c>
      <c r="G380" s="4" t="s">
        <v>22</v>
      </c>
    </row>
    <row r="381" spans="2:7" ht="15.75" customHeight="1">
      <c r="B381" s="6">
        <f t="shared" si="23"/>
        <v>46150</v>
      </c>
      <c r="C381" s="4" t="s">
        <v>619</v>
      </c>
      <c r="D381" s="4" t="s">
        <v>12</v>
      </c>
      <c r="E381" s="4" t="s">
        <v>1561</v>
      </c>
      <c r="F381" s="4" t="s">
        <v>620</v>
      </c>
      <c r="G381" s="4" t="s">
        <v>42</v>
      </c>
    </row>
    <row r="382" spans="2:7" ht="15.75" customHeight="1">
      <c r="B382" s="6">
        <f t="shared" si="23"/>
        <v>46150</v>
      </c>
      <c r="C382" s="4" t="s">
        <v>621</v>
      </c>
      <c r="D382" s="4" t="s">
        <v>12</v>
      </c>
      <c r="E382" s="4" t="s">
        <v>1561</v>
      </c>
      <c r="F382" s="4" t="s">
        <v>622</v>
      </c>
      <c r="G382" s="4" t="s">
        <v>42</v>
      </c>
    </row>
    <row r="383" spans="2:7" ht="15.75" customHeight="1">
      <c r="B383" s="3">
        <v>46151</v>
      </c>
      <c r="C383" s="7" t="s">
        <v>623</v>
      </c>
      <c r="D383" s="7" t="s">
        <v>624</v>
      </c>
      <c r="E383" s="4" t="s">
        <v>1561</v>
      </c>
      <c r="F383" s="7" t="s">
        <v>625</v>
      </c>
      <c r="G383" s="7" t="s">
        <v>42</v>
      </c>
    </row>
    <row r="384" spans="2:7" ht="15.75" customHeight="1">
      <c r="B384" s="6">
        <f t="shared" ref="B384:B391" si="24">B383</f>
        <v>46151</v>
      </c>
      <c r="C384" s="4" t="s">
        <v>626</v>
      </c>
      <c r="D384" s="4" t="s">
        <v>627</v>
      </c>
      <c r="E384" s="4" t="s">
        <v>1561</v>
      </c>
      <c r="F384" s="4" t="s">
        <v>628</v>
      </c>
      <c r="G384" s="4" t="s">
        <v>42</v>
      </c>
    </row>
    <row r="385" spans="2:7" ht="15.75" customHeight="1">
      <c r="B385" s="6">
        <f t="shared" si="24"/>
        <v>46151</v>
      </c>
      <c r="C385" s="4" t="s">
        <v>167</v>
      </c>
      <c r="D385" s="4" t="s">
        <v>35</v>
      </c>
      <c r="E385" s="4" t="s">
        <v>1562</v>
      </c>
      <c r="F385" s="4" t="s">
        <v>629</v>
      </c>
      <c r="G385" s="4" t="s">
        <v>182</v>
      </c>
    </row>
    <row r="386" spans="2:7" ht="15.75" customHeight="1">
      <c r="B386" s="6">
        <f t="shared" si="24"/>
        <v>46151</v>
      </c>
      <c r="C386" s="4" t="s">
        <v>74</v>
      </c>
      <c r="D386" s="4" t="s">
        <v>16</v>
      </c>
      <c r="E386" s="4" t="s">
        <v>1562</v>
      </c>
      <c r="F386" s="4" t="s">
        <v>630</v>
      </c>
      <c r="G386" s="4" t="s">
        <v>42</v>
      </c>
    </row>
    <row r="387" spans="2:7" ht="15.75" customHeight="1">
      <c r="B387" s="6">
        <f t="shared" si="24"/>
        <v>46151</v>
      </c>
      <c r="C387" s="4" t="s">
        <v>167</v>
      </c>
      <c r="D387" s="4" t="s">
        <v>16</v>
      </c>
      <c r="E387" s="4" t="s">
        <v>1562</v>
      </c>
      <c r="F387" s="4" t="s">
        <v>631</v>
      </c>
      <c r="G387" s="4" t="s">
        <v>182</v>
      </c>
    </row>
    <row r="388" spans="2:7" ht="15.75" customHeight="1">
      <c r="B388" s="6">
        <f t="shared" si="24"/>
        <v>46151</v>
      </c>
      <c r="C388" s="4" t="s">
        <v>167</v>
      </c>
      <c r="D388" s="4" t="s">
        <v>33</v>
      </c>
      <c r="E388" s="4" t="s">
        <v>1562</v>
      </c>
      <c r="F388" s="4" t="s">
        <v>632</v>
      </c>
      <c r="G388" s="4" t="s">
        <v>182</v>
      </c>
    </row>
    <row r="389" spans="2:7" ht="15.75" customHeight="1">
      <c r="B389" s="6">
        <f t="shared" si="24"/>
        <v>46151</v>
      </c>
      <c r="C389" s="4" t="s">
        <v>167</v>
      </c>
      <c r="D389" s="4" t="s">
        <v>33</v>
      </c>
      <c r="E389" s="4" t="s">
        <v>1562</v>
      </c>
      <c r="F389" s="4" t="s">
        <v>633</v>
      </c>
      <c r="G389" s="4" t="s">
        <v>182</v>
      </c>
    </row>
    <row r="390" spans="2:7" ht="15.75" customHeight="1">
      <c r="B390" s="6">
        <f t="shared" si="24"/>
        <v>46151</v>
      </c>
      <c r="C390" s="4" t="s">
        <v>74</v>
      </c>
      <c r="D390" s="4" t="s">
        <v>16</v>
      </c>
      <c r="E390" s="4" t="s">
        <v>1562</v>
      </c>
      <c r="F390" s="4" t="s">
        <v>634</v>
      </c>
      <c r="G390" s="4" t="s">
        <v>42</v>
      </c>
    </row>
    <row r="391" spans="2:7" ht="15.75" customHeight="1">
      <c r="B391" s="6">
        <f t="shared" si="24"/>
        <v>46151</v>
      </c>
      <c r="C391" s="4" t="s">
        <v>635</v>
      </c>
      <c r="D391" s="4" t="s">
        <v>16</v>
      </c>
      <c r="E391" s="4" t="s">
        <v>1562</v>
      </c>
      <c r="F391" s="4" t="s">
        <v>636</v>
      </c>
      <c r="G391" s="4" t="s">
        <v>182</v>
      </c>
    </row>
    <row r="392" spans="2:7" ht="15.75" customHeight="1">
      <c r="B392" s="3">
        <v>46152</v>
      </c>
      <c r="C392" s="7" t="s">
        <v>25</v>
      </c>
      <c r="D392" s="7" t="s">
        <v>637</v>
      </c>
      <c r="E392" s="4" t="s">
        <v>1561</v>
      </c>
      <c r="F392" s="7" t="s">
        <v>638</v>
      </c>
      <c r="G392" s="7" t="s">
        <v>639</v>
      </c>
    </row>
    <row r="393" spans="2:7" ht="15.75" customHeight="1">
      <c r="B393" s="6">
        <f t="shared" ref="B393:B412" si="25">B392</f>
        <v>46152</v>
      </c>
      <c r="C393" s="7" t="s">
        <v>640</v>
      </c>
      <c r="D393" s="7" t="s">
        <v>641</v>
      </c>
      <c r="E393" s="4" t="s">
        <v>1561</v>
      </c>
      <c r="F393" s="7" t="s">
        <v>642</v>
      </c>
      <c r="G393" s="7" t="s">
        <v>25</v>
      </c>
    </row>
    <row r="394" spans="2:7" ht="15.75" customHeight="1">
      <c r="B394" s="6">
        <f t="shared" si="25"/>
        <v>46152</v>
      </c>
      <c r="C394" s="4" t="s">
        <v>643</v>
      </c>
      <c r="D394" s="4" t="s">
        <v>16</v>
      </c>
      <c r="E394" s="4" t="s">
        <v>1561</v>
      </c>
      <c r="F394" s="4" t="s">
        <v>644</v>
      </c>
      <c r="G394" s="4" t="s">
        <v>285</v>
      </c>
    </row>
    <row r="395" spans="2:7" ht="15.75" customHeight="1">
      <c r="B395" s="6">
        <f t="shared" si="25"/>
        <v>46152</v>
      </c>
      <c r="C395" s="4" t="s">
        <v>249</v>
      </c>
      <c r="D395" s="4" t="s">
        <v>9</v>
      </c>
      <c r="E395" s="4" t="s">
        <v>1562</v>
      </c>
      <c r="F395" s="4" t="s">
        <v>645</v>
      </c>
      <c r="G395" s="4" t="s">
        <v>22</v>
      </c>
    </row>
    <row r="396" spans="2:7" ht="15.75" customHeight="1">
      <c r="B396" s="6">
        <f t="shared" si="25"/>
        <v>46152</v>
      </c>
      <c r="C396" s="4" t="s">
        <v>167</v>
      </c>
      <c r="D396" s="4" t="s">
        <v>72</v>
      </c>
      <c r="E396" s="4" t="s">
        <v>1562</v>
      </c>
      <c r="F396" s="4" t="s">
        <v>646</v>
      </c>
      <c r="G396" s="4" t="s">
        <v>14</v>
      </c>
    </row>
    <row r="397" spans="2:7" ht="15.75" customHeight="1">
      <c r="B397" s="6">
        <f t="shared" si="25"/>
        <v>46152</v>
      </c>
      <c r="C397" s="4" t="s">
        <v>647</v>
      </c>
      <c r="D397" s="4" t="s">
        <v>76</v>
      </c>
      <c r="E397" s="4" t="s">
        <v>1562</v>
      </c>
      <c r="F397" s="10" t="s">
        <v>648</v>
      </c>
      <c r="G397" s="4" t="s">
        <v>14</v>
      </c>
    </row>
    <row r="398" spans="2:7" ht="15.75" customHeight="1">
      <c r="B398" s="6">
        <f t="shared" si="25"/>
        <v>46152</v>
      </c>
      <c r="C398" s="4" t="s">
        <v>26</v>
      </c>
      <c r="D398" s="4" t="s">
        <v>376</v>
      </c>
      <c r="E398" s="4" t="s">
        <v>1562</v>
      </c>
      <c r="F398" s="4" t="s">
        <v>601</v>
      </c>
      <c r="G398" s="4" t="s">
        <v>61</v>
      </c>
    </row>
    <row r="399" spans="2:7" ht="15.75" customHeight="1">
      <c r="B399" s="6">
        <f t="shared" si="25"/>
        <v>46152</v>
      </c>
      <c r="C399" s="4" t="s">
        <v>649</v>
      </c>
      <c r="D399" s="4" t="s">
        <v>53</v>
      </c>
      <c r="E399" s="4" t="s">
        <v>1562</v>
      </c>
      <c r="F399" s="4" t="s">
        <v>650</v>
      </c>
      <c r="G399" s="4" t="s">
        <v>14</v>
      </c>
    </row>
    <row r="400" spans="2:7" ht="15.75" customHeight="1">
      <c r="B400" s="6">
        <f t="shared" si="25"/>
        <v>46152</v>
      </c>
      <c r="C400" s="4" t="s">
        <v>651</v>
      </c>
      <c r="D400" s="4" t="s">
        <v>144</v>
      </c>
      <c r="E400" s="4" t="s">
        <v>1562</v>
      </c>
      <c r="F400" s="4" t="s">
        <v>652</v>
      </c>
      <c r="G400" s="4" t="s">
        <v>653</v>
      </c>
    </row>
    <row r="401" spans="2:7" ht="15.75" customHeight="1">
      <c r="B401" s="6">
        <f t="shared" si="25"/>
        <v>46152</v>
      </c>
      <c r="C401" s="4" t="s">
        <v>654</v>
      </c>
      <c r="D401" s="4" t="s">
        <v>33</v>
      </c>
      <c r="E401" s="4" t="s">
        <v>1562</v>
      </c>
      <c r="F401" s="4" t="s">
        <v>655</v>
      </c>
      <c r="G401" s="4" t="s">
        <v>25</v>
      </c>
    </row>
    <row r="402" spans="2:7" ht="15.75" customHeight="1">
      <c r="B402" s="6">
        <f t="shared" si="25"/>
        <v>46152</v>
      </c>
      <c r="C402" s="4" t="s">
        <v>656</v>
      </c>
      <c r="D402" s="4" t="s">
        <v>204</v>
      </c>
      <c r="E402" s="4" t="s">
        <v>1562</v>
      </c>
      <c r="F402" s="4" t="s">
        <v>657</v>
      </c>
      <c r="G402" s="4" t="s">
        <v>25</v>
      </c>
    </row>
    <row r="403" spans="2:7" ht="15.75" customHeight="1">
      <c r="B403" s="6">
        <f t="shared" si="25"/>
        <v>46152</v>
      </c>
      <c r="C403" s="4" t="s">
        <v>658</v>
      </c>
      <c r="D403" s="4" t="s">
        <v>252</v>
      </c>
      <c r="E403" s="4" t="s">
        <v>1562</v>
      </c>
      <c r="F403" s="4" t="s">
        <v>659</v>
      </c>
      <c r="G403" s="4" t="s">
        <v>178</v>
      </c>
    </row>
    <row r="404" spans="2:7" ht="15.75" customHeight="1">
      <c r="B404" s="6">
        <f t="shared" si="25"/>
        <v>46152</v>
      </c>
      <c r="C404" s="4" t="s">
        <v>26</v>
      </c>
      <c r="D404" s="4" t="s">
        <v>33</v>
      </c>
      <c r="E404" s="4" t="s">
        <v>1562</v>
      </c>
      <c r="F404" s="4" t="s">
        <v>569</v>
      </c>
      <c r="G404" s="4" t="s">
        <v>22</v>
      </c>
    </row>
    <row r="405" spans="2:7" ht="15.75" customHeight="1">
      <c r="B405" s="6">
        <f t="shared" si="25"/>
        <v>46152</v>
      </c>
      <c r="C405" s="4" t="s">
        <v>651</v>
      </c>
      <c r="D405" s="4" t="s">
        <v>33</v>
      </c>
      <c r="E405" s="4" t="s">
        <v>1562</v>
      </c>
      <c r="F405" s="10" t="s">
        <v>660</v>
      </c>
      <c r="G405" s="4" t="s">
        <v>74</v>
      </c>
    </row>
    <row r="406" spans="2:7" ht="15.75" customHeight="1">
      <c r="B406" s="6">
        <f t="shared" si="25"/>
        <v>46152</v>
      </c>
      <c r="C406" s="4" t="s">
        <v>26</v>
      </c>
      <c r="D406" s="4" t="s">
        <v>33</v>
      </c>
      <c r="E406" s="4" t="s">
        <v>1562</v>
      </c>
      <c r="F406" s="10" t="s">
        <v>661</v>
      </c>
      <c r="G406" s="4" t="s">
        <v>22</v>
      </c>
    </row>
    <row r="407" spans="2:7" ht="15.75" customHeight="1">
      <c r="B407" s="6">
        <f t="shared" si="25"/>
        <v>46152</v>
      </c>
      <c r="C407" s="4" t="s">
        <v>662</v>
      </c>
      <c r="D407" s="4" t="s">
        <v>204</v>
      </c>
      <c r="E407" s="4" t="s">
        <v>1562</v>
      </c>
      <c r="F407" s="10" t="s">
        <v>663</v>
      </c>
      <c r="G407" s="4" t="s">
        <v>74</v>
      </c>
    </row>
    <row r="408" spans="2:7" ht="15.75" customHeight="1">
      <c r="B408" s="6">
        <f t="shared" si="25"/>
        <v>46152</v>
      </c>
      <c r="C408" s="4" t="s">
        <v>26</v>
      </c>
      <c r="D408" s="4" t="s">
        <v>376</v>
      </c>
      <c r="E408" s="4" t="s">
        <v>1562</v>
      </c>
      <c r="F408" s="4" t="s">
        <v>664</v>
      </c>
      <c r="G408" s="4" t="s">
        <v>487</v>
      </c>
    </row>
    <row r="409" spans="2:7" ht="15.75" customHeight="1">
      <c r="B409" s="6">
        <f t="shared" si="25"/>
        <v>46152</v>
      </c>
      <c r="C409" s="4" t="s">
        <v>665</v>
      </c>
      <c r="D409" s="4" t="s">
        <v>33</v>
      </c>
      <c r="E409" s="4" t="s">
        <v>1561</v>
      </c>
      <c r="F409" s="4" t="s">
        <v>666</v>
      </c>
      <c r="G409" s="4" t="s">
        <v>74</v>
      </c>
    </row>
    <row r="410" spans="2:7" ht="15.75" customHeight="1">
      <c r="B410" s="6">
        <f t="shared" si="25"/>
        <v>46152</v>
      </c>
      <c r="C410" s="4" t="s">
        <v>667</v>
      </c>
      <c r="D410" s="4" t="s">
        <v>16</v>
      </c>
      <c r="E410" s="4" t="s">
        <v>1561</v>
      </c>
      <c r="F410" s="4" t="s">
        <v>668</v>
      </c>
      <c r="G410" s="4" t="s">
        <v>25</v>
      </c>
    </row>
    <row r="411" spans="2:7" ht="15.75" customHeight="1">
      <c r="B411" s="6">
        <f t="shared" si="25"/>
        <v>46152</v>
      </c>
      <c r="C411" s="4" t="s">
        <v>669</v>
      </c>
      <c r="D411" s="4" t="s">
        <v>376</v>
      </c>
      <c r="E411" s="4" t="s">
        <v>1561</v>
      </c>
      <c r="F411" s="10" t="s">
        <v>670</v>
      </c>
      <c r="G411" s="4" t="s">
        <v>669</v>
      </c>
    </row>
    <row r="412" spans="2:7" ht="15.75" customHeight="1">
      <c r="B412" s="6">
        <f t="shared" si="25"/>
        <v>46152</v>
      </c>
      <c r="C412" s="4" t="s">
        <v>671</v>
      </c>
      <c r="D412" s="4" t="s">
        <v>672</v>
      </c>
      <c r="E412" s="4" t="s">
        <v>1561</v>
      </c>
      <c r="F412" s="4" t="s">
        <v>673</v>
      </c>
      <c r="G412" s="4" t="s">
        <v>674</v>
      </c>
    </row>
    <row r="413" spans="2:7" ht="15.75" customHeight="1">
      <c r="B413" s="3">
        <v>46153</v>
      </c>
      <c r="C413" s="7" t="s">
        <v>675</v>
      </c>
      <c r="D413" s="7" t="s">
        <v>33</v>
      </c>
      <c r="E413" s="4" t="s">
        <v>1561</v>
      </c>
      <c r="F413" s="7" t="s">
        <v>676</v>
      </c>
      <c r="G413" s="7" t="s">
        <v>25</v>
      </c>
    </row>
    <row r="414" spans="2:7" ht="15.75" customHeight="1">
      <c r="B414" s="6">
        <f t="shared" ref="B414:B430" si="26">B413</f>
        <v>46153</v>
      </c>
      <c r="C414" s="4" t="s">
        <v>677</v>
      </c>
      <c r="D414" s="4" t="s">
        <v>33</v>
      </c>
      <c r="E414" s="4" t="s">
        <v>1561</v>
      </c>
      <c r="F414" s="4" t="s">
        <v>678</v>
      </c>
      <c r="G414" s="4" t="s">
        <v>25</v>
      </c>
    </row>
    <row r="415" spans="2:7" ht="15.75" customHeight="1">
      <c r="B415" s="6">
        <f t="shared" si="26"/>
        <v>46153</v>
      </c>
      <c r="C415" s="4" t="s">
        <v>679</v>
      </c>
      <c r="D415" s="4" t="s">
        <v>283</v>
      </c>
      <c r="E415" s="4" t="s">
        <v>1561</v>
      </c>
      <c r="F415" s="4" t="s">
        <v>680</v>
      </c>
      <c r="G415" s="4" t="s">
        <v>25</v>
      </c>
    </row>
    <row r="416" spans="2:7" ht="15.75" customHeight="1">
      <c r="B416" s="6">
        <f t="shared" si="26"/>
        <v>46153</v>
      </c>
      <c r="C416" s="4" t="s">
        <v>681</v>
      </c>
      <c r="D416" s="4" t="s">
        <v>35</v>
      </c>
      <c r="E416" s="4" t="s">
        <v>1561</v>
      </c>
      <c r="F416" s="4" t="s">
        <v>682</v>
      </c>
      <c r="G416" s="4" t="s">
        <v>25</v>
      </c>
    </row>
    <row r="417" spans="2:7" ht="15.75" customHeight="1">
      <c r="B417" s="6">
        <f t="shared" si="26"/>
        <v>46153</v>
      </c>
      <c r="C417" s="4" t="s">
        <v>683</v>
      </c>
      <c r="D417" s="4" t="s">
        <v>33</v>
      </c>
      <c r="E417" s="4" t="s">
        <v>1562</v>
      </c>
      <c r="F417" s="4" t="s">
        <v>684</v>
      </c>
      <c r="G417" s="4" t="s">
        <v>22</v>
      </c>
    </row>
    <row r="418" spans="2:7" ht="15.75" customHeight="1">
      <c r="B418" s="6">
        <f t="shared" si="26"/>
        <v>46153</v>
      </c>
      <c r="C418" s="4" t="s">
        <v>685</v>
      </c>
      <c r="D418" s="4" t="s">
        <v>29</v>
      </c>
      <c r="E418" s="4" t="s">
        <v>1562</v>
      </c>
      <c r="F418" s="4" t="s">
        <v>686</v>
      </c>
      <c r="G418" s="4" t="s">
        <v>25</v>
      </c>
    </row>
    <row r="419" spans="2:7" ht="15.75" customHeight="1">
      <c r="B419" s="6">
        <f t="shared" si="26"/>
        <v>46153</v>
      </c>
      <c r="C419" s="4" t="s">
        <v>687</v>
      </c>
      <c r="D419" s="4" t="s">
        <v>67</v>
      </c>
      <c r="E419" s="4" t="s">
        <v>1562</v>
      </c>
      <c r="F419" s="4" t="s">
        <v>688</v>
      </c>
      <c r="G419" s="4" t="s">
        <v>22</v>
      </c>
    </row>
    <row r="420" spans="2:7" ht="15.75" customHeight="1">
      <c r="B420" s="6">
        <f t="shared" si="26"/>
        <v>46153</v>
      </c>
      <c r="C420" s="4" t="s">
        <v>689</v>
      </c>
      <c r="D420" s="4" t="s">
        <v>53</v>
      </c>
      <c r="E420" s="4" t="s">
        <v>1562</v>
      </c>
      <c r="F420" s="4" t="s">
        <v>690</v>
      </c>
      <c r="G420" s="4" t="s">
        <v>25</v>
      </c>
    </row>
    <row r="421" spans="2:7" ht="15.75" customHeight="1">
      <c r="B421" s="6">
        <f t="shared" si="26"/>
        <v>46153</v>
      </c>
      <c r="C421" s="16" t="s">
        <v>167</v>
      </c>
      <c r="D421" s="4" t="s">
        <v>198</v>
      </c>
      <c r="E421" s="4" t="s">
        <v>1562</v>
      </c>
      <c r="F421" s="4" t="s">
        <v>691</v>
      </c>
      <c r="G421" s="4" t="s">
        <v>22</v>
      </c>
    </row>
    <row r="422" spans="2:7" ht="15.75" customHeight="1">
      <c r="B422" s="6">
        <f t="shared" si="26"/>
        <v>46153</v>
      </c>
      <c r="C422" s="4" t="s">
        <v>692</v>
      </c>
      <c r="D422" s="4" t="s">
        <v>9</v>
      </c>
      <c r="E422" s="4" t="s">
        <v>1562</v>
      </c>
      <c r="F422" s="4" t="s">
        <v>693</v>
      </c>
      <c r="G422" s="4" t="s">
        <v>25</v>
      </c>
    </row>
    <row r="423" spans="2:7" ht="15.75" customHeight="1">
      <c r="B423" s="6">
        <f t="shared" si="26"/>
        <v>46153</v>
      </c>
      <c r="C423" s="4" t="s">
        <v>694</v>
      </c>
      <c r="D423" s="4" t="s">
        <v>695</v>
      </c>
      <c r="E423" s="4" t="s">
        <v>1562</v>
      </c>
      <c r="F423" s="4" t="s">
        <v>696</v>
      </c>
      <c r="G423" s="4" t="s">
        <v>25</v>
      </c>
    </row>
    <row r="424" spans="2:7" ht="15.75" customHeight="1">
      <c r="B424" s="6">
        <f t="shared" si="26"/>
        <v>46153</v>
      </c>
      <c r="C424" s="4" t="s">
        <v>697</v>
      </c>
      <c r="D424" s="4" t="s">
        <v>698</v>
      </c>
      <c r="E424" s="4" t="s">
        <v>1562</v>
      </c>
      <c r="F424" s="4" t="s">
        <v>699</v>
      </c>
      <c r="G424" s="4" t="s">
        <v>104</v>
      </c>
    </row>
    <row r="425" spans="2:7" ht="15.75" customHeight="1">
      <c r="B425" s="6">
        <f t="shared" si="26"/>
        <v>46153</v>
      </c>
      <c r="C425" s="4" t="s">
        <v>167</v>
      </c>
      <c r="D425" s="4" t="s">
        <v>94</v>
      </c>
      <c r="E425" s="4" t="s">
        <v>1562</v>
      </c>
      <c r="F425" s="4" t="s">
        <v>700</v>
      </c>
      <c r="G425" s="4" t="s">
        <v>14</v>
      </c>
    </row>
    <row r="426" spans="2:7" ht="15.75" customHeight="1">
      <c r="B426" s="6">
        <f t="shared" si="26"/>
        <v>46153</v>
      </c>
      <c r="C426" s="4" t="s">
        <v>167</v>
      </c>
      <c r="D426" s="4" t="s">
        <v>67</v>
      </c>
      <c r="E426" s="4" t="s">
        <v>1562</v>
      </c>
      <c r="F426" s="4" t="s">
        <v>701</v>
      </c>
      <c r="G426" s="4" t="s">
        <v>104</v>
      </c>
    </row>
    <row r="427" spans="2:7" ht="15.75" customHeight="1">
      <c r="B427" s="6">
        <f t="shared" si="26"/>
        <v>46153</v>
      </c>
      <c r="C427" s="4" t="s">
        <v>702</v>
      </c>
      <c r="D427" s="4" t="s">
        <v>33</v>
      </c>
      <c r="E427" s="4" t="s">
        <v>1562</v>
      </c>
      <c r="F427" s="10" t="s">
        <v>703</v>
      </c>
      <c r="G427" s="4" t="s">
        <v>25</v>
      </c>
    </row>
    <row r="428" spans="2:7" ht="15.75" customHeight="1">
      <c r="B428" s="6">
        <f t="shared" si="26"/>
        <v>46153</v>
      </c>
      <c r="C428" s="4" t="s">
        <v>704</v>
      </c>
      <c r="D428" s="4" t="s">
        <v>12</v>
      </c>
      <c r="E428" s="4" t="s">
        <v>1561</v>
      </c>
      <c r="F428" s="4" t="s">
        <v>705</v>
      </c>
      <c r="G428" s="4" t="s">
        <v>25</v>
      </c>
    </row>
    <row r="429" spans="2:7" ht="15.75" customHeight="1">
      <c r="B429" s="6">
        <f t="shared" si="26"/>
        <v>46153</v>
      </c>
      <c r="C429" s="4" t="s">
        <v>706</v>
      </c>
      <c r="D429" s="4" t="s">
        <v>707</v>
      </c>
      <c r="E429" s="4" t="s">
        <v>1561</v>
      </c>
      <c r="F429" s="4" t="s">
        <v>708</v>
      </c>
      <c r="G429" s="4" t="s">
        <v>42</v>
      </c>
    </row>
    <row r="430" spans="2:7" ht="15.75" customHeight="1">
      <c r="B430" s="6">
        <f t="shared" si="26"/>
        <v>46153</v>
      </c>
      <c r="C430" s="4" t="s">
        <v>709</v>
      </c>
      <c r="D430" s="4" t="s">
        <v>710</v>
      </c>
      <c r="E430" s="4" t="s">
        <v>1561</v>
      </c>
      <c r="F430" s="4" t="s">
        <v>711</v>
      </c>
      <c r="G430" s="4" t="s">
        <v>42</v>
      </c>
    </row>
    <row r="431" spans="2:7" ht="15.75" customHeight="1">
      <c r="B431" s="3">
        <v>46154</v>
      </c>
      <c r="C431" s="7" t="s">
        <v>712</v>
      </c>
      <c r="D431" s="7" t="s">
        <v>85</v>
      </c>
      <c r="E431" s="4" t="s">
        <v>1562</v>
      </c>
      <c r="F431" s="7" t="s">
        <v>713</v>
      </c>
      <c r="G431" s="7" t="s">
        <v>182</v>
      </c>
    </row>
    <row r="432" spans="2:7" ht="15.75" customHeight="1">
      <c r="B432" s="6">
        <f t="shared" ref="B432:B441" si="27">B431</f>
        <v>46154</v>
      </c>
      <c r="C432" s="7" t="s">
        <v>712</v>
      </c>
      <c r="D432" s="4" t="s">
        <v>714</v>
      </c>
      <c r="E432" s="4" t="s">
        <v>1562</v>
      </c>
      <c r="F432" s="4" t="s">
        <v>715</v>
      </c>
      <c r="G432" s="7" t="s">
        <v>182</v>
      </c>
    </row>
    <row r="433" spans="2:7" ht="15.75" customHeight="1">
      <c r="B433" s="6">
        <f t="shared" si="27"/>
        <v>46154</v>
      </c>
      <c r="C433" s="7" t="s">
        <v>712</v>
      </c>
      <c r="D433" s="4" t="s">
        <v>33</v>
      </c>
      <c r="E433" s="4" t="s">
        <v>1562</v>
      </c>
      <c r="F433" s="4" t="s">
        <v>716</v>
      </c>
      <c r="G433" s="7" t="s">
        <v>182</v>
      </c>
    </row>
    <row r="434" spans="2:7" ht="15.75" customHeight="1">
      <c r="B434" s="6">
        <f t="shared" si="27"/>
        <v>46154</v>
      </c>
      <c r="C434" s="7" t="s">
        <v>712</v>
      </c>
      <c r="D434" s="4" t="s">
        <v>94</v>
      </c>
      <c r="E434" s="4" t="s">
        <v>1562</v>
      </c>
      <c r="F434" s="4" t="s">
        <v>717</v>
      </c>
      <c r="G434" s="7" t="s">
        <v>182</v>
      </c>
    </row>
    <row r="435" spans="2:7" ht="15.75" customHeight="1">
      <c r="B435" s="6">
        <f t="shared" si="27"/>
        <v>46154</v>
      </c>
      <c r="C435" s="7" t="s">
        <v>712</v>
      </c>
      <c r="D435" s="4" t="s">
        <v>29</v>
      </c>
      <c r="E435" s="4" t="s">
        <v>1562</v>
      </c>
      <c r="F435" s="4" t="s">
        <v>718</v>
      </c>
      <c r="G435" s="7" t="s">
        <v>182</v>
      </c>
    </row>
    <row r="436" spans="2:7" ht="15.75" customHeight="1">
      <c r="B436" s="6">
        <f t="shared" si="27"/>
        <v>46154</v>
      </c>
      <c r="C436" s="7" t="s">
        <v>712</v>
      </c>
      <c r="D436" s="4" t="s">
        <v>67</v>
      </c>
      <c r="E436" s="4" t="s">
        <v>1562</v>
      </c>
      <c r="F436" s="4" t="s">
        <v>719</v>
      </c>
      <c r="G436" s="7" t="s">
        <v>182</v>
      </c>
    </row>
    <row r="437" spans="2:7" ht="15.75" customHeight="1">
      <c r="B437" s="6">
        <f t="shared" si="27"/>
        <v>46154</v>
      </c>
      <c r="C437" s="7" t="s">
        <v>712</v>
      </c>
      <c r="D437" s="4" t="s">
        <v>6</v>
      </c>
      <c r="E437" s="4" t="s">
        <v>1562</v>
      </c>
      <c r="F437" s="4" t="s">
        <v>720</v>
      </c>
      <c r="G437" s="7" t="s">
        <v>182</v>
      </c>
    </row>
    <row r="438" spans="2:7" ht="15.75" customHeight="1">
      <c r="B438" s="6">
        <f t="shared" si="27"/>
        <v>46154</v>
      </c>
      <c r="C438" s="7" t="s">
        <v>721</v>
      </c>
      <c r="D438" s="4" t="s">
        <v>72</v>
      </c>
      <c r="E438" s="4" t="s">
        <v>1562</v>
      </c>
      <c r="F438" s="4" t="s">
        <v>722</v>
      </c>
      <c r="G438" s="7" t="s">
        <v>182</v>
      </c>
    </row>
    <row r="439" spans="2:7" ht="15.75" customHeight="1">
      <c r="B439" s="6">
        <f t="shared" si="27"/>
        <v>46154</v>
      </c>
      <c r="C439" s="7" t="s">
        <v>721</v>
      </c>
      <c r="D439" s="4" t="s">
        <v>94</v>
      </c>
      <c r="E439" s="4" t="s">
        <v>1562</v>
      </c>
      <c r="F439" s="4" t="s">
        <v>723</v>
      </c>
      <c r="G439" s="7" t="s">
        <v>362</v>
      </c>
    </row>
    <row r="440" spans="2:7" ht="15.75" customHeight="1">
      <c r="B440" s="6">
        <f t="shared" si="27"/>
        <v>46154</v>
      </c>
      <c r="C440" s="4" t="s">
        <v>26</v>
      </c>
      <c r="D440" s="4" t="s">
        <v>724</v>
      </c>
      <c r="E440" s="4" t="s">
        <v>1561</v>
      </c>
      <c r="F440" s="4" t="s">
        <v>725</v>
      </c>
      <c r="G440" s="7" t="s">
        <v>14</v>
      </c>
    </row>
    <row r="441" spans="2:7" ht="15.75" customHeight="1">
      <c r="B441" s="6">
        <f t="shared" si="27"/>
        <v>46154</v>
      </c>
      <c r="C441" s="4" t="s">
        <v>702</v>
      </c>
      <c r="D441" s="4" t="s">
        <v>726</v>
      </c>
      <c r="E441" s="4" t="s">
        <v>1561</v>
      </c>
      <c r="F441" s="4" t="s">
        <v>727</v>
      </c>
      <c r="G441" s="4" t="s">
        <v>42</v>
      </c>
    </row>
    <row r="442" spans="2:7" ht="15.75" customHeight="1">
      <c r="B442" s="3">
        <v>46155</v>
      </c>
      <c r="C442" s="7" t="s">
        <v>728</v>
      </c>
      <c r="D442" s="7" t="s">
        <v>43</v>
      </c>
      <c r="E442" s="27" t="s">
        <v>1561</v>
      </c>
      <c r="F442" s="7" t="s">
        <v>729</v>
      </c>
      <c r="G442" s="7" t="s">
        <v>42</v>
      </c>
    </row>
    <row r="443" spans="2:7" ht="15.75" customHeight="1">
      <c r="B443" s="6">
        <f>B442</f>
        <v>46155</v>
      </c>
      <c r="C443" s="7" t="s">
        <v>26</v>
      </c>
      <c r="D443" s="7" t="s">
        <v>450</v>
      </c>
      <c r="E443" s="4" t="s">
        <v>1561</v>
      </c>
      <c r="F443" s="4" t="s">
        <v>730</v>
      </c>
      <c r="G443" s="4" t="s">
        <v>731</v>
      </c>
    </row>
    <row r="444" spans="2:7" ht="15.75" customHeight="1">
      <c r="B444" s="6">
        <f>B443</f>
        <v>46155</v>
      </c>
      <c r="C444" s="7" t="s">
        <v>167</v>
      </c>
      <c r="D444" s="7" t="s">
        <v>732</v>
      </c>
      <c r="E444" s="4" t="s">
        <v>1561</v>
      </c>
      <c r="F444" s="4" t="s">
        <v>733</v>
      </c>
      <c r="G444" s="4" t="s">
        <v>731</v>
      </c>
    </row>
    <row r="445" spans="2:7" ht="15.75" customHeight="1">
      <c r="B445" s="6">
        <f>B444</f>
        <v>46155</v>
      </c>
      <c r="C445" s="16" t="s">
        <v>734</v>
      </c>
      <c r="D445" s="7" t="s">
        <v>726</v>
      </c>
      <c r="E445" s="4" t="s">
        <v>1561</v>
      </c>
      <c r="F445" s="4" t="s">
        <v>735</v>
      </c>
      <c r="G445" s="4" t="s">
        <v>42</v>
      </c>
    </row>
    <row r="446" spans="2:7" ht="15.75" customHeight="1">
      <c r="B446" s="3">
        <v>46156</v>
      </c>
      <c r="C446" s="7" t="s">
        <v>736</v>
      </c>
      <c r="D446" s="7" t="s">
        <v>627</v>
      </c>
      <c r="E446" s="4" t="s">
        <v>1562</v>
      </c>
      <c r="F446" s="16" t="s">
        <v>737</v>
      </c>
      <c r="G446" s="7" t="s">
        <v>14</v>
      </c>
    </row>
    <row r="447" spans="2:7" ht="15.75" customHeight="1">
      <c r="B447" s="6">
        <f t="shared" ref="B447:B460" si="28">B446</f>
        <v>46156</v>
      </c>
      <c r="C447" s="4" t="s">
        <v>738</v>
      </c>
      <c r="D447" s="4" t="s">
        <v>67</v>
      </c>
      <c r="E447" s="4" t="s">
        <v>1562</v>
      </c>
      <c r="F447" s="7" t="s">
        <v>739</v>
      </c>
      <c r="G447" s="4" t="s">
        <v>74</v>
      </c>
    </row>
    <row r="448" spans="2:7" ht="15.75" customHeight="1">
      <c r="B448" s="6">
        <f t="shared" si="28"/>
        <v>46156</v>
      </c>
      <c r="C448" s="4" t="s">
        <v>740</v>
      </c>
      <c r="D448" s="4" t="s">
        <v>466</v>
      </c>
      <c r="E448" s="4" t="s">
        <v>1562</v>
      </c>
      <c r="F448" s="4" t="s">
        <v>741</v>
      </c>
      <c r="G448" s="4" t="s">
        <v>178</v>
      </c>
    </row>
    <row r="449" spans="2:7" ht="15.75" customHeight="1">
      <c r="B449" s="6">
        <f t="shared" si="28"/>
        <v>46156</v>
      </c>
      <c r="C449" s="4" t="s">
        <v>742</v>
      </c>
      <c r="D449" s="4" t="s">
        <v>743</v>
      </c>
      <c r="E449" s="4" t="s">
        <v>1562</v>
      </c>
      <c r="F449" s="4" t="s">
        <v>744</v>
      </c>
      <c r="G449" s="4" t="s">
        <v>14</v>
      </c>
    </row>
    <row r="450" spans="2:7" ht="15.75" customHeight="1">
      <c r="B450" s="6">
        <f t="shared" si="28"/>
        <v>46156</v>
      </c>
      <c r="C450" s="4" t="s">
        <v>745</v>
      </c>
      <c r="D450" s="4" t="s">
        <v>23</v>
      </c>
      <c r="E450" s="4" t="s">
        <v>1562</v>
      </c>
      <c r="F450" s="4" t="s">
        <v>746</v>
      </c>
      <c r="G450" s="4" t="s">
        <v>74</v>
      </c>
    </row>
    <row r="451" spans="2:7" ht="15.75" customHeight="1">
      <c r="B451" s="6">
        <f t="shared" si="28"/>
        <v>46156</v>
      </c>
      <c r="C451" s="4" t="s">
        <v>747</v>
      </c>
      <c r="D451" s="4" t="s">
        <v>43</v>
      </c>
      <c r="E451" s="4" t="s">
        <v>1562</v>
      </c>
      <c r="F451" s="4" t="s">
        <v>748</v>
      </c>
      <c r="G451" s="4" t="s">
        <v>14</v>
      </c>
    </row>
    <row r="452" spans="2:7" ht="15.75" customHeight="1">
      <c r="B452" s="6">
        <f t="shared" si="28"/>
        <v>46156</v>
      </c>
      <c r="C452" s="4" t="s">
        <v>26</v>
      </c>
      <c r="D452" s="4" t="s">
        <v>12</v>
      </c>
      <c r="E452" s="4" t="s">
        <v>1562</v>
      </c>
      <c r="F452" s="4" t="s">
        <v>749</v>
      </c>
      <c r="G452" s="4" t="s">
        <v>14</v>
      </c>
    </row>
    <row r="453" spans="2:7" ht="15.75" customHeight="1">
      <c r="B453" s="6">
        <f t="shared" si="28"/>
        <v>46156</v>
      </c>
      <c r="C453" s="4" t="s">
        <v>750</v>
      </c>
      <c r="D453" s="4" t="s">
        <v>35</v>
      </c>
      <c r="E453" s="4" t="s">
        <v>1562</v>
      </c>
      <c r="F453" s="4" t="s">
        <v>751</v>
      </c>
      <c r="G453" s="4" t="s">
        <v>14</v>
      </c>
    </row>
    <row r="454" spans="2:7" ht="15.75" customHeight="1">
      <c r="B454" s="6">
        <f t="shared" si="28"/>
        <v>46156</v>
      </c>
      <c r="C454" s="4" t="s">
        <v>752</v>
      </c>
      <c r="D454" s="4" t="s">
        <v>753</v>
      </c>
      <c r="E454" s="4" t="s">
        <v>1562</v>
      </c>
      <c r="F454" s="10" t="s">
        <v>754</v>
      </c>
      <c r="G454" s="4" t="s">
        <v>14</v>
      </c>
    </row>
    <row r="455" spans="2:7" ht="15.75" customHeight="1">
      <c r="B455" s="6">
        <f t="shared" si="28"/>
        <v>46156</v>
      </c>
      <c r="C455" s="4" t="s">
        <v>755</v>
      </c>
      <c r="D455" s="4" t="s">
        <v>43</v>
      </c>
      <c r="E455" s="4" t="s">
        <v>1562</v>
      </c>
      <c r="F455" s="4" t="s">
        <v>756</v>
      </c>
      <c r="G455" s="4" t="s">
        <v>74</v>
      </c>
    </row>
    <row r="456" spans="2:7" ht="15.75" customHeight="1">
      <c r="B456" s="6">
        <f t="shared" si="28"/>
        <v>46156</v>
      </c>
      <c r="C456" s="4" t="s">
        <v>757</v>
      </c>
      <c r="D456" s="4" t="s">
        <v>43</v>
      </c>
      <c r="E456" s="4" t="s">
        <v>1562</v>
      </c>
      <c r="F456" s="4" t="s">
        <v>758</v>
      </c>
      <c r="G456" s="4" t="s">
        <v>74</v>
      </c>
    </row>
    <row r="457" spans="2:7" ht="15.75" customHeight="1">
      <c r="B457" s="6">
        <f t="shared" si="28"/>
        <v>46156</v>
      </c>
      <c r="C457" s="4" t="s">
        <v>759</v>
      </c>
      <c r="D457" s="4" t="s">
        <v>365</v>
      </c>
      <c r="E457" s="4" t="s">
        <v>1562</v>
      </c>
      <c r="F457" s="4" t="s">
        <v>760</v>
      </c>
      <c r="G457" s="4" t="s">
        <v>74</v>
      </c>
    </row>
    <row r="458" spans="2:7" ht="15.75" customHeight="1">
      <c r="B458" s="6">
        <f t="shared" si="28"/>
        <v>46156</v>
      </c>
      <c r="C458" s="4" t="s">
        <v>26</v>
      </c>
      <c r="D458" s="4" t="s">
        <v>53</v>
      </c>
      <c r="E458" s="4" t="s">
        <v>1562</v>
      </c>
      <c r="F458" s="10" t="s">
        <v>761</v>
      </c>
      <c r="G458" s="4" t="s">
        <v>14</v>
      </c>
    </row>
    <row r="459" spans="2:7" ht="15.75" customHeight="1">
      <c r="B459" s="6">
        <f t="shared" si="28"/>
        <v>46156</v>
      </c>
      <c r="C459" s="4" t="s">
        <v>26</v>
      </c>
      <c r="D459" s="4" t="s">
        <v>762</v>
      </c>
      <c r="E459" s="4" t="s">
        <v>1562</v>
      </c>
      <c r="F459" s="4" t="s">
        <v>763</v>
      </c>
      <c r="G459" s="4" t="s">
        <v>14</v>
      </c>
    </row>
    <row r="460" spans="2:7" ht="15.75" customHeight="1">
      <c r="B460" s="6">
        <f t="shared" si="28"/>
        <v>46156</v>
      </c>
      <c r="C460" s="4" t="s">
        <v>764</v>
      </c>
      <c r="D460" s="4" t="s">
        <v>43</v>
      </c>
      <c r="E460" s="4" t="s">
        <v>1562</v>
      </c>
      <c r="F460" s="10" t="s">
        <v>765</v>
      </c>
      <c r="G460" s="4" t="s">
        <v>74</v>
      </c>
    </row>
    <row r="461" spans="2:7" ht="15.75" customHeight="1">
      <c r="B461" s="3">
        <v>46157</v>
      </c>
      <c r="C461" s="7" t="s">
        <v>766</v>
      </c>
      <c r="D461" s="4" t="s">
        <v>35</v>
      </c>
      <c r="E461" s="4" t="s">
        <v>1562</v>
      </c>
      <c r="F461" s="7" t="s">
        <v>767</v>
      </c>
      <c r="G461" s="7" t="s">
        <v>768</v>
      </c>
    </row>
    <row r="462" spans="2:7" ht="15.75" customHeight="1">
      <c r="B462" s="6">
        <f t="shared" ref="B462:B489" si="29">B461</f>
        <v>46157</v>
      </c>
      <c r="C462" s="4" t="s">
        <v>769</v>
      </c>
      <c r="D462" s="16" t="s">
        <v>204</v>
      </c>
      <c r="E462" s="4" t="s">
        <v>1562</v>
      </c>
      <c r="F462" s="4" t="s">
        <v>770</v>
      </c>
      <c r="G462" s="4" t="s">
        <v>768</v>
      </c>
    </row>
    <row r="463" spans="2:7" ht="15.75" customHeight="1">
      <c r="B463" s="6">
        <f t="shared" si="29"/>
        <v>46157</v>
      </c>
      <c r="C463" s="4" t="s">
        <v>766</v>
      </c>
      <c r="D463" s="4" t="s">
        <v>43</v>
      </c>
      <c r="E463" s="4" t="s">
        <v>1562</v>
      </c>
      <c r="F463" s="4" t="s">
        <v>771</v>
      </c>
      <c r="G463" s="4" t="s">
        <v>768</v>
      </c>
    </row>
    <row r="464" spans="2:7" ht="15.75" customHeight="1">
      <c r="B464" s="6">
        <f t="shared" si="29"/>
        <v>46157</v>
      </c>
      <c r="C464" s="4" t="s">
        <v>772</v>
      </c>
      <c r="D464" s="4" t="s">
        <v>35</v>
      </c>
      <c r="E464" s="4" t="s">
        <v>1562</v>
      </c>
      <c r="F464" s="4" t="s">
        <v>773</v>
      </c>
      <c r="G464" s="4" t="s">
        <v>74</v>
      </c>
    </row>
    <row r="465" spans="2:7" ht="15.75" customHeight="1">
      <c r="B465" s="6">
        <f t="shared" si="29"/>
        <v>46157</v>
      </c>
      <c r="C465" s="4" t="s">
        <v>766</v>
      </c>
      <c r="D465" s="4" t="s">
        <v>561</v>
      </c>
      <c r="E465" s="4" t="s">
        <v>1562</v>
      </c>
      <c r="F465" s="10" t="s">
        <v>774</v>
      </c>
      <c r="G465" s="4" t="s">
        <v>408</v>
      </c>
    </row>
    <row r="466" spans="2:7" ht="15.75" customHeight="1">
      <c r="B466" s="6">
        <f t="shared" si="29"/>
        <v>46157</v>
      </c>
      <c r="C466" s="4" t="s">
        <v>26</v>
      </c>
      <c r="D466" s="4" t="s">
        <v>43</v>
      </c>
      <c r="E466" s="4" t="s">
        <v>1562</v>
      </c>
      <c r="F466" s="4" t="s">
        <v>775</v>
      </c>
      <c r="G466" s="4" t="s">
        <v>362</v>
      </c>
    </row>
    <row r="467" spans="2:7" ht="15.75" customHeight="1">
      <c r="B467" s="6">
        <f t="shared" si="29"/>
        <v>46157</v>
      </c>
      <c r="C467" s="4" t="s">
        <v>776</v>
      </c>
      <c r="D467" s="4" t="s">
        <v>561</v>
      </c>
      <c r="E467" s="4" t="s">
        <v>1562</v>
      </c>
      <c r="F467" s="4" t="s">
        <v>777</v>
      </c>
      <c r="G467" s="4" t="s">
        <v>74</v>
      </c>
    </row>
    <row r="468" spans="2:7" ht="15.75" customHeight="1">
      <c r="B468" s="6">
        <f t="shared" si="29"/>
        <v>46157</v>
      </c>
      <c r="C468" s="4" t="s">
        <v>26</v>
      </c>
      <c r="D468" s="4" t="s">
        <v>6</v>
      </c>
      <c r="E468" s="4" t="s">
        <v>1562</v>
      </c>
      <c r="F468" s="4" t="s">
        <v>778</v>
      </c>
      <c r="G468" s="4" t="s">
        <v>768</v>
      </c>
    </row>
    <row r="469" spans="2:7" ht="15.75" customHeight="1">
      <c r="B469" s="6">
        <f t="shared" si="29"/>
        <v>46157</v>
      </c>
      <c r="C469" s="4" t="s">
        <v>779</v>
      </c>
      <c r="D469" s="4" t="s">
        <v>453</v>
      </c>
      <c r="E469" s="4" t="s">
        <v>1562</v>
      </c>
      <c r="F469" s="4" t="s">
        <v>780</v>
      </c>
      <c r="G469" s="4" t="s">
        <v>74</v>
      </c>
    </row>
    <row r="470" spans="2:7" ht="15.75" customHeight="1">
      <c r="B470" s="6">
        <f t="shared" si="29"/>
        <v>46157</v>
      </c>
      <c r="C470" s="4" t="s">
        <v>781</v>
      </c>
      <c r="D470" s="4" t="s">
        <v>453</v>
      </c>
      <c r="E470" s="4" t="s">
        <v>1562</v>
      </c>
      <c r="F470" s="4" t="s">
        <v>782</v>
      </c>
      <c r="G470" s="4" t="s">
        <v>768</v>
      </c>
    </row>
    <row r="471" spans="2:7" ht="15.75" customHeight="1">
      <c r="B471" s="6">
        <f t="shared" si="29"/>
        <v>46157</v>
      </c>
      <c r="C471" s="4" t="s">
        <v>783</v>
      </c>
      <c r="D471" s="4" t="s">
        <v>784</v>
      </c>
      <c r="E471" s="4" t="s">
        <v>1562</v>
      </c>
      <c r="F471" s="4" t="s">
        <v>785</v>
      </c>
      <c r="G471" s="4" t="s">
        <v>74</v>
      </c>
    </row>
    <row r="472" spans="2:7" ht="15.75" customHeight="1">
      <c r="B472" s="6">
        <f t="shared" si="29"/>
        <v>46157</v>
      </c>
      <c r="C472" s="4" t="s">
        <v>786</v>
      </c>
      <c r="D472" s="4" t="s">
        <v>787</v>
      </c>
      <c r="E472" s="4" t="s">
        <v>1562</v>
      </c>
      <c r="F472" s="4" t="s">
        <v>788</v>
      </c>
      <c r="G472" s="4" t="s">
        <v>768</v>
      </c>
    </row>
    <row r="473" spans="2:7" ht="15.75" customHeight="1">
      <c r="B473" s="6">
        <f t="shared" si="29"/>
        <v>46157</v>
      </c>
      <c r="C473" s="4" t="s">
        <v>789</v>
      </c>
      <c r="D473" s="4" t="s">
        <v>394</v>
      </c>
      <c r="E473" s="4" t="s">
        <v>1562</v>
      </c>
      <c r="F473" s="4" t="s">
        <v>790</v>
      </c>
      <c r="G473" s="4" t="s">
        <v>61</v>
      </c>
    </row>
    <row r="474" spans="2:7" ht="15.75" customHeight="1">
      <c r="B474" s="6">
        <f t="shared" si="29"/>
        <v>46157</v>
      </c>
      <c r="C474" s="4" t="s">
        <v>786</v>
      </c>
      <c r="D474" s="4" t="s">
        <v>35</v>
      </c>
      <c r="E474" s="4" t="s">
        <v>1562</v>
      </c>
      <c r="F474" s="4" t="s">
        <v>791</v>
      </c>
      <c r="G474" s="4" t="s">
        <v>768</v>
      </c>
    </row>
    <row r="475" spans="2:7" ht="15.75" customHeight="1">
      <c r="B475" s="6">
        <f t="shared" si="29"/>
        <v>46157</v>
      </c>
      <c r="C475" s="4" t="s">
        <v>792</v>
      </c>
      <c r="D475" s="4" t="s">
        <v>394</v>
      </c>
      <c r="E475" s="4" t="s">
        <v>1562</v>
      </c>
      <c r="F475" s="4" t="s">
        <v>793</v>
      </c>
      <c r="G475" s="4" t="s">
        <v>74</v>
      </c>
    </row>
    <row r="476" spans="2:7" ht="15.75" customHeight="1">
      <c r="B476" s="6">
        <f t="shared" si="29"/>
        <v>46157</v>
      </c>
      <c r="C476" s="4" t="s">
        <v>794</v>
      </c>
      <c r="D476" s="4" t="s">
        <v>35</v>
      </c>
      <c r="E476" s="4" t="s">
        <v>1562</v>
      </c>
      <c r="F476" s="4" t="s">
        <v>795</v>
      </c>
      <c r="G476" s="4" t="s">
        <v>61</v>
      </c>
    </row>
    <row r="477" spans="2:7" ht="15.75" customHeight="1">
      <c r="B477" s="6">
        <f t="shared" si="29"/>
        <v>46157</v>
      </c>
      <c r="C477" s="4" t="s">
        <v>796</v>
      </c>
      <c r="D477" s="4" t="s">
        <v>43</v>
      </c>
      <c r="E477" s="4" t="s">
        <v>1562</v>
      </c>
      <c r="F477" s="4" t="s">
        <v>797</v>
      </c>
      <c r="G477" s="4" t="s">
        <v>74</v>
      </c>
    </row>
    <row r="478" spans="2:7" ht="15.75" customHeight="1">
      <c r="B478" s="6">
        <f t="shared" si="29"/>
        <v>46157</v>
      </c>
      <c r="C478" s="4" t="s">
        <v>786</v>
      </c>
      <c r="D478" s="4" t="s">
        <v>43</v>
      </c>
      <c r="E478" s="4" t="s">
        <v>1562</v>
      </c>
      <c r="F478" s="4" t="s">
        <v>798</v>
      </c>
      <c r="G478" s="4" t="s">
        <v>362</v>
      </c>
    </row>
    <row r="479" spans="2:7" ht="15.75" customHeight="1">
      <c r="B479" s="6">
        <f t="shared" si="29"/>
        <v>46157</v>
      </c>
      <c r="C479" s="4" t="s">
        <v>794</v>
      </c>
      <c r="D479" s="4" t="s">
        <v>35</v>
      </c>
      <c r="E479" s="4" t="s">
        <v>1562</v>
      </c>
      <c r="F479" s="4" t="s">
        <v>799</v>
      </c>
      <c r="G479" s="4" t="s">
        <v>22</v>
      </c>
    </row>
    <row r="480" spans="2:7" ht="15.75" customHeight="1">
      <c r="B480" s="6">
        <f t="shared" si="29"/>
        <v>46157</v>
      </c>
      <c r="C480" s="4" t="s">
        <v>26</v>
      </c>
      <c r="D480" s="4" t="s">
        <v>43</v>
      </c>
      <c r="E480" s="4" t="s">
        <v>1562</v>
      </c>
      <c r="F480" s="10" t="s">
        <v>800</v>
      </c>
      <c r="G480" s="4" t="s">
        <v>362</v>
      </c>
    </row>
    <row r="481" spans="2:7" ht="15.75" customHeight="1">
      <c r="B481" s="6">
        <f t="shared" si="29"/>
        <v>46157</v>
      </c>
      <c r="C481" s="4" t="s">
        <v>786</v>
      </c>
      <c r="D481" s="4" t="s">
        <v>43</v>
      </c>
      <c r="E481" s="4" t="s">
        <v>1562</v>
      </c>
      <c r="F481" s="10" t="s">
        <v>801</v>
      </c>
      <c r="G481" s="4" t="s">
        <v>22</v>
      </c>
    </row>
    <row r="482" spans="2:7" ht="15.75" customHeight="1">
      <c r="B482" s="6">
        <f t="shared" si="29"/>
        <v>46157</v>
      </c>
      <c r="C482" s="4" t="s">
        <v>786</v>
      </c>
      <c r="D482" s="4" t="s">
        <v>453</v>
      </c>
      <c r="E482" s="4" t="s">
        <v>1562</v>
      </c>
      <c r="F482" s="4" t="s">
        <v>802</v>
      </c>
      <c r="G482" s="4" t="s">
        <v>22</v>
      </c>
    </row>
    <row r="483" spans="2:7" ht="15.75" customHeight="1">
      <c r="B483" s="6">
        <f t="shared" si="29"/>
        <v>46157</v>
      </c>
      <c r="C483" s="4" t="s">
        <v>803</v>
      </c>
      <c r="D483" s="4" t="s">
        <v>244</v>
      </c>
      <c r="E483" s="4" t="s">
        <v>1562</v>
      </c>
      <c r="F483" s="10" t="s">
        <v>804</v>
      </c>
      <c r="G483" s="4" t="s">
        <v>74</v>
      </c>
    </row>
    <row r="484" spans="2:7" ht="15.75" customHeight="1">
      <c r="B484" s="6">
        <f t="shared" si="29"/>
        <v>46157</v>
      </c>
      <c r="C484" s="4" t="s">
        <v>805</v>
      </c>
      <c r="D484" s="4" t="s">
        <v>806</v>
      </c>
      <c r="E484" s="4" t="s">
        <v>1562</v>
      </c>
      <c r="F484" s="10" t="s">
        <v>807</v>
      </c>
      <c r="G484" s="4" t="s">
        <v>74</v>
      </c>
    </row>
    <row r="485" spans="2:7" ht="15.75" customHeight="1">
      <c r="B485" s="6">
        <f t="shared" si="29"/>
        <v>46157</v>
      </c>
      <c r="C485" s="4" t="s">
        <v>26</v>
      </c>
      <c r="D485" s="4" t="s">
        <v>35</v>
      </c>
      <c r="E485" s="4" t="s">
        <v>1561</v>
      </c>
      <c r="F485" s="4" t="s">
        <v>808</v>
      </c>
      <c r="G485" s="4" t="s">
        <v>78</v>
      </c>
    </row>
    <row r="486" spans="2:7" ht="15.75" customHeight="1">
      <c r="B486" s="6">
        <f t="shared" si="29"/>
        <v>46157</v>
      </c>
      <c r="C486" s="4" t="s">
        <v>608</v>
      </c>
      <c r="D486" s="4" t="s">
        <v>12</v>
      </c>
      <c r="E486" s="4" t="s">
        <v>1561</v>
      </c>
      <c r="F486" s="4" t="s">
        <v>809</v>
      </c>
      <c r="G486" s="4" t="s">
        <v>42</v>
      </c>
    </row>
    <row r="487" spans="2:7" ht="15.75" customHeight="1">
      <c r="B487" s="6">
        <f t="shared" si="29"/>
        <v>46157</v>
      </c>
      <c r="C487" s="4" t="s">
        <v>810</v>
      </c>
      <c r="D487" s="4" t="s">
        <v>35</v>
      </c>
      <c r="E487" s="4" t="s">
        <v>1561</v>
      </c>
      <c r="F487" s="4" t="s">
        <v>811</v>
      </c>
      <c r="G487" s="4" t="s">
        <v>25</v>
      </c>
    </row>
    <row r="488" spans="2:7" ht="15.75" customHeight="1">
      <c r="B488" s="6">
        <f t="shared" si="29"/>
        <v>46157</v>
      </c>
      <c r="C488" s="4" t="s">
        <v>812</v>
      </c>
      <c r="D488" s="4" t="s">
        <v>813</v>
      </c>
      <c r="E488" s="4" t="s">
        <v>1561</v>
      </c>
      <c r="F488" s="4" t="s">
        <v>814</v>
      </c>
      <c r="G488" s="4" t="s">
        <v>42</v>
      </c>
    </row>
    <row r="489" spans="2:7" ht="15.75" customHeight="1">
      <c r="B489" s="6">
        <f t="shared" si="29"/>
        <v>46157</v>
      </c>
      <c r="C489" s="4" t="s">
        <v>26</v>
      </c>
      <c r="D489" s="4" t="s">
        <v>16</v>
      </c>
      <c r="E489" s="4" t="s">
        <v>1561</v>
      </c>
      <c r="F489" s="4" t="s">
        <v>815</v>
      </c>
      <c r="G489" s="4" t="s">
        <v>22</v>
      </c>
    </row>
    <row r="490" spans="2:7" ht="15.75" customHeight="1">
      <c r="B490" s="3">
        <v>46158</v>
      </c>
      <c r="C490" s="7" t="s">
        <v>167</v>
      </c>
      <c r="D490" s="7" t="s">
        <v>9</v>
      </c>
      <c r="E490" s="4" t="s">
        <v>1562</v>
      </c>
      <c r="F490" s="7" t="s">
        <v>816</v>
      </c>
      <c r="G490" s="7" t="s">
        <v>22</v>
      </c>
    </row>
    <row r="491" spans="2:7" ht="15.75" customHeight="1">
      <c r="B491" s="6">
        <f t="shared" ref="B491:B507" si="30">B490</f>
        <v>46158</v>
      </c>
      <c r="C491" s="7" t="s">
        <v>817</v>
      </c>
      <c r="D491" s="4" t="s">
        <v>818</v>
      </c>
      <c r="E491" s="4" t="s">
        <v>1562</v>
      </c>
      <c r="F491" s="4" t="s">
        <v>819</v>
      </c>
      <c r="G491" s="4" t="s">
        <v>22</v>
      </c>
    </row>
    <row r="492" spans="2:7" ht="15.75" customHeight="1">
      <c r="B492" s="6">
        <f t="shared" si="30"/>
        <v>46158</v>
      </c>
      <c r="C492" s="4" t="s">
        <v>820</v>
      </c>
      <c r="D492" s="4" t="s">
        <v>198</v>
      </c>
      <c r="E492" s="4" t="s">
        <v>1562</v>
      </c>
      <c r="F492" s="10" t="s">
        <v>821</v>
      </c>
      <c r="G492" s="4" t="s">
        <v>22</v>
      </c>
    </row>
    <row r="493" spans="2:7" ht="15.75" customHeight="1">
      <c r="B493" s="6">
        <f t="shared" si="30"/>
        <v>46158</v>
      </c>
      <c r="C493" s="4" t="s">
        <v>20</v>
      </c>
      <c r="D493" s="4" t="s">
        <v>107</v>
      </c>
      <c r="E493" s="4" t="s">
        <v>1562</v>
      </c>
      <c r="F493" s="4" t="s">
        <v>822</v>
      </c>
      <c r="G493" s="4" t="s">
        <v>25</v>
      </c>
    </row>
    <row r="494" spans="2:7" ht="15.75" customHeight="1">
      <c r="B494" s="6">
        <f t="shared" si="30"/>
        <v>46158</v>
      </c>
      <c r="C494" s="4" t="s">
        <v>823</v>
      </c>
      <c r="D494" s="4" t="s">
        <v>33</v>
      </c>
      <c r="E494" s="4" t="s">
        <v>1562</v>
      </c>
      <c r="F494" s="12" t="s">
        <v>824</v>
      </c>
      <c r="G494" s="4" t="s">
        <v>408</v>
      </c>
    </row>
    <row r="495" spans="2:7" ht="15.75" customHeight="1">
      <c r="B495" s="6">
        <f t="shared" si="30"/>
        <v>46158</v>
      </c>
      <c r="C495" s="4" t="s">
        <v>20</v>
      </c>
      <c r="D495" s="4" t="s">
        <v>825</v>
      </c>
      <c r="E495" s="4" t="s">
        <v>1562</v>
      </c>
      <c r="F495" s="4" t="s">
        <v>826</v>
      </c>
      <c r="G495" s="4" t="s">
        <v>25</v>
      </c>
    </row>
    <row r="496" spans="2:7" ht="15.75" customHeight="1">
      <c r="B496" s="6">
        <f t="shared" si="30"/>
        <v>46158</v>
      </c>
      <c r="C496" s="4" t="s">
        <v>827</v>
      </c>
      <c r="D496" s="4" t="s">
        <v>35</v>
      </c>
      <c r="E496" s="4" t="s">
        <v>1562</v>
      </c>
      <c r="F496" s="4" t="s">
        <v>828</v>
      </c>
      <c r="G496" s="4" t="s">
        <v>25</v>
      </c>
    </row>
    <row r="497" spans="2:7" ht="15.75" customHeight="1">
      <c r="B497" s="6">
        <f t="shared" si="30"/>
        <v>46158</v>
      </c>
      <c r="C497" s="4" t="s">
        <v>20</v>
      </c>
      <c r="D497" s="4" t="s">
        <v>343</v>
      </c>
      <c r="E497" s="4" t="s">
        <v>1562</v>
      </c>
      <c r="F497" s="4" t="s">
        <v>829</v>
      </c>
      <c r="G497" s="4" t="s">
        <v>25</v>
      </c>
    </row>
    <row r="498" spans="2:7" ht="15.75" customHeight="1">
      <c r="B498" s="6">
        <f t="shared" si="30"/>
        <v>46158</v>
      </c>
      <c r="C498" s="4" t="s">
        <v>20</v>
      </c>
      <c r="D498" s="4" t="s">
        <v>33</v>
      </c>
      <c r="E498" s="4" t="s">
        <v>1562</v>
      </c>
      <c r="F498" s="4" t="s">
        <v>830</v>
      </c>
      <c r="G498" s="4" t="s">
        <v>25</v>
      </c>
    </row>
    <row r="499" spans="2:7" ht="15.75" customHeight="1">
      <c r="B499" s="6">
        <f t="shared" si="30"/>
        <v>46158</v>
      </c>
      <c r="C499" s="4" t="s">
        <v>831</v>
      </c>
      <c r="D499" s="4" t="s">
        <v>33</v>
      </c>
      <c r="E499" s="4" t="s">
        <v>1562</v>
      </c>
      <c r="F499" s="4" t="s">
        <v>832</v>
      </c>
      <c r="G499" s="4" t="s">
        <v>45</v>
      </c>
    </row>
    <row r="500" spans="2:7" ht="15.75" customHeight="1">
      <c r="B500" s="6">
        <f t="shared" si="30"/>
        <v>46158</v>
      </c>
      <c r="C500" s="4" t="s">
        <v>167</v>
      </c>
      <c r="D500" s="4" t="s">
        <v>35</v>
      </c>
      <c r="E500" s="4" t="s">
        <v>1562</v>
      </c>
      <c r="F500" s="10" t="s">
        <v>833</v>
      </c>
      <c r="G500" s="4" t="s">
        <v>45</v>
      </c>
    </row>
    <row r="501" spans="2:7" ht="15.75" customHeight="1">
      <c r="B501" s="6">
        <f t="shared" si="30"/>
        <v>46158</v>
      </c>
      <c r="C501" s="4" t="s">
        <v>827</v>
      </c>
      <c r="D501" s="16" t="s">
        <v>33</v>
      </c>
      <c r="E501" s="4" t="s">
        <v>1562</v>
      </c>
      <c r="F501" s="10" t="s">
        <v>834</v>
      </c>
      <c r="G501" s="4" t="s">
        <v>25</v>
      </c>
    </row>
    <row r="502" spans="2:7" ht="15.75" customHeight="1">
      <c r="B502" s="6">
        <f t="shared" si="30"/>
        <v>46158</v>
      </c>
      <c r="C502" s="4" t="s">
        <v>20</v>
      </c>
      <c r="D502" s="4" t="s">
        <v>72</v>
      </c>
      <c r="E502" s="4" t="s">
        <v>1562</v>
      </c>
      <c r="F502" s="4" t="s">
        <v>749</v>
      </c>
      <c r="G502" s="4" t="s">
        <v>25</v>
      </c>
    </row>
    <row r="503" spans="2:7" ht="15.75" customHeight="1">
      <c r="B503" s="6">
        <f t="shared" si="30"/>
        <v>46158</v>
      </c>
      <c r="C503" s="4" t="s">
        <v>240</v>
      </c>
      <c r="D503" s="4" t="s">
        <v>85</v>
      </c>
      <c r="E503" s="4" t="s">
        <v>1562</v>
      </c>
      <c r="F503" s="4" t="s">
        <v>835</v>
      </c>
      <c r="G503" s="4" t="s">
        <v>25</v>
      </c>
    </row>
    <row r="504" spans="2:7" ht="15.75" customHeight="1">
      <c r="B504" s="6">
        <f t="shared" si="30"/>
        <v>46158</v>
      </c>
      <c r="C504" s="4" t="s">
        <v>167</v>
      </c>
      <c r="D504" s="4" t="s">
        <v>35</v>
      </c>
      <c r="E504" s="4" t="s">
        <v>1562</v>
      </c>
      <c r="F504" s="4" t="s">
        <v>836</v>
      </c>
      <c r="G504" s="4" t="s">
        <v>61</v>
      </c>
    </row>
    <row r="505" spans="2:7" ht="15.75" customHeight="1">
      <c r="B505" s="6">
        <f t="shared" si="30"/>
        <v>46158</v>
      </c>
      <c r="C505" s="4" t="s">
        <v>20</v>
      </c>
      <c r="D505" s="4" t="s">
        <v>837</v>
      </c>
      <c r="E505" s="4" t="s">
        <v>1562</v>
      </c>
      <c r="F505" s="4" t="s">
        <v>838</v>
      </c>
      <c r="G505" s="4" t="s">
        <v>22</v>
      </c>
    </row>
    <row r="506" spans="2:7" ht="15.75" customHeight="1">
      <c r="B506" s="6">
        <f t="shared" si="30"/>
        <v>46158</v>
      </c>
      <c r="C506" s="4" t="s">
        <v>608</v>
      </c>
      <c r="D506" s="4" t="s">
        <v>72</v>
      </c>
      <c r="E506" s="4" t="s">
        <v>1561</v>
      </c>
      <c r="F506" s="4" t="s">
        <v>620</v>
      </c>
      <c r="G506" s="4" t="s">
        <v>25</v>
      </c>
    </row>
    <row r="507" spans="2:7" ht="15.75" customHeight="1">
      <c r="B507" s="6">
        <f t="shared" si="30"/>
        <v>46158</v>
      </c>
      <c r="C507" s="4" t="s">
        <v>839</v>
      </c>
      <c r="D507" s="4" t="s">
        <v>376</v>
      </c>
      <c r="E507" s="4" t="s">
        <v>1561</v>
      </c>
      <c r="F507" s="4" t="s">
        <v>840</v>
      </c>
      <c r="G507" s="4" t="s">
        <v>42</v>
      </c>
    </row>
    <row r="508" spans="2:7" ht="15.75" customHeight="1">
      <c r="B508" s="3">
        <v>46159</v>
      </c>
      <c r="C508" s="4" t="s">
        <v>841</v>
      </c>
      <c r="D508" s="4" t="s">
        <v>707</v>
      </c>
      <c r="E508" s="4" t="s">
        <v>1562</v>
      </c>
      <c r="F508" s="4" t="s">
        <v>842</v>
      </c>
      <c r="G508" s="4" t="s">
        <v>22</v>
      </c>
    </row>
    <row r="509" spans="2:7" ht="15.75" customHeight="1">
      <c r="B509" s="6">
        <f t="shared" ref="B509:B527" si="31">B508</f>
        <v>46159</v>
      </c>
      <c r="C509" s="4" t="s">
        <v>843</v>
      </c>
      <c r="D509" s="4" t="s">
        <v>35</v>
      </c>
      <c r="E509" s="4" t="s">
        <v>1562</v>
      </c>
      <c r="F509" s="4" t="s">
        <v>844</v>
      </c>
      <c r="G509" s="4" t="s">
        <v>22</v>
      </c>
    </row>
    <row r="510" spans="2:7" ht="15.75" customHeight="1">
      <c r="B510" s="6">
        <f t="shared" si="31"/>
        <v>46159</v>
      </c>
      <c r="C510" s="4" t="s">
        <v>26</v>
      </c>
      <c r="D510" s="4" t="s">
        <v>12</v>
      </c>
      <c r="E510" s="4" t="s">
        <v>1562</v>
      </c>
      <c r="F510" s="4" t="s">
        <v>845</v>
      </c>
      <c r="G510" s="4" t="s">
        <v>22</v>
      </c>
    </row>
    <row r="511" spans="2:7" ht="15.75" customHeight="1">
      <c r="B511" s="6">
        <f t="shared" si="31"/>
        <v>46159</v>
      </c>
      <c r="C511" s="4" t="s">
        <v>786</v>
      </c>
      <c r="D511" s="4" t="s">
        <v>12</v>
      </c>
      <c r="E511" s="4" t="s">
        <v>1562</v>
      </c>
      <c r="F511" s="4" t="s">
        <v>646</v>
      </c>
      <c r="G511" s="4" t="s">
        <v>22</v>
      </c>
    </row>
    <row r="512" spans="2:7" ht="15.75" customHeight="1">
      <c r="B512" s="6">
        <f t="shared" si="31"/>
        <v>46159</v>
      </c>
      <c r="C512" s="4" t="s">
        <v>846</v>
      </c>
      <c r="D512" s="4" t="s">
        <v>43</v>
      </c>
      <c r="E512" s="4" t="s">
        <v>1562</v>
      </c>
      <c r="F512" s="4" t="s">
        <v>847</v>
      </c>
      <c r="G512" s="4" t="s">
        <v>178</v>
      </c>
    </row>
    <row r="513" spans="2:7" ht="15.75" customHeight="1">
      <c r="B513" s="6">
        <f t="shared" si="31"/>
        <v>46159</v>
      </c>
      <c r="C513" s="4" t="s">
        <v>786</v>
      </c>
      <c r="D513" s="4" t="s">
        <v>43</v>
      </c>
      <c r="E513" s="4" t="s">
        <v>1562</v>
      </c>
      <c r="F513" s="4" t="s">
        <v>848</v>
      </c>
      <c r="G513" s="4" t="s">
        <v>22</v>
      </c>
    </row>
    <row r="514" spans="2:7" ht="15.75" customHeight="1">
      <c r="B514" s="6">
        <f t="shared" si="31"/>
        <v>46159</v>
      </c>
      <c r="C514" s="4" t="s">
        <v>849</v>
      </c>
      <c r="D514" s="4" t="s">
        <v>850</v>
      </c>
      <c r="E514" s="4" t="s">
        <v>1562</v>
      </c>
      <c r="F514" s="4" t="s">
        <v>851</v>
      </c>
      <c r="G514" s="4" t="s">
        <v>61</v>
      </c>
    </row>
    <row r="515" spans="2:7" ht="15.75" customHeight="1">
      <c r="B515" s="6">
        <f t="shared" si="31"/>
        <v>46159</v>
      </c>
      <c r="C515" s="4" t="s">
        <v>786</v>
      </c>
      <c r="D515" s="4" t="s">
        <v>6</v>
      </c>
      <c r="E515" s="4" t="s">
        <v>1562</v>
      </c>
      <c r="F515" s="4" t="s">
        <v>852</v>
      </c>
      <c r="G515" s="4" t="s">
        <v>61</v>
      </c>
    </row>
    <row r="516" spans="2:7" ht="15.75" customHeight="1">
      <c r="B516" s="6">
        <f t="shared" si="31"/>
        <v>46159</v>
      </c>
      <c r="C516" s="4" t="s">
        <v>853</v>
      </c>
      <c r="D516" s="4" t="s">
        <v>43</v>
      </c>
      <c r="E516" s="4" t="s">
        <v>1562</v>
      </c>
      <c r="F516" s="4" t="s">
        <v>854</v>
      </c>
      <c r="G516" s="4" t="s">
        <v>178</v>
      </c>
    </row>
    <row r="517" spans="2:7" ht="15.75" customHeight="1">
      <c r="B517" s="6">
        <f t="shared" si="31"/>
        <v>46159</v>
      </c>
      <c r="C517" s="4" t="s">
        <v>167</v>
      </c>
      <c r="D517" s="4" t="s">
        <v>850</v>
      </c>
      <c r="E517" s="4" t="s">
        <v>1562</v>
      </c>
      <c r="F517" s="4" t="s">
        <v>855</v>
      </c>
      <c r="G517" s="4" t="s">
        <v>61</v>
      </c>
    </row>
    <row r="518" spans="2:7" ht="15.75" customHeight="1">
      <c r="B518" s="6">
        <f t="shared" si="31"/>
        <v>46159</v>
      </c>
      <c r="C518" s="4" t="s">
        <v>167</v>
      </c>
      <c r="D518" s="4" t="s">
        <v>856</v>
      </c>
      <c r="E518" s="4" t="s">
        <v>1562</v>
      </c>
      <c r="F518" s="19" t="s">
        <v>857</v>
      </c>
      <c r="G518" s="4" t="s">
        <v>61</v>
      </c>
    </row>
    <row r="519" spans="2:7" ht="15.75" customHeight="1">
      <c r="B519" s="6">
        <f t="shared" si="31"/>
        <v>46159</v>
      </c>
      <c r="C519" s="4" t="s">
        <v>858</v>
      </c>
      <c r="D519" s="4" t="s">
        <v>53</v>
      </c>
      <c r="E519" s="4" t="s">
        <v>1562</v>
      </c>
      <c r="F519" s="4" t="s">
        <v>859</v>
      </c>
      <c r="G519" s="4" t="s">
        <v>22</v>
      </c>
    </row>
    <row r="520" spans="2:7" ht="15.75" customHeight="1">
      <c r="B520" s="6">
        <f t="shared" si="31"/>
        <v>46159</v>
      </c>
      <c r="C520" s="4" t="s">
        <v>860</v>
      </c>
      <c r="D520" s="4" t="s">
        <v>43</v>
      </c>
      <c r="E520" s="4" t="s">
        <v>1562</v>
      </c>
      <c r="F520" s="4" t="s">
        <v>861</v>
      </c>
      <c r="G520" s="4" t="s">
        <v>178</v>
      </c>
    </row>
    <row r="521" spans="2:7" ht="15.75" customHeight="1">
      <c r="B521" s="6">
        <f t="shared" si="31"/>
        <v>46159</v>
      </c>
      <c r="C521" s="4" t="s">
        <v>862</v>
      </c>
      <c r="D521" s="4" t="s">
        <v>35</v>
      </c>
      <c r="E521" s="4" t="s">
        <v>1562</v>
      </c>
      <c r="F521" s="4" t="s">
        <v>863</v>
      </c>
      <c r="G521" s="4" t="s">
        <v>61</v>
      </c>
    </row>
    <row r="522" spans="2:7" ht="15.75" customHeight="1">
      <c r="B522" s="6">
        <f t="shared" si="31"/>
        <v>46159</v>
      </c>
      <c r="C522" s="4" t="s">
        <v>167</v>
      </c>
      <c r="D522" s="4" t="s">
        <v>43</v>
      </c>
      <c r="E522" s="4" t="s">
        <v>1562</v>
      </c>
      <c r="F522" s="4" t="s">
        <v>864</v>
      </c>
      <c r="G522" s="4" t="s">
        <v>22</v>
      </c>
    </row>
    <row r="523" spans="2:7" ht="15.75" customHeight="1">
      <c r="B523" s="6">
        <f t="shared" si="31"/>
        <v>46159</v>
      </c>
      <c r="C523" s="4" t="s">
        <v>167</v>
      </c>
      <c r="D523" s="4" t="s">
        <v>447</v>
      </c>
      <c r="E523" s="4" t="s">
        <v>1562</v>
      </c>
      <c r="F523" s="4" t="s">
        <v>865</v>
      </c>
      <c r="G523" s="4" t="s">
        <v>362</v>
      </c>
    </row>
    <row r="524" spans="2:7" ht="15.75" customHeight="1">
      <c r="B524" s="6">
        <f t="shared" si="31"/>
        <v>46159</v>
      </c>
      <c r="C524" s="4" t="s">
        <v>866</v>
      </c>
      <c r="D524" s="4" t="s">
        <v>43</v>
      </c>
      <c r="E524" s="4" t="s">
        <v>1561</v>
      </c>
      <c r="F524" s="4" t="s">
        <v>867</v>
      </c>
      <c r="G524" s="4" t="s">
        <v>868</v>
      </c>
    </row>
    <row r="525" spans="2:7" ht="15.75" customHeight="1">
      <c r="B525" s="6">
        <f t="shared" si="31"/>
        <v>46159</v>
      </c>
      <c r="C525" s="4" t="s">
        <v>869</v>
      </c>
      <c r="D525" s="4" t="s">
        <v>870</v>
      </c>
      <c r="E525" s="4" t="s">
        <v>1561</v>
      </c>
      <c r="F525" s="4" t="s">
        <v>676</v>
      </c>
      <c r="G525" s="4" t="s">
        <v>25</v>
      </c>
    </row>
    <row r="526" spans="2:7" ht="15.75" customHeight="1">
      <c r="B526" s="6">
        <f t="shared" si="31"/>
        <v>46159</v>
      </c>
      <c r="C526" s="4" t="s">
        <v>871</v>
      </c>
      <c r="D526" s="4" t="s">
        <v>872</v>
      </c>
      <c r="E526" s="4" t="s">
        <v>1561</v>
      </c>
      <c r="F526" s="4" t="s">
        <v>873</v>
      </c>
      <c r="G526" s="4" t="s">
        <v>25</v>
      </c>
    </row>
    <row r="527" spans="2:7" ht="15.75" customHeight="1">
      <c r="B527" s="6">
        <f t="shared" si="31"/>
        <v>46159</v>
      </c>
      <c r="C527" s="4" t="s">
        <v>874</v>
      </c>
      <c r="D527" s="4" t="s">
        <v>726</v>
      </c>
      <c r="E527" s="4" t="s">
        <v>1561</v>
      </c>
      <c r="F527" s="4" t="s">
        <v>875</v>
      </c>
      <c r="G527" s="4" t="s">
        <v>25</v>
      </c>
    </row>
    <row r="528" spans="2:7" ht="15.75" customHeight="1">
      <c r="B528" s="3">
        <v>46161</v>
      </c>
      <c r="C528" s="7" t="s">
        <v>25</v>
      </c>
      <c r="D528" s="7" t="s">
        <v>876</v>
      </c>
      <c r="E528" s="4" t="s">
        <v>1561</v>
      </c>
      <c r="F528" s="7" t="s">
        <v>877</v>
      </c>
      <c r="G528" s="7" t="s">
        <v>878</v>
      </c>
    </row>
    <row r="529" spans="2:7" ht="15.75" customHeight="1">
      <c r="B529" s="6">
        <f t="shared" ref="B529:B567" si="32">B528</f>
        <v>46161</v>
      </c>
      <c r="C529" s="4" t="s">
        <v>879</v>
      </c>
      <c r="D529" s="4" t="s">
        <v>365</v>
      </c>
      <c r="E529" s="4" t="s">
        <v>1561</v>
      </c>
      <c r="F529" s="4" t="s">
        <v>880</v>
      </c>
      <c r="G529" s="4" t="s">
        <v>25</v>
      </c>
    </row>
    <row r="530" spans="2:7" ht="15.75" customHeight="1">
      <c r="B530" s="6">
        <f t="shared" si="32"/>
        <v>46161</v>
      </c>
      <c r="C530" s="4" t="s">
        <v>881</v>
      </c>
      <c r="D530" s="4" t="s">
        <v>67</v>
      </c>
      <c r="E530" s="4" t="s">
        <v>1561</v>
      </c>
      <c r="F530" s="4" t="s">
        <v>882</v>
      </c>
      <c r="G530" s="4" t="s">
        <v>883</v>
      </c>
    </row>
    <row r="531" spans="2:7" ht="15.75" customHeight="1">
      <c r="B531" s="6">
        <f t="shared" si="32"/>
        <v>46161</v>
      </c>
      <c r="C531" s="4" t="s">
        <v>884</v>
      </c>
      <c r="D531" s="4" t="s">
        <v>33</v>
      </c>
      <c r="E531" s="4" t="s">
        <v>1561</v>
      </c>
      <c r="F531" s="4" t="s">
        <v>885</v>
      </c>
      <c r="G531" s="4" t="s">
        <v>25</v>
      </c>
    </row>
    <row r="532" spans="2:7" ht="15.75" customHeight="1">
      <c r="B532" s="6">
        <f t="shared" si="32"/>
        <v>46161</v>
      </c>
      <c r="C532" s="4" t="s">
        <v>886</v>
      </c>
      <c r="D532" s="4" t="s">
        <v>453</v>
      </c>
      <c r="E532" s="4" t="s">
        <v>1562</v>
      </c>
      <c r="F532" s="20" t="s">
        <v>887</v>
      </c>
      <c r="G532" s="4" t="s">
        <v>74</v>
      </c>
    </row>
    <row r="533" spans="2:7" ht="15.75" customHeight="1">
      <c r="B533" s="6">
        <f t="shared" si="32"/>
        <v>46161</v>
      </c>
      <c r="C533" s="4" t="s">
        <v>888</v>
      </c>
      <c r="D533" s="4" t="s">
        <v>67</v>
      </c>
      <c r="E533" s="4" t="s">
        <v>1562</v>
      </c>
      <c r="F533" s="20" t="s">
        <v>889</v>
      </c>
      <c r="G533" s="4" t="s">
        <v>74</v>
      </c>
    </row>
    <row r="534" spans="2:7" ht="15.75" customHeight="1">
      <c r="B534" s="6">
        <f t="shared" si="32"/>
        <v>46161</v>
      </c>
      <c r="C534" s="4" t="s">
        <v>888</v>
      </c>
      <c r="D534" s="4" t="s">
        <v>33</v>
      </c>
      <c r="E534" s="4" t="s">
        <v>1562</v>
      </c>
      <c r="F534" s="20" t="s">
        <v>890</v>
      </c>
      <c r="G534" s="4" t="s">
        <v>74</v>
      </c>
    </row>
    <row r="535" spans="2:7" ht="15.75" customHeight="1">
      <c r="B535" s="6">
        <f t="shared" si="32"/>
        <v>46161</v>
      </c>
      <c r="C535" s="4" t="s">
        <v>786</v>
      </c>
      <c r="D535" s="4" t="s">
        <v>453</v>
      </c>
      <c r="E535" s="4" t="s">
        <v>1562</v>
      </c>
      <c r="F535" s="20" t="s">
        <v>891</v>
      </c>
      <c r="G535" s="4" t="s">
        <v>22</v>
      </c>
    </row>
    <row r="536" spans="2:7" ht="15.75" customHeight="1">
      <c r="B536" s="6">
        <f t="shared" si="32"/>
        <v>46161</v>
      </c>
      <c r="C536" s="4" t="s">
        <v>892</v>
      </c>
      <c r="D536" s="4" t="s">
        <v>16</v>
      </c>
      <c r="E536" s="4" t="s">
        <v>1562</v>
      </c>
      <c r="F536" s="20" t="s">
        <v>893</v>
      </c>
      <c r="G536" s="4" t="s">
        <v>74</v>
      </c>
    </row>
    <row r="537" spans="2:7" ht="15.75" customHeight="1">
      <c r="B537" s="6">
        <f t="shared" si="32"/>
        <v>46161</v>
      </c>
      <c r="C537" s="4" t="s">
        <v>894</v>
      </c>
      <c r="D537" s="4" t="s">
        <v>67</v>
      </c>
      <c r="E537" s="4" t="s">
        <v>1562</v>
      </c>
      <c r="F537" s="20" t="s">
        <v>895</v>
      </c>
      <c r="G537" s="4" t="s">
        <v>74</v>
      </c>
    </row>
    <row r="538" spans="2:7" ht="15.75" customHeight="1">
      <c r="B538" s="6">
        <f t="shared" si="32"/>
        <v>46161</v>
      </c>
      <c r="C538" s="4" t="s">
        <v>896</v>
      </c>
      <c r="D538" s="4" t="s">
        <v>35</v>
      </c>
      <c r="E538" s="4" t="s">
        <v>1562</v>
      </c>
      <c r="F538" s="20" t="s">
        <v>897</v>
      </c>
      <c r="G538" s="4" t="s">
        <v>22</v>
      </c>
    </row>
    <row r="539" spans="2:7" ht="15.75" customHeight="1">
      <c r="B539" s="6">
        <f t="shared" si="32"/>
        <v>46161</v>
      </c>
      <c r="C539" s="4" t="s">
        <v>786</v>
      </c>
      <c r="D539" s="4" t="s">
        <v>35</v>
      </c>
      <c r="E539" s="4" t="s">
        <v>1562</v>
      </c>
      <c r="F539" s="20" t="s">
        <v>898</v>
      </c>
      <c r="G539" s="4" t="s">
        <v>22</v>
      </c>
    </row>
    <row r="540" spans="2:7" ht="15.75" customHeight="1">
      <c r="B540" s="6">
        <f t="shared" si="32"/>
        <v>46161</v>
      </c>
      <c r="C540" s="4" t="s">
        <v>786</v>
      </c>
      <c r="D540" s="4" t="s">
        <v>35</v>
      </c>
      <c r="E540" s="4" t="s">
        <v>1562</v>
      </c>
      <c r="F540" s="20" t="s">
        <v>899</v>
      </c>
      <c r="G540" s="4" t="s">
        <v>22</v>
      </c>
    </row>
    <row r="541" spans="2:7" ht="15.75" customHeight="1">
      <c r="B541" s="6">
        <f t="shared" si="32"/>
        <v>46161</v>
      </c>
      <c r="C541" s="4" t="s">
        <v>786</v>
      </c>
      <c r="D541" s="4" t="s">
        <v>9</v>
      </c>
      <c r="E541" s="4" t="s">
        <v>1562</v>
      </c>
      <c r="F541" s="20" t="s">
        <v>900</v>
      </c>
      <c r="G541" s="4" t="s">
        <v>22</v>
      </c>
    </row>
    <row r="542" spans="2:7" ht="15.75" customHeight="1">
      <c r="B542" s="6">
        <f t="shared" si="32"/>
        <v>46161</v>
      </c>
      <c r="C542" s="4" t="s">
        <v>786</v>
      </c>
      <c r="D542" s="4" t="s">
        <v>901</v>
      </c>
      <c r="E542" s="4" t="s">
        <v>1562</v>
      </c>
      <c r="F542" s="21" t="s">
        <v>902</v>
      </c>
      <c r="G542" s="4" t="s">
        <v>22</v>
      </c>
    </row>
    <row r="543" spans="2:7" ht="15.75" customHeight="1">
      <c r="B543" s="6">
        <f t="shared" si="32"/>
        <v>46161</v>
      </c>
      <c r="C543" s="4" t="s">
        <v>903</v>
      </c>
      <c r="D543" s="4" t="s">
        <v>904</v>
      </c>
      <c r="E543" s="4" t="s">
        <v>1562</v>
      </c>
      <c r="F543" s="20" t="s">
        <v>905</v>
      </c>
      <c r="G543" s="4" t="s">
        <v>61</v>
      </c>
    </row>
    <row r="544" spans="2:7" ht="15.75" customHeight="1">
      <c r="B544" s="6">
        <f t="shared" si="32"/>
        <v>46161</v>
      </c>
      <c r="C544" s="4" t="s">
        <v>786</v>
      </c>
      <c r="D544" s="4" t="s">
        <v>35</v>
      </c>
      <c r="E544" s="4" t="s">
        <v>1562</v>
      </c>
      <c r="F544" s="20" t="s">
        <v>906</v>
      </c>
      <c r="G544" s="4" t="s">
        <v>61</v>
      </c>
    </row>
    <row r="545" spans="2:7" ht="15.75" customHeight="1">
      <c r="B545" s="6">
        <f t="shared" si="32"/>
        <v>46161</v>
      </c>
      <c r="C545" s="4" t="s">
        <v>907</v>
      </c>
      <c r="D545" s="4" t="s">
        <v>453</v>
      </c>
      <c r="E545" s="4" t="s">
        <v>1562</v>
      </c>
      <c r="F545" s="20" t="s">
        <v>908</v>
      </c>
      <c r="G545" s="4" t="s">
        <v>74</v>
      </c>
    </row>
    <row r="546" spans="2:7" ht="15.75" customHeight="1">
      <c r="B546" s="6">
        <f t="shared" si="32"/>
        <v>46161</v>
      </c>
      <c r="C546" s="4" t="s">
        <v>786</v>
      </c>
      <c r="D546" s="4" t="s">
        <v>43</v>
      </c>
      <c r="E546" s="4" t="s">
        <v>1562</v>
      </c>
      <c r="F546" s="20" t="s">
        <v>909</v>
      </c>
      <c r="G546" s="4" t="s">
        <v>362</v>
      </c>
    </row>
    <row r="547" spans="2:7" ht="15.75" customHeight="1">
      <c r="B547" s="6">
        <f t="shared" si="32"/>
        <v>46161</v>
      </c>
      <c r="C547" s="4" t="s">
        <v>786</v>
      </c>
      <c r="D547" s="4" t="s">
        <v>35</v>
      </c>
      <c r="E547" s="4" t="s">
        <v>1562</v>
      </c>
      <c r="F547" s="20" t="s">
        <v>910</v>
      </c>
      <c r="G547" s="4" t="s">
        <v>61</v>
      </c>
    </row>
    <row r="548" spans="2:7" ht="15.75" customHeight="1">
      <c r="B548" s="6">
        <f t="shared" si="32"/>
        <v>46161</v>
      </c>
      <c r="C548" s="4" t="s">
        <v>786</v>
      </c>
      <c r="D548" s="4" t="s">
        <v>35</v>
      </c>
      <c r="E548" s="4" t="s">
        <v>1562</v>
      </c>
      <c r="F548" s="21" t="s">
        <v>911</v>
      </c>
      <c r="G548" s="4" t="s">
        <v>61</v>
      </c>
    </row>
    <row r="549" spans="2:7" ht="15.75" customHeight="1">
      <c r="B549" s="6">
        <f t="shared" si="32"/>
        <v>46161</v>
      </c>
      <c r="C549" s="4" t="s">
        <v>912</v>
      </c>
      <c r="D549" s="4" t="s">
        <v>913</v>
      </c>
      <c r="E549" s="4" t="s">
        <v>1562</v>
      </c>
      <c r="F549" s="20" t="s">
        <v>914</v>
      </c>
      <c r="G549" s="4" t="s">
        <v>22</v>
      </c>
    </row>
    <row r="550" spans="2:7" ht="15.75" customHeight="1">
      <c r="B550" s="6">
        <f t="shared" si="32"/>
        <v>46161</v>
      </c>
      <c r="C550" s="4" t="s">
        <v>915</v>
      </c>
      <c r="D550" s="4" t="s">
        <v>916</v>
      </c>
      <c r="E550" s="4" t="s">
        <v>1562</v>
      </c>
      <c r="F550" s="20" t="s">
        <v>614</v>
      </c>
      <c r="G550" s="4" t="s">
        <v>22</v>
      </c>
    </row>
    <row r="551" spans="2:7" ht="15.75" customHeight="1">
      <c r="B551" s="6">
        <f t="shared" si="32"/>
        <v>46161</v>
      </c>
      <c r="C551" s="4" t="s">
        <v>786</v>
      </c>
      <c r="D551" s="4" t="s">
        <v>133</v>
      </c>
      <c r="E551" s="4" t="s">
        <v>1562</v>
      </c>
      <c r="F551" s="20" t="s">
        <v>917</v>
      </c>
      <c r="G551" s="4" t="s">
        <v>362</v>
      </c>
    </row>
    <row r="552" spans="2:7" ht="15.75" customHeight="1">
      <c r="B552" s="6">
        <f t="shared" si="32"/>
        <v>46161</v>
      </c>
      <c r="C552" s="4" t="s">
        <v>918</v>
      </c>
      <c r="D552" s="4" t="s">
        <v>53</v>
      </c>
      <c r="E552" s="4" t="s">
        <v>1562</v>
      </c>
      <c r="F552" s="20" t="s">
        <v>919</v>
      </c>
      <c r="G552" s="4" t="s">
        <v>22</v>
      </c>
    </row>
    <row r="553" spans="2:7" ht="15.75" customHeight="1">
      <c r="B553" s="6">
        <f t="shared" si="32"/>
        <v>46161</v>
      </c>
      <c r="C553" s="4" t="s">
        <v>920</v>
      </c>
      <c r="D553" s="4" t="s">
        <v>916</v>
      </c>
      <c r="E553" s="4" t="s">
        <v>1562</v>
      </c>
      <c r="F553" s="21" t="s">
        <v>921</v>
      </c>
      <c r="G553" s="4" t="s">
        <v>22</v>
      </c>
    </row>
    <row r="554" spans="2:7" ht="15.75" customHeight="1">
      <c r="B554" s="6">
        <f t="shared" si="32"/>
        <v>46161</v>
      </c>
      <c r="C554" s="4" t="s">
        <v>922</v>
      </c>
      <c r="D554" s="4" t="s">
        <v>923</v>
      </c>
      <c r="E554" s="4" t="s">
        <v>1562</v>
      </c>
      <c r="F554" s="21" t="s">
        <v>924</v>
      </c>
      <c r="G554" s="4" t="s">
        <v>74</v>
      </c>
    </row>
    <row r="555" spans="2:7" ht="15.75" customHeight="1">
      <c r="B555" s="6">
        <f t="shared" si="32"/>
        <v>46161</v>
      </c>
      <c r="C555" s="4" t="s">
        <v>925</v>
      </c>
      <c r="D555" s="4" t="s">
        <v>43</v>
      </c>
      <c r="E555" s="4" t="s">
        <v>1562</v>
      </c>
      <c r="F555" s="20" t="s">
        <v>926</v>
      </c>
      <c r="G555" s="4" t="s">
        <v>74</v>
      </c>
    </row>
    <row r="556" spans="2:7" ht="15.75" customHeight="1">
      <c r="B556" s="6">
        <f t="shared" si="32"/>
        <v>46161</v>
      </c>
      <c r="C556" s="4" t="s">
        <v>927</v>
      </c>
      <c r="D556" s="4" t="s">
        <v>928</v>
      </c>
      <c r="E556" s="4" t="s">
        <v>1562</v>
      </c>
      <c r="F556" s="20" t="s">
        <v>929</v>
      </c>
      <c r="G556" s="4" t="s">
        <v>927</v>
      </c>
    </row>
    <row r="557" spans="2:7" ht="15.75" customHeight="1">
      <c r="B557" s="6">
        <f t="shared" si="32"/>
        <v>46161</v>
      </c>
      <c r="C557" s="4" t="s">
        <v>786</v>
      </c>
      <c r="D557" s="4" t="s">
        <v>35</v>
      </c>
      <c r="E557" s="4" t="s">
        <v>1562</v>
      </c>
      <c r="F557" s="21" t="s">
        <v>930</v>
      </c>
      <c r="G557" s="4" t="s">
        <v>22</v>
      </c>
    </row>
    <row r="558" spans="2:7" ht="15.75" customHeight="1">
      <c r="B558" s="6">
        <f t="shared" si="32"/>
        <v>46161</v>
      </c>
      <c r="C558" s="4" t="s">
        <v>786</v>
      </c>
      <c r="D558" s="4" t="s">
        <v>9</v>
      </c>
      <c r="E558" s="4" t="s">
        <v>1562</v>
      </c>
      <c r="F558" s="21" t="s">
        <v>931</v>
      </c>
      <c r="G558" s="4" t="s">
        <v>22</v>
      </c>
    </row>
    <row r="559" spans="2:7" ht="15.75" customHeight="1">
      <c r="B559" s="6">
        <f t="shared" si="32"/>
        <v>46161</v>
      </c>
      <c r="C559" s="4" t="s">
        <v>786</v>
      </c>
      <c r="D559" s="4" t="s">
        <v>33</v>
      </c>
      <c r="E559" s="4" t="s">
        <v>1562</v>
      </c>
      <c r="F559" s="20" t="s">
        <v>932</v>
      </c>
      <c r="G559" s="4" t="s">
        <v>22</v>
      </c>
    </row>
    <row r="560" spans="2:7" ht="15.75" customHeight="1">
      <c r="B560" s="6">
        <f t="shared" si="32"/>
        <v>46161</v>
      </c>
      <c r="C560" s="4" t="s">
        <v>933</v>
      </c>
      <c r="D560" s="4" t="s">
        <v>43</v>
      </c>
      <c r="E560" s="4" t="s">
        <v>1562</v>
      </c>
      <c r="F560" s="20" t="s">
        <v>934</v>
      </c>
      <c r="G560" s="4" t="s">
        <v>74</v>
      </c>
    </row>
    <row r="561" spans="2:7" ht="15.75" customHeight="1">
      <c r="B561" s="6">
        <f t="shared" si="32"/>
        <v>46161</v>
      </c>
      <c r="C561" s="4" t="s">
        <v>935</v>
      </c>
      <c r="D561" s="4" t="s">
        <v>936</v>
      </c>
      <c r="E561" s="4" t="s">
        <v>1562</v>
      </c>
      <c r="F561" s="20" t="s">
        <v>937</v>
      </c>
      <c r="G561" s="4" t="s">
        <v>114</v>
      </c>
    </row>
    <row r="562" spans="2:7" ht="15.75" customHeight="1">
      <c r="B562" s="6">
        <f t="shared" si="32"/>
        <v>46161</v>
      </c>
      <c r="C562" s="4" t="s">
        <v>786</v>
      </c>
      <c r="D562" s="4" t="s">
        <v>35</v>
      </c>
      <c r="E562" s="4" t="s">
        <v>1562</v>
      </c>
      <c r="F562" s="20" t="s">
        <v>938</v>
      </c>
      <c r="G562" s="4" t="s">
        <v>61</v>
      </c>
    </row>
    <row r="563" spans="2:7" ht="15.75" customHeight="1">
      <c r="B563" s="6">
        <f t="shared" si="32"/>
        <v>46161</v>
      </c>
      <c r="C563" s="4" t="s">
        <v>907</v>
      </c>
      <c r="D563" s="4" t="s">
        <v>43</v>
      </c>
      <c r="E563" s="4" t="s">
        <v>1562</v>
      </c>
      <c r="F563" s="20" t="s">
        <v>939</v>
      </c>
      <c r="G563" s="4" t="s">
        <v>114</v>
      </c>
    </row>
    <row r="564" spans="2:7" ht="15.75" customHeight="1">
      <c r="B564" s="6">
        <f t="shared" si="32"/>
        <v>46161</v>
      </c>
      <c r="C564" s="4" t="s">
        <v>940</v>
      </c>
      <c r="D564" s="4" t="s">
        <v>35</v>
      </c>
      <c r="E564" s="4" t="s">
        <v>1562</v>
      </c>
      <c r="F564" s="20" t="s">
        <v>941</v>
      </c>
      <c r="G564" s="4" t="s">
        <v>74</v>
      </c>
    </row>
    <row r="565" spans="2:7" ht="15.75" customHeight="1">
      <c r="B565" s="6">
        <f t="shared" si="32"/>
        <v>46161</v>
      </c>
      <c r="C565" s="4" t="s">
        <v>942</v>
      </c>
      <c r="D565" s="4" t="s">
        <v>376</v>
      </c>
      <c r="E565" s="4" t="s">
        <v>1561</v>
      </c>
      <c r="F565" s="4" t="s">
        <v>943</v>
      </c>
      <c r="G565" s="4" t="s">
        <v>42</v>
      </c>
    </row>
    <row r="566" spans="2:7" ht="15.75" customHeight="1">
      <c r="B566" s="6">
        <f t="shared" si="32"/>
        <v>46161</v>
      </c>
      <c r="C566" s="4" t="s">
        <v>944</v>
      </c>
      <c r="D566" s="4" t="s">
        <v>901</v>
      </c>
      <c r="E566" s="4" t="s">
        <v>1561</v>
      </c>
      <c r="F566" s="4" t="s">
        <v>945</v>
      </c>
      <c r="G566" s="4" t="s">
        <v>42</v>
      </c>
    </row>
    <row r="567" spans="2:7" ht="15.75" customHeight="1">
      <c r="B567" s="6">
        <f t="shared" si="32"/>
        <v>46161</v>
      </c>
      <c r="C567" s="4" t="s">
        <v>946</v>
      </c>
      <c r="D567" s="4" t="s">
        <v>12</v>
      </c>
      <c r="E567" s="4" t="s">
        <v>1561</v>
      </c>
      <c r="F567" s="4" t="s">
        <v>620</v>
      </c>
      <c r="G567" s="4" t="s">
        <v>42</v>
      </c>
    </row>
    <row r="568" spans="2:7" ht="15.75" customHeight="1">
      <c r="B568" s="3">
        <v>46162</v>
      </c>
      <c r="C568" s="4" t="s">
        <v>947</v>
      </c>
      <c r="D568" s="4" t="s">
        <v>223</v>
      </c>
      <c r="E568" s="4" t="s">
        <v>1561</v>
      </c>
      <c r="F568" s="4" t="s">
        <v>948</v>
      </c>
      <c r="G568" s="4" t="s">
        <v>42</v>
      </c>
    </row>
    <row r="569" spans="2:7" ht="15.75" customHeight="1">
      <c r="B569" s="6">
        <f t="shared" ref="B569:B576" si="33">B568</f>
        <v>46162</v>
      </c>
      <c r="C569" s="4" t="s">
        <v>949</v>
      </c>
      <c r="D569" s="4" t="s">
        <v>85</v>
      </c>
      <c r="E569" s="4" t="s">
        <v>1561</v>
      </c>
      <c r="F569" s="4" t="s">
        <v>950</v>
      </c>
      <c r="G569" s="4" t="s">
        <v>42</v>
      </c>
    </row>
    <row r="570" spans="2:7" ht="15.75" customHeight="1">
      <c r="B570" s="6">
        <f t="shared" si="33"/>
        <v>46162</v>
      </c>
      <c r="C570" s="4" t="s">
        <v>951</v>
      </c>
      <c r="D570" s="4" t="s">
        <v>43</v>
      </c>
      <c r="E570" s="4" t="s">
        <v>1561</v>
      </c>
      <c r="F570" s="4" t="s">
        <v>952</v>
      </c>
      <c r="G570" s="4" t="s">
        <v>22</v>
      </c>
    </row>
    <row r="571" spans="2:7" ht="15.75" customHeight="1">
      <c r="B571" s="6">
        <f t="shared" si="33"/>
        <v>46162</v>
      </c>
      <c r="C571" s="4" t="s">
        <v>26</v>
      </c>
      <c r="D571" s="4" t="s">
        <v>953</v>
      </c>
      <c r="E571" s="4" t="s">
        <v>1561</v>
      </c>
      <c r="F571" s="4" t="s">
        <v>954</v>
      </c>
      <c r="G571" s="4" t="s">
        <v>14</v>
      </c>
    </row>
    <row r="572" spans="2:7" ht="15.75" customHeight="1">
      <c r="B572" s="6">
        <f t="shared" si="33"/>
        <v>46162</v>
      </c>
      <c r="C572" s="4" t="s">
        <v>955</v>
      </c>
      <c r="D572" s="4" t="s">
        <v>956</v>
      </c>
      <c r="E572" s="4" t="s">
        <v>1561</v>
      </c>
      <c r="F572" s="4" t="s">
        <v>957</v>
      </c>
      <c r="G572" s="4" t="s">
        <v>42</v>
      </c>
    </row>
    <row r="573" spans="2:7" ht="15.75" customHeight="1">
      <c r="B573" s="6">
        <f t="shared" si="33"/>
        <v>46162</v>
      </c>
      <c r="C573" s="4" t="s">
        <v>958</v>
      </c>
      <c r="D573" s="4" t="s">
        <v>603</v>
      </c>
      <c r="E573" s="4" t="s">
        <v>1561</v>
      </c>
      <c r="F573" s="4" t="s">
        <v>959</v>
      </c>
      <c r="G573" s="4" t="s">
        <v>42</v>
      </c>
    </row>
    <row r="574" spans="2:7" ht="15.75" customHeight="1">
      <c r="B574" s="6">
        <f t="shared" si="33"/>
        <v>46162</v>
      </c>
      <c r="C574" s="4" t="s">
        <v>26</v>
      </c>
      <c r="D574" s="4" t="s">
        <v>960</v>
      </c>
      <c r="E574" s="4" t="s">
        <v>1561</v>
      </c>
      <c r="F574" s="4" t="s">
        <v>961</v>
      </c>
      <c r="G574" s="4" t="s">
        <v>14</v>
      </c>
    </row>
    <row r="575" spans="2:7" ht="15.75" customHeight="1">
      <c r="B575" s="6">
        <f t="shared" si="33"/>
        <v>46162</v>
      </c>
      <c r="C575" s="4" t="s">
        <v>962</v>
      </c>
      <c r="D575" s="4" t="s">
        <v>574</v>
      </c>
      <c r="E575" s="4" t="s">
        <v>1561</v>
      </c>
      <c r="F575" s="4" t="s">
        <v>963</v>
      </c>
      <c r="G575" s="4" t="s">
        <v>42</v>
      </c>
    </row>
    <row r="576" spans="2:7" ht="15.75" customHeight="1">
      <c r="B576" s="6">
        <f t="shared" si="33"/>
        <v>46162</v>
      </c>
      <c r="C576" s="4" t="s">
        <v>964</v>
      </c>
      <c r="D576" s="4" t="s">
        <v>376</v>
      </c>
      <c r="E576" s="4" t="s">
        <v>1561</v>
      </c>
      <c r="F576" s="4" t="s">
        <v>965</v>
      </c>
      <c r="G576" s="4" t="s">
        <v>42</v>
      </c>
    </row>
    <row r="577" spans="2:7" ht="15.75" customHeight="1">
      <c r="B577" s="15">
        <v>46163</v>
      </c>
      <c r="C577" s="4" t="s">
        <v>966</v>
      </c>
      <c r="D577" s="16" t="s">
        <v>247</v>
      </c>
      <c r="E577" s="4" t="s">
        <v>1561</v>
      </c>
      <c r="F577" s="4" t="s">
        <v>967</v>
      </c>
      <c r="G577" s="4" t="s">
        <v>42</v>
      </c>
    </row>
    <row r="578" spans="2:7" ht="15.75" customHeight="1">
      <c r="B578" s="6">
        <f>B577</f>
        <v>46163</v>
      </c>
      <c r="C578" s="4" t="s">
        <v>968</v>
      </c>
      <c r="D578" s="4" t="s">
        <v>411</v>
      </c>
      <c r="E578" s="4" t="s">
        <v>1561</v>
      </c>
      <c r="F578" s="4" t="s">
        <v>969</v>
      </c>
      <c r="G578" s="4" t="s">
        <v>42</v>
      </c>
    </row>
    <row r="579" spans="2:7" ht="15.75" customHeight="1">
      <c r="B579" s="6">
        <f>B578</f>
        <v>46163</v>
      </c>
      <c r="C579" s="4" t="s">
        <v>970</v>
      </c>
      <c r="D579" s="4" t="s">
        <v>33</v>
      </c>
      <c r="E579" s="4" t="s">
        <v>1561</v>
      </c>
      <c r="F579" s="4" t="s">
        <v>971</v>
      </c>
      <c r="G579" s="4" t="s">
        <v>42</v>
      </c>
    </row>
    <row r="580" spans="2:7" ht="15.75" customHeight="1">
      <c r="B580" s="6">
        <f>B579</f>
        <v>46163</v>
      </c>
      <c r="C580" s="4" t="s">
        <v>972</v>
      </c>
      <c r="D580" s="4" t="s">
        <v>67</v>
      </c>
      <c r="E580" s="4" t="s">
        <v>1561</v>
      </c>
      <c r="F580" s="4" t="s">
        <v>973</v>
      </c>
      <c r="G580" s="4" t="s">
        <v>25</v>
      </c>
    </row>
    <row r="581" spans="2:7" ht="15.75" customHeight="1">
      <c r="B581" s="6">
        <f>B580</f>
        <v>46163</v>
      </c>
      <c r="C581" s="4" t="s">
        <v>974</v>
      </c>
      <c r="D581" s="4" t="s">
        <v>247</v>
      </c>
      <c r="E581" s="4" t="s">
        <v>1561</v>
      </c>
      <c r="F581" s="4" t="s">
        <v>975</v>
      </c>
      <c r="G581" s="4" t="s">
        <v>639</v>
      </c>
    </row>
    <row r="582" spans="2:7" ht="15.75" customHeight="1">
      <c r="B582" s="3">
        <v>46164</v>
      </c>
      <c r="C582" s="4" t="s">
        <v>976</v>
      </c>
      <c r="D582" s="16" t="s">
        <v>33</v>
      </c>
      <c r="E582" s="4" t="s">
        <v>1562</v>
      </c>
      <c r="F582" s="7" t="s">
        <v>977</v>
      </c>
      <c r="G582" s="7" t="s">
        <v>74</v>
      </c>
    </row>
    <row r="583" spans="2:7" ht="15.75" customHeight="1">
      <c r="B583" s="6">
        <f t="shared" ref="B583:B610" si="34">B582</f>
        <v>46164</v>
      </c>
      <c r="C583" s="4" t="s">
        <v>978</v>
      </c>
      <c r="D583" s="4" t="s">
        <v>43</v>
      </c>
      <c r="E583" s="4" t="s">
        <v>1562</v>
      </c>
      <c r="F583" s="4" t="s">
        <v>979</v>
      </c>
      <c r="G583" s="4" t="s">
        <v>22</v>
      </c>
    </row>
    <row r="584" spans="2:7" ht="15.75" customHeight="1">
      <c r="B584" s="6">
        <f t="shared" si="34"/>
        <v>46164</v>
      </c>
      <c r="C584" s="4" t="s">
        <v>980</v>
      </c>
      <c r="D584" s="4" t="s">
        <v>35</v>
      </c>
      <c r="E584" s="4" t="s">
        <v>1562</v>
      </c>
      <c r="F584" s="4" t="s">
        <v>981</v>
      </c>
      <c r="G584" s="4" t="s">
        <v>22</v>
      </c>
    </row>
    <row r="585" spans="2:7" ht="15.75" customHeight="1">
      <c r="B585" s="6">
        <f t="shared" si="34"/>
        <v>46164</v>
      </c>
      <c r="C585" s="4" t="s">
        <v>980</v>
      </c>
      <c r="D585" s="4" t="s">
        <v>67</v>
      </c>
      <c r="E585" s="4" t="s">
        <v>1562</v>
      </c>
      <c r="F585" s="4" t="s">
        <v>982</v>
      </c>
      <c r="G585" s="4" t="s">
        <v>22</v>
      </c>
    </row>
    <row r="586" spans="2:7" ht="15.75" customHeight="1">
      <c r="B586" s="6">
        <f t="shared" si="34"/>
        <v>46164</v>
      </c>
      <c r="C586" s="4" t="s">
        <v>983</v>
      </c>
      <c r="D586" s="4" t="s">
        <v>876</v>
      </c>
      <c r="E586" s="4" t="s">
        <v>1562</v>
      </c>
      <c r="F586" s="4" t="s">
        <v>569</v>
      </c>
      <c r="G586" s="4" t="s">
        <v>408</v>
      </c>
    </row>
    <row r="587" spans="2:7" ht="15.75" customHeight="1">
      <c r="B587" s="6">
        <f t="shared" si="34"/>
        <v>46164</v>
      </c>
      <c r="C587" s="4" t="s">
        <v>408</v>
      </c>
      <c r="D587" s="4" t="s">
        <v>33</v>
      </c>
      <c r="E587" s="4" t="s">
        <v>1562</v>
      </c>
      <c r="F587" s="4" t="s">
        <v>984</v>
      </c>
      <c r="G587" s="4" t="s">
        <v>408</v>
      </c>
    </row>
    <row r="588" spans="2:7" ht="15.75" customHeight="1">
      <c r="B588" s="6">
        <f t="shared" si="34"/>
        <v>46164</v>
      </c>
      <c r="C588" s="4" t="s">
        <v>985</v>
      </c>
      <c r="D588" s="4" t="s">
        <v>215</v>
      </c>
      <c r="E588" s="4" t="s">
        <v>1562</v>
      </c>
      <c r="F588" s="4" t="s">
        <v>986</v>
      </c>
      <c r="G588" s="4" t="s">
        <v>114</v>
      </c>
    </row>
    <row r="589" spans="2:7" ht="15.75" customHeight="1">
      <c r="B589" s="6">
        <f t="shared" si="34"/>
        <v>46164</v>
      </c>
      <c r="C589" s="4" t="s">
        <v>987</v>
      </c>
      <c r="D589" s="4" t="s">
        <v>988</v>
      </c>
      <c r="E589" s="4" t="s">
        <v>1562</v>
      </c>
      <c r="F589" s="4" t="s">
        <v>989</v>
      </c>
      <c r="G589" s="4" t="s">
        <v>114</v>
      </c>
    </row>
    <row r="590" spans="2:7" ht="15.75" customHeight="1">
      <c r="B590" s="6">
        <f t="shared" si="34"/>
        <v>46164</v>
      </c>
      <c r="C590" s="4" t="s">
        <v>980</v>
      </c>
      <c r="D590" s="4" t="s">
        <v>85</v>
      </c>
      <c r="E590" s="4" t="s">
        <v>1562</v>
      </c>
      <c r="F590" s="4" t="s">
        <v>990</v>
      </c>
      <c r="G590" s="4" t="s">
        <v>991</v>
      </c>
    </row>
    <row r="591" spans="2:7" ht="15.75" customHeight="1">
      <c r="B591" s="6">
        <f t="shared" si="34"/>
        <v>46164</v>
      </c>
      <c r="C591" s="4" t="s">
        <v>992</v>
      </c>
      <c r="D591" s="4" t="s">
        <v>72</v>
      </c>
      <c r="E591" s="4" t="s">
        <v>1562</v>
      </c>
      <c r="F591" s="4" t="s">
        <v>993</v>
      </c>
      <c r="G591" s="4" t="s">
        <v>114</v>
      </c>
    </row>
    <row r="592" spans="2:7" ht="15.75" customHeight="1">
      <c r="B592" s="6">
        <f t="shared" si="34"/>
        <v>46164</v>
      </c>
      <c r="C592" s="4" t="s">
        <v>980</v>
      </c>
      <c r="D592" s="4" t="s">
        <v>85</v>
      </c>
      <c r="E592" s="4" t="s">
        <v>1562</v>
      </c>
      <c r="F592" s="4" t="s">
        <v>994</v>
      </c>
      <c r="G592" s="4" t="s">
        <v>362</v>
      </c>
    </row>
    <row r="593" spans="2:7" ht="15.75" customHeight="1">
      <c r="B593" s="6">
        <f t="shared" si="34"/>
        <v>46164</v>
      </c>
      <c r="C593" s="4" t="s">
        <v>995</v>
      </c>
      <c r="D593" s="4" t="s">
        <v>33</v>
      </c>
      <c r="E593" s="4" t="s">
        <v>1562</v>
      </c>
      <c r="F593" s="4" t="s">
        <v>996</v>
      </c>
      <c r="G593" s="4" t="s">
        <v>114</v>
      </c>
    </row>
    <row r="594" spans="2:7" ht="15.75" customHeight="1">
      <c r="B594" s="6">
        <f t="shared" si="34"/>
        <v>46164</v>
      </c>
      <c r="C594" s="4" t="s">
        <v>849</v>
      </c>
      <c r="D594" s="4" t="s">
        <v>33</v>
      </c>
      <c r="E594" s="4" t="s">
        <v>1562</v>
      </c>
      <c r="F594" s="4" t="s">
        <v>851</v>
      </c>
      <c r="G594" s="4" t="s">
        <v>114</v>
      </c>
    </row>
    <row r="595" spans="2:7" ht="15.75" customHeight="1">
      <c r="B595" s="6">
        <f t="shared" si="34"/>
        <v>46164</v>
      </c>
      <c r="C595" s="4" t="s">
        <v>997</v>
      </c>
      <c r="D595" s="4" t="s">
        <v>16</v>
      </c>
      <c r="E595" s="4" t="s">
        <v>1562</v>
      </c>
      <c r="F595" s="4" t="s">
        <v>998</v>
      </c>
      <c r="G595" s="4" t="s">
        <v>22</v>
      </c>
    </row>
    <row r="596" spans="2:7" ht="15.75" customHeight="1">
      <c r="B596" s="6">
        <f t="shared" si="34"/>
        <v>46164</v>
      </c>
      <c r="C596" s="4" t="s">
        <v>999</v>
      </c>
      <c r="D596" s="4" t="s">
        <v>343</v>
      </c>
      <c r="E596" s="4" t="s">
        <v>1562</v>
      </c>
      <c r="F596" s="4" t="s">
        <v>1000</v>
      </c>
      <c r="G596" s="4" t="s">
        <v>114</v>
      </c>
    </row>
    <row r="597" spans="2:7" ht="15.75" customHeight="1">
      <c r="B597" s="6">
        <f t="shared" si="34"/>
        <v>46164</v>
      </c>
      <c r="C597" s="4" t="s">
        <v>1001</v>
      </c>
      <c r="D597" s="4" t="s">
        <v>85</v>
      </c>
      <c r="E597" s="4" t="s">
        <v>1562</v>
      </c>
      <c r="F597" s="10" t="s">
        <v>1002</v>
      </c>
      <c r="G597" s="4" t="s">
        <v>114</v>
      </c>
    </row>
    <row r="598" spans="2:7" ht="15.75" customHeight="1">
      <c r="B598" s="6">
        <f t="shared" si="34"/>
        <v>46164</v>
      </c>
      <c r="C598" s="4" t="s">
        <v>1003</v>
      </c>
      <c r="D598" s="4" t="s">
        <v>35</v>
      </c>
      <c r="E598" s="4" t="s">
        <v>1562</v>
      </c>
      <c r="F598" s="10" t="s">
        <v>1004</v>
      </c>
      <c r="G598" s="4" t="s">
        <v>61</v>
      </c>
    </row>
    <row r="599" spans="2:7" ht="15.75" customHeight="1">
      <c r="B599" s="6">
        <f t="shared" si="34"/>
        <v>46164</v>
      </c>
      <c r="C599" s="4" t="s">
        <v>1005</v>
      </c>
      <c r="D599" s="4" t="s">
        <v>35</v>
      </c>
      <c r="E599" s="4" t="s">
        <v>1562</v>
      </c>
      <c r="F599" s="4" t="s">
        <v>1006</v>
      </c>
      <c r="G599" s="4" t="s">
        <v>61</v>
      </c>
    </row>
    <row r="600" spans="2:7" ht="15.75" customHeight="1">
      <c r="B600" s="6">
        <f t="shared" si="34"/>
        <v>46164</v>
      </c>
      <c r="C600" s="4" t="s">
        <v>980</v>
      </c>
      <c r="D600" s="4" t="s">
        <v>204</v>
      </c>
      <c r="E600" s="4" t="s">
        <v>1562</v>
      </c>
      <c r="F600" s="4" t="s">
        <v>1007</v>
      </c>
      <c r="G600" s="4" t="s">
        <v>228</v>
      </c>
    </row>
    <row r="601" spans="2:7" ht="15.75" customHeight="1">
      <c r="B601" s="6">
        <f t="shared" si="34"/>
        <v>46164</v>
      </c>
      <c r="C601" s="4" t="s">
        <v>980</v>
      </c>
      <c r="D601" s="4" t="s">
        <v>204</v>
      </c>
      <c r="E601" s="4" t="s">
        <v>1562</v>
      </c>
      <c r="F601" s="4" t="s">
        <v>1008</v>
      </c>
      <c r="G601" s="4" t="s">
        <v>228</v>
      </c>
    </row>
    <row r="602" spans="2:7" ht="15.75" customHeight="1">
      <c r="B602" s="6">
        <f t="shared" si="34"/>
        <v>46164</v>
      </c>
      <c r="C602" s="4" t="s">
        <v>1009</v>
      </c>
      <c r="D602" s="4" t="s">
        <v>85</v>
      </c>
      <c r="E602" s="4" t="s">
        <v>1562</v>
      </c>
      <c r="F602" s="4" t="s">
        <v>1010</v>
      </c>
      <c r="G602" s="4" t="s">
        <v>114</v>
      </c>
    </row>
    <row r="603" spans="2:7" ht="15.75" customHeight="1">
      <c r="B603" s="6">
        <f t="shared" si="34"/>
        <v>46164</v>
      </c>
      <c r="C603" s="4" t="s">
        <v>1011</v>
      </c>
      <c r="D603" s="4" t="s">
        <v>35</v>
      </c>
      <c r="E603" s="4" t="s">
        <v>1562</v>
      </c>
      <c r="F603" s="10" t="s">
        <v>1012</v>
      </c>
      <c r="G603" s="4" t="s">
        <v>61</v>
      </c>
    </row>
    <row r="604" spans="2:7" ht="15.75" customHeight="1">
      <c r="B604" s="6">
        <f t="shared" si="34"/>
        <v>46164</v>
      </c>
      <c r="C604" s="4" t="s">
        <v>1013</v>
      </c>
      <c r="D604" s="4" t="s">
        <v>67</v>
      </c>
      <c r="E604" s="4" t="s">
        <v>1562</v>
      </c>
      <c r="F604" s="10" t="s">
        <v>1014</v>
      </c>
      <c r="G604" s="4" t="s">
        <v>114</v>
      </c>
    </row>
    <row r="605" spans="2:7" ht="15.75" customHeight="1">
      <c r="B605" s="6">
        <f t="shared" si="34"/>
        <v>46164</v>
      </c>
      <c r="C605" s="4" t="s">
        <v>1011</v>
      </c>
      <c r="D605" s="4" t="s">
        <v>35</v>
      </c>
      <c r="E605" s="4" t="s">
        <v>1562</v>
      </c>
      <c r="F605" s="10" t="s">
        <v>105</v>
      </c>
      <c r="G605" s="4" t="s">
        <v>22</v>
      </c>
    </row>
    <row r="606" spans="2:7" ht="15.75" customHeight="1">
      <c r="B606" s="6">
        <f t="shared" si="34"/>
        <v>46164</v>
      </c>
      <c r="C606" s="4" t="s">
        <v>1015</v>
      </c>
      <c r="D606" s="4" t="s">
        <v>107</v>
      </c>
      <c r="E606" s="4" t="s">
        <v>1561</v>
      </c>
      <c r="F606" s="4" t="s">
        <v>1016</v>
      </c>
      <c r="G606" s="4" t="s">
        <v>25</v>
      </c>
    </row>
    <row r="607" spans="2:7" ht="15.75" customHeight="1">
      <c r="B607" s="6">
        <f t="shared" si="34"/>
        <v>46164</v>
      </c>
      <c r="C607" s="4" t="s">
        <v>1017</v>
      </c>
      <c r="D607" s="4" t="s">
        <v>1018</v>
      </c>
      <c r="E607" s="4" t="s">
        <v>1561</v>
      </c>
      <c r="F607" s="4" t="s">
        <v>1019</v>
      </c>
      <c r="G607" s="4" t="s">
        <v>474</v>
      </c>
    </row>
    <row r="608" spans="2:7" ht="15.75" customHeight="1">
      <c r="B608" s="6">
        <f t="shared" si="34"/>
        <v>46164</v>
      </c>
      <c r="C608" s="4" t="s">
        <v>1020</v>
      </c>
      <c r="D608" s="4" t="s">
        <v>1021</v>
      </c>
      <c r="E608" s="4" t="s">
        <v>1561</v>
      </c>
      <c r="F608" s="4" t="s">
        <v>1022</v>
      </c>
      <c r="G608" s="4" t="s">
        <v>1023</v>
      </c>
    </row>
    <row r="609" spans="2:7" ht="15.75" customHeight="1">
      <c r="B609" s="6">
        <f t="shared" si="34"/>
        <v>46164</v>
      </c>
      <c r="C609" s="4" t="s">
        <v>1024</v>
      </c>
      <c r="D609" s="4" t="s">
        <v>16</v>
      </c>
      <c r="E609" s="4" t="s">
        <v>1561</v>
      </c>
      <c r="F609" s="4" t="s">
        <v>1025</v>
      </c>
      <c r="G609" s="4" t="s">
        <v>1026</v>
      </c>
    </row>
    <row r="610" spans="2:7" ht="15.75" customHeight="1">
      <c r="B610" s="6">
        <f t="shared" si="34"/>
        <v>46164</v>
      </c>
      <c r="C610" s="4" t="s">
        <v>1027</v>
      </c>
      <c r="D610" s="4" t="s">
        <v>1028</v>
      </c>
      <c r="E610" s="4" t="s">
        <v>1561</v>
      </c>
      <c r="F610" s="4" t="s">
        <v>1029</v>
      </c>
      <c r="G610" s="11"/>
    </row>
    <row r="611" spans="2:7" ht="15.75" customHeight="1">
      <c r="B611" s="3">
        <v>46165</v>
      </c>
      <c r="C611" s="7" t="s">
        <v>240</v>
      </c>
      <c r="D611" s="7" t="s">
        <v>16</v>
      </c>
      <c r="E611" s="4" t="s">
        <v>1562</v>
      </c>
      <c r="F611" s="7" t="s">
        <v>1030</v>
      </c>
      <c r="G611" s="7" t="s">
        <v>25</v>
      </c>
    </row>
    <row r="612" spans="2:7" ht="15.75" customHeight="1">
      <c r="B612" s="6">
        <f t="shared" ref="B612:B627" si="35">B611</f>
        <v>46165</v>
      </c>
      <c r="C612" s="4" t="s">
        <v>167</v>
      </c>
      <c r="D612" s="7" t="s">
        <v>9</v>
      </c>
      <c r="E612" s="4" t="s">
        <v>1562</v>
      </c>
      <c r="F612" s="4" t="s">
        <v>1031</v>
      </c>
      <c r="G612" s="7" t="s">
        <v>22</v>
      </c>
    </row>
    <row r="613" spans="2:7" ht="15.75" customHeight="1">
      <c r="B613" s="6">
        <f t="shared" si="35"/>
        <v>46165</v>
      </c>
      <c r="C613" s="4" t="s">
        <v>20</v>
      </c>
      <c r="D613" s="4" t="s">
        <v>23</v>
      </c>
      <c r="E613" s="4" t="s">
        <v>1562</v>
      </c>
      <c r="F613" s="4" t="s">
        <v>1032</v>
      </c>
      <c r="G613" s="7" t="s">
        <v>25</v>
      </c>
    </row>
    <row r="614" spans="2:7" ht="15.75" customHeight="1">
      <c r="B614" s="6">
        <f t="shared" si="35"/>
        <v>46165</v>
      </c>
      <c r="C614" s="4" t="s">
        <v>20</v>
      </c>
      <c r="D614" s="4" t="s">
        <v>35</v>
      </c>
      <c r="E614" s="4" t="s">
        <v>1562</v>
      </c>
      <c r="F614" s="4" t="s">
        <v>1033</v>
      </c>
      <c r="G614" s="7" t="s">
        <v>22</v>
      </c>
    </row>
    <row r="615" spans="2:7" ht="15.75" customHeight="1">
      <c r="B615" s="6">
        <f t="shared" si="35"/>
        <v>46165</v>
      </c>
      <c r="C615" s="7" t="s">
        <v>240</v>
      </c>
      <c r="D615" s="4" t="s">
        <v>67</v>
      </c>
      <c r="E615" s="4" t="s">
        <v>1562</v>
      </c>
      <c r="F615" s="7" t="s">
        <v>1034</v>
      </c>
      <c r="G615" s="7" t="s">
        <v>22</v>
      </c>
    </row>
    <row r="616" spans="2:7" ht="15.75" customHeight="1">
      <c r="B616" s="6">
        <f t="shared" si="35"/>
        <v>46165</v>
      </c>
      <c r="C616" s="4" t="s">
        <v>20</v>
      </c>
      <c r="D616" s="4" t="s">
        <v>33</v>
      </c>
      <c r="E616" s="4" t="s">
        <v>1562</v>
      </c>
      <c r="F616" s="7" t="s">
        <v>1035</v>
      </c>
      <c r="G616" s="7" t="s">
        <v>22</v>
      </c>
    </row>
    <row r="617" spans="2:7" ht="15.75" customHeight="1">
      <c r="B617" s="6">
        <f t="shared" si="35"/>
        <v>46165</v>
      </c>
      <c r="C617" s="4" t="s">
        <v>1036</v>
      </c>
      <c r="D617" s="4" t="s">
        <v>35</v>
      </c>
      <c r="E617" s="4" t="s">
        <v>1562</v>
      </c>
      <c r="F617" s="4" t="s">
        <v>569</v>
      </c>
      <c r="G617" s="7" t="s">
        <v>22</v>
      </c>
    </row>
    <row r="618" spans="2:7" ht="15.75" customHeight="1">
      <c r="B618" s="6">
        <f t="shared" si="35"/>
        <v>46165</v>
      </c>
      <c r="C618" s="4" t="s">
        <v>823</v>
      </c>
      <c r="D618" s="4" t="s">
        <v>72</v>
      </c>
      <c r="E618" s="4" t="s">
        <v>1562</v>
      </c>
      <c r="F618" s="4" t="s">
        <v>1037</v>
      </c>
      <c r="G618" s="4" t="s">
        <v>22</v>
      </c>
    </row>
    <row r="619" spans="2:7" ht="15.75" customHeight="1">
      <c r="B619" s="6">
        <f t="shared" si="35"/>
        <v>46165</v>
      </c>
      <c r="C619" s="4" t="s">
        <v>74</v>
      </c>
      <c r="D619" s="4" t="s">
        <v>33</v>
      </c>
      <c r="E619" s="4" t="s">
        <v>1562</v>
      </c>
      <c r="F619" s="4" t="s">
        <v>1038</v>
      </c>
      <c r="G619" s="4" t="s">
        <v>25</v>
      </c>
    </row>
    <row r="620" spans="2:7" ht="15.75" customHeight="1">
      <c r="B620" s="6">
        <f t="shared" si="35"/>
        <v>46165</v>
      </c>
      <c r="C620" s="4" t="s">
        <v>167</v>
      </c>
      <c r="D620" s="4" t="s">
        <v>33</v>
      </c>
      <c r="E620" s="4" t="s">
        <v>1562</v>
      </c>
      <c r="F620" s="4" t="s">
        <v>1039</v>
      </c>
      <c r="G620" s="4" t="s">
        <v>22</v>
      </c>
    </row>
    <row r="621" spans="2:7" ht="15.75" customHeight="1">
      <c r="B621" s="6">
        <f t="shared" si="35"/>
        <v>46165</v>
      </c>
      <c r="C621" s="4" t="s">
        <v>831</v>
      </c>
      <c r="D621" s="4" t="s">
        <v>72</v>
      </c>
      <c r="E621" s="4" t="s">
        <v>1562</v>
      </c>
      <c r="F621" s="4" t="s">
        <v>1040</v>
      </c>
      <c r="G621" s="4" t="s">
        <v>362</v>
      </c>
    </row>
    <row r="622" spans="2:7" ht="15.75" customHeight="1">
      <c r="B622" s="6">
        <f t="shared" si="35"/>
        <v>46165</v>
      </c>
      <c r="C622" s="4" t="s">
        <v>167</v>
      </c>
      <c r="D622" s="4" t="s">
        <v>72</v>
      </c>
      <c r="E622" s="4" t="s">
        <v>1562</v>
      </c>
      <c r="F622" s="4" t="s">
        <v>1041</v>
      </c>
      <c r="G622" s="4" t="s">
        <v>22</v>
      </c>
    </row>
    <row r="623" spans="2:7" ht="15.75" customHeight="1">
      <c r="B623" s="6">
        <f t="shared" si="35"/>
        <v>46165</v>
      </c>
      <c r="C623" s="4" t="s">
        <v>1042</v>
      </c>
      <c r="D623" s="7" t="s">
        <v>9</v>
      </c>
      <c r="E623" s="4" t="s">
        <v>1562</v>
      </c>
      <c r="F623" s="4" t="s">
        <v>569</v>
      </c>
      <c r="G623" s="4" t="s">
        <v>22</v>
      </c>
    </row>
    <row r="624" spans="2:7" ht="15.75" customHeight="1">
      <c r="B624" s="6">
        <f t="shared" si="35"/>
        <v>46165</v>
      </c>
      <c r="C624" s="4" t="s">
        <v>167</v>
      </c>
      <c r="D624" s="4" t="s">
        <v>204</v>
      </c>
      <c r="E624" s="4" t="s">
        <v>1562</v>
      </c>
      <c r="F624" s="4" t="s">
        <v>1043</v>
      </c>
      <c r="G624" s="4" t="s">
        <v>370</v>
      </c>
    </row>
    <row r="625" spans="2:7" ht="15.75" customHeight="1">
      <c r="B625" s="6">
        <f t="shared" si="35"/>
        <v>46165</v>
      </c>
      <c r="C625" s="4" t="s">
        <v>20</v>
      </c>
      <c r="D625" s="4" t="s">
        <v>72</v>
      </c>
      <c r="E625" s="4" t="s">
        <v>1561</v>
      </c>
      <c r="F625" s="4" t="s">
        <v>1044</v>
      </c>
      <c r="G625" s="4" t="s">
        <v>1045</v>
      </c>
    </row>
    <row r="626" spans="2:7" ht="15.75" customHeight="1">
      <c r="B626" s="6">
        <f t="shared" si="35"/>
        <v>46165</v>
      </c>
      <c r="C626" s="4" t="s">
        <v>20</v>
      </c>
      <c r="D626" s="4" t="s">
        <v>27</v>
      </c>
      <c r="E626" s="4" t="s">
        <v>1561</v>
      </c>
      <c r="F626" s="4" t="s">
        <v>1046</v>
      </c>
      <c r="G626" s="4" t="s">
        <v>1047</v>
      </c>
    </row>
    <row r="627" spans="2:7" ht="15.75" customHeight="1">
      <c r="B627" s="6">
        <f t="shared" si="35"/>
        <v>46165</v>
      </c>
      <c r="C627" s="4" t="s">
        <v>20</v>
      </c>
      <c r="D627" s="4" t="s">
        <v>94</v>
      </c>
      <c r="E627" s="4" t="s">
        <v>1561</v>
      </c>
      <c r="F627" s="4" t="s">
        <v>1048</v>
      </c>
      <c r="G627" s="4" t="s">
        <v>1049</v>
      </c>
    </row>
    <row r="628" spans="2:7" ht="15.75" customHeight="1">
      <c r="B628" s="3">
        <v>46166</v>
      </c>
      <c r="C628" s="7" t="s">
        <v>206</v>
      </c>
      <c r="D628" s="7" t="s">
        <v>16</v>
      </c>
      <c r="E628" s="4" t="s">
        <v>1562</v>
      </c>
      <c r="F628" s="7" t="s">
        <v>1050</v>
      </c>
      <c r="G628" s="7" t="s">
        <v>25</v>
      </c>
    </row>
    <row r="629" spans="2:7" ht="15.75" customHeight="1">
      <c r="B629" s="6">
        <f t="shared" ref="B629:B654" si="36">B628</f>
        <v>46166</v>
      </c>
      <c r="C629" s="7" t="s">
        <v>206</v>
      </c>
      <c r="D629" s="4" t="s">
        <v>913</v>
      </c>
      <c r="E629" s="4" t="s">
        <v>1562</v>
      </c>
      <c r="F629" s="4" t="s">
        <v>1051</v>
      </c>
      <c r="G629" s="4" t="s">
        <v>25</v>
      </c>
    </row>
    <row r="630" spans="2:7" ht="15.75" customHeight="1">
      <c r="B630" s="6">
        <f t="shared" si="36"/>
        <v>46166</v>
      </c>
      <c r="C630" s="4" t="s">
        <v>167</v>
      </c>
      <c r="D630" s="4" t="s">
        <v>72</v>
      </c>
      <c r="E630" s="4" t="s">
        <v>1562</v>
      </c>
      <c r="F630" s="4" t="s">
        <v>1052</v>
      </c>
      <c r="G630" s="4" t="s">
        <v>22</v>
      </c>
    </row>
    <row r="631" spans="2:7" ht="15.75" customHeight="1">
      <c r="B631" s="6">
        <f t="shared" si="36"/>
        <v>46166</v>
      </c>
      <c r="C631" s="4" t="s">
        <v>167</v>
      </c>
      <c r="D631" s="4" t="s">
        <v>9</v>
      </c>
      <c r="E631" s="4" t="s">
        <v>1562</v>
      </c>
      <c r="F631" s="4" t="s">
        <v>1053</v>
      </c>
      <c r="G631" s="4" t="s">
        <v>22</v>
      </c>
    </row>
    <row r="632" spans="2:7" ht="15.75" customHeight="1">
      <c r="B632" s="6">
        <f t="shared" si="36"/>
        <v>46166</v>
      </c>
      <c r="C632" s="7" t="s">
        <v>1054</v>
      </c>
      <c r="D632" s="4" t="s">
        <v>35</v>
      </c>
      <c r="E632" s="4" t="s">
        <v>1562</v>
      </c>
      <c r="F632" s="16" t="s">
        <v>1055</v>
      </c>
      <c r="G632" s="4" t="s">
        <v>22</v>
      </c>
    </row>
    <row r="633" spans="2:7" ht="15.75" customHeight="1">
      <c r="B633" s="6">
        <f t="shared" si="36"/>
        <v>46166</v>
      </c>
      <c r="C633" s="7" t="s">
        <v>167</v>
      </c>
      <c r="D633" s="4" t="s">
        <v>204</v>
      </c>
      <c r="E633" s="4" t="s">
        <v>1562</v>
      </c>
      <c r="F633" s="10" t="s">
        <v>1056</v>
      </c>
      <c r="G633" s="4" t="s">
        <v>61</v>
      </c>
    </row>
    <row r="634" spans="2:7" ht="15.75" customHeight="1">
      <c r="B634" s="6">
        <f t="shared" si="36"/>
        <v>46166</v>
      </c>
      <c r="C634" s="4" t="s">
        <v>167</v>
      </c>
      <c r="D634" s="4" t="s">
        <v>35</v>
      </c>
      <c r="E634" s="4" t="s">
        <v>1562</v>
      </c>
      <c r="F634" s="10" t="s">
        <v>1057</v>
      </c>
      <c r="G634" s="4" t="s">
        <v>61</v>
      </c>
    </row>
    <row r="635" spans="2:7" ht="15.75" customHeight="1">
      <c r="B635" s="6">
        <f t="shared" si="36"/>
        <v>46166</v>
      </c>
      <c r="C635" s="4" t="s">
        <v>206</v>
      </c>
      <c r="D635" s="4" t="s">
        <v>35</v>
      </c>
      <c r="E635" s="4" t="s">
        <v>1562</v>
      </c>
      <c r="F635" s="4" t="s">
        <v>1058</v>
      </c>
      <c r="G635" s="4" t="s">
        <v>25</v>
      </c>
    </row>
    <row r="636" spans="2:7" ht="15.75" customHeight="1">
      <c r="B636" s="6">
        <f t="shared" si="36"/>
        <v>46166</v>
      </c>
      <c r="C636" s="4" t="s">
        <v>167</v>
      </c>
      <c r="D636" s="4" t="s">
        <v>1059</v>
      </c>
      <c r="E636" s="4" t="s">
        <v>1562</v>
      </c>
      <c r="F636" s="10" t="s">
        <v>1060</v>
      </c>
      <c r="G636" s="4" t="s">
        <v>61</v>
      </c>
    </row>
    <row r="637" spans="2:7" ht="15.75" customHeight="1">
      <c r="B637" s="6">
        <f t="shared" si="36"/>
        <v>46166</v>
      </c>
      <c r="C637" s="4" t="s">
        <v>167</v>
      </c>
      <c r="D637" s="4" t="s">
        <v>1061</v>
      </c>
      <c r="E637" s="4" t="s">
        <v>1562</v>
      </c>
      <c r="F637" s="10" t="s">
        <v>1062</v>
      </c>
      <c r="G637" s="4" t="s">
        <v>61</v>
      </c>
    </row>
    <row r="638" spans="2:7" ht="15.75" customHeight="1">
      <c r="B638" s="6">
        <f t="shared" si="36"/>
        <v>46166</v>
      </c>
      <c r="C638" s="4" t="s">
        <v>167</v>
      </c>
      <c r="D638" s="4" t="s">
        <v>1061</v>
      </c>
      <c r="E638" s="4" t="s">
        <v>1562</v>
      </c>
      <c r="F638" s="10" t="s">
        <v>1063</v>
      </c>
      <c r="G638" s="4" t="s">
        <v>61</v>
      </c>
    </row>
    <row r="639" spans="2:7" ht="15.75" customHeight="1">
      <c r="B639" s="6">
        <f t="shared" si="36"/>
        <v>46166</v>
      </c>
      <c r="C639" s="4" t="s">
        <v>167</v>
      </c>
      <c r="D639" s="4" t="s">
        <v>6</v>
      </c>
      <c r="E639" s="4" t="s">
        <v>1562</v>
      </c>
      <c r="F639" s="10" t="s">
        <v>1064</v>
      </c>
      <c r="G639" s="4" t="s">
        <v>61</v>
      </c>
    </row>
    <row r="640" spans="2:7" ht="15.75" customHeight="1">
      <c r="B640" s="6">
        <f t="shared" si="36"/>
        <v>46166</v>
      </c>
      <c r="C640" s="4" t="s">
        <v>1054</v>
      </c>
      <c r="D640" s="4" t="s">
        <v>244</v>
      </c>
      <c r="E640" s="4" t="s">
        <v>1562</v>
      </c>
      <c r="F640" s="10" t="s">
        <v>1065</v>
      </c>
      <c r="G640" s="4" t="s">
        <v>22</v>
      </c>
    </row>
    <row r="641" spans="2:7" ht="15.75" customHeight="1">
      <c r="B641" s="6">
        <f t="shared" si="36"/>
        <v>46166</v>
      </c>
      <c r="C641" s="4" t="s">
        <v>167</v>
      </c>
      <c r="D641" s="10" t="s">
        <v>198</v>
      </c>
      <c r="E641" s="4" t="s">
        <v>1562</v>
      </c>
      <c r="F641" s="10" t="s">
        <v>1066</v>
      </c>
      <c r="G641" s="4" t="s">
        <v>61</v>
      </c>
    </row>
    <row r="642" spans="2:7" ht="15.75" customHeight="1">
      <c r="B642" s="6">
        <f t="shared" si="36"/>
        <v>46166</v>
      </c>
      <c r="C642" s="4" t="s">
        <v>167</v>
      </c>
      <c r="D642" s="10" t="s">
        <v>198</v>
      </c>
      <c r="E642" s="4" t="s">
        <v>1562</v>
      </c>
      <c r="F642" s="10" t="s">
        <v>1067</v>
      </c>
      <c r="G642" s="4" t="s">
        <v>22</v>
      </c>
    </row>
    <row r="643" spans="2:7" ht="15.75" customHeight="1">
      <c r="B643" s="6">
        <f t="shared" si="36"/>
        <v>46166</v>
      </c>
      <c r="C643" s="4" t="s">
        <v>167</v>
      </c>
      <c r="D643" s="4" t="s">
        <v>72</v>
      </c>
      <c r="E643" s="4" t="s">
        <v>1562</v>
      </c>
      <c r="F643" s="10" t="s">
        <v>749</v>
      </c>
      <c r="G643" s="4" t="s">
        <v>22</v>
      </c>
    </row>
    <row r="644" spans="2:7" ht="15.75" customHeight="1">
      <c r="B644" s="6">
        <f t="shared" si="36"/>
        <v>46166</v>
      </c>
      <c r="C644" s="4" t="s">
        <v>20</v>
      </c>
      <c r="D644" s="4" t="s">
        <v>1068</v>
      </c>
      <c r="E644" s="4" t="s">
        <v>1562</v>
      </c>
      <c r="F644" s="10" t="s">
        <v>1069</v>
      </c>
      <c r="G644" s="4" t="s">
        <v>25</v>
      </c>
    </row>
    <row r="645" spans="2:7" ht="15.75" customHeight="1">
      <c r="B645" s="6">
        <f t="shared" si="36"/>
        <v>46166</v>
      </c>
      <c r="C645" s="4" t="s">
        <v>20</v>
      </c>
      <c r="D645" s="10" t="s">
        <v>198</v>
      </c>
      <c r="E645" s="4" t="s">
        <v>1562</v>
      </c>
      <c r="F645" s="10" t="s">
        <v>1070</v>
      </c>
      <c r="G645" s="4" t="s">
        <v>61</v>
      </c>
    </row>
    <row r="646" spans="2:7" ht="15.75" customHeight="1">
      <c r="B646" s="6">
        <f t="shared" si="36"/>
        <v>46166</v>
      </c>
      <c r="C646" s="4" t="s">
        <v>167</v>
      </c>
      <c r="D646" s="4" t="s">
        <v>198</v>
      </c>
      <c r="E646" s="4" t="s">
        <v>1562</v>
      </c>
      <c r="F646" s="10" t="s">
        <v>1071</v>
      </c>
      <c r="G646" s="4" t="s">
        <v>61</v>
      </c>
    </row>
    <row r="647" spans="2:7" ht="15.75" customHeight="1">
      <c r="B647" s="6">
        <f t="shared" si="36"/>
        <v>46166</v>
      </c>
      <c r="C647" s="4" t="s">
        <v>1072</v>
      </c>
      <c r="D647" s="4" t="s">
        <v>1073</v>
      </c>
      <c r="E647" s="4" t="s">
        <v>1562</v>
      </c>
      <c r="F647" s="10" t="s">
        <v>1074</v>
      </c>
      <c r="G647" s="4" t="s">
        <v>61</v>
      </c>
    </row>
    <row r="648" spans="2:7" ht="15.75" customHeight="1">
      <c r="B648" s="6">
        <f t="shared" si="36"/>
        <v>46166</v>
      </c>
      <c r="C648" s="4" t="s">
        <v>20</v>
      </c>
      <c r="D648" s="4" t="s">
        <v>33</v>
      </c>
      <c r="E648" s="4" t="s">
        <v>1562</v>
      </c>
      <c r="F648" s="10" t="s">
        <v>1075</v>
      </c>
      <c r="G648" s="4" t="s">
        <v>25</v>
      </c>
    </row>
    <row r="649" spans="2:7" ht="15.75" customHeight="1">
      <c r="B649" s="6">
        <f t="shared" si="36"/>
        <v>46166</v>
      </c>
      <c r="C649" s="4" t="s">
        <v>1076</v>
      </c>
      <c r="D649" s="4" t="s">
        <v>67</v>
      </c>
      <c r="E649" s="4" t="s">
        <v>1561</v>
      </c>
      <c r="F649" s="4" t="s">
        <v>1077</v>
      </c>
      <c r="G649" s="4" t="s">
        <v>74</v>
      </c>
    </row>
    <row r="650" spans="2:7" ht="15.75" customHeight="1">
      <c r="B650" s="6">
        <f t="shared" si="36"/>
        <v>46166</v>
      </c>
      <c r="C650" s="4" t="s">
        <v>1078</v>
      </c>
      <c r="D650" s="4" t="s">
        <v>35</v>
      </c>
      <c r="E650" s="4" t="s">
        <v>1561</v>
      </c>
      <c r="F650" s="4" t="s">
        <v>1079</v>
      </c>
      <c r="G650" s="4" t="s">
        <v>74</v>
      </c>
    </row>
    <row r="651" spans="2:7" ht="15.75" customHeight="1">
      <c r="B651" s="6">
        <f t="shared" si="36"/>
        <v>46166</v>
      </c>
      <c r="C651" s="4" t="s">
        <v>1080</v>
      </c>
      <c r="D651" s="4" t="s">
        <v>51</v>
      </c>
      <c r="E651" s="4" t="s">
        <v>1561</v>
      </c>
      <c r="F651" s="4" t="s">
        <v>1081</v>
      </c>
      <c r="G651" s="23" t="s">
        <v>32</v>
      </c>
    </row>
    <row r="652" spans="2:7" ht="15.75" customHeight="1">
      <c r="B652" s="6">
        <f t="shared" si="36"/>
        <v>46166</v>
      </c>
      <c r="C652" s="4" t="s">
        <v>1082</v>
      </c>
      <c r="D652" s="4" t="s">
        <v>365</v>
      </c>
      <c r="E652" s="4" t="s">
        <v>1561</v>
      </c>
      <c r="F652" s="4" t="s">
        <v>830</v>
      </c>
      <c r="G652" s="4" t="s">
        <v>74</v>
      </c>
    </row>
    <row r="653" spans="2:7" ht="15.75" customHeight="1">
      <c r="B653" s="6">
        <f t="shared" si="36"/>
        <v>46166</v>
      </c>
      <c r="C653" s="4" t="s">
        <v>1083</v>
      </c>
      <c r="D653" s="4" t="s">
        <v>35</v>
      </c>
      <c r="E653" s="4" t="s">
        <v>1561</v>
      </c>
      <c r="F653" s="10" t="s">
        <v>1084</v>
      </c>
      <c r="G653" s="4" t="s">
        <v>32</v>
      </c>
    </row>
    <row r="654" spans="2:7" ht="15.75" customHeight="1">
      <c r="B654" s="6">
        <f t="shared" si="36"/>
        <v>46166</v>
      </c>
      <c r="C654" s="4" t="s">
        <v>1085</v>
      </c>
      <c r="D654" s="4" t="s">
        <v>35</v>
      </c>
      <c r="E654" s="4" t="s">
        <v>1561</v>
      </c>
      <c r="F654" s="4" t="s">
        <v>1086</v>
      </c>
      <c r="G654" s="4" t="s">
        <v>22</v>
      </c>
    </row>
    <row r="655" spans="2:7" ht="15.75" customHeight="1">
      <c r="B655" s="3">
        <v>46167</v>
      </c>
      <c r="C655" s="4" t="s">
        <v>1087</v>
      </c>
      <c r="D655" s="7" t="s">
        <v>1088</v>
      </c>
      <c r="E655" s="4" t="s">
        <v>1561</v>
      </c>
      <c r="F655" s="7" t="s">
        <v>1089</v>
      </c>
      <c r="G655" s="7" t="s">
        <v>1090</v>
      </c>
    </row>
    <row r="656" spans="2:7" ht="15.75" customHeight="1">
      <c r="B656" s="6">
        <f t="shared" ref="B656:B672" si="37">B655</f>
        <v>46167</v>
      </c>
      <c r="C656" s="4" t="s">
        <v>1091</v>
      </c>
      <c r="D656" s="4" t="s">
        <v>1092</v>
      </c>
      <c r="E656" s="4" t="s">
        <v>1561</v>
      </c>
      <c r="F656" s="4" t="s">
        <v>1093</v>
      </c>
      <c r="G656" s="4" t="s">
        <v>74</v>
      </c>
    </row>
    <row r="657" spans="2:7" ht="15.75" customHeight="1">
      <c r="B657" s="6">
        <f t="shared" si="37"/>
        <v>46167</v>
      </c>
      <c r="C657" s="4" t="s">
        <v>1094</v>
      </c>
      <c r="D657" s="4" t="s">
        <v>204</v>
      </c>
      <c r="E657" s="4" t="s">
        <v>1561</v>
      </c>
      <c r="F657" s="4" t="s">
        <v>1095</v>
      </c>
      <c r="G657" s="4" t="s">
        <v>32</v>
      </c>
    </row>
    <row r="658" spans="2:7" ht="15.75" customHeight="1">
      <c r="B658" s="6">
        <f t="shared" si="37"/>
        <v>46167</v>
      </c>
      <c r="C658" s="4" t="s">
        <v>1096</v>
      </c>
      <c r="D658" s="4" t="s">
        <v>16</v>
      </c>
      <c r="E658" s="4" t="s">
        <v>1561</v>
      </c>
      <c r="F658" s="4" t="s">
        <v>1097</v>
      </c>
      <c r="G658" s="4" t="s">
        <v>42</v>
      </c>
    </row>
    <row r="659" spans="2:7" ht="15.75" customHeight="1">
      <c r="B659" s="6">
        <f t="shared" si="37"/>
        <v>46167</v>
      </c>
      <c r="C659" s="4" t="s">
        <v>1098</v>
      </c>
      <c r="D659" s="4" t="s">
        <v>33</v>
      </c>
      <c r="E659" s="4" t="s">
        <v>1561</v>
      </c>
      <c r="F659" s="4" t="s">
        <v>1099</v>
      </c>
      <c r="G659" s="4" t="s">
        <v>114</v>
      </c>
    </row>
    <row r="660" spans="2:7" ht="15.75" customHeight="1">
      <c r="B660" s="6">
        <f t="shared" si="37"/>
        <v>46167</v>
      </c>
      <c r="C660" s="9" t="s">
        <v>766</v>
      </c>
      <c r="D660" s="4" t="s">
        <v>204</v>
      </c>
      <c r="E660" s="4" t="s">
        <v>1562</v>
      </c>
      <c r="F660" s="4" t="s">
        <v>1100</v>
      </c>
      <c r="G660" s="4" t="s">
        <v>61</v>
      </c>
    </row>
    <row r="661" spans="2:7" ht="15.75" customHeight="1">
      <c r="B661" s="6">
        <f t="shared" si="37"/>
        <v>46167</v>
      </c>
      <c r="C661" s="9" t="s">
        <v>766</v>
      </c>
      <c r="D661" s="4" t="s">
        <v>204</v>
      </c>
      <c r="E661" s="4" t="s">
        <v>1562</v>
      </c>
      <c r="F661" s="4" t="s">
        <v>1101</v>
      </c>
      <c r="G661" s="4" t="s">
        <v>61</v>
      </c>
    </row>
    <row r="662" spans="2:7" ht="15.75" customHeight="1">
      <c r="B662" s="6">
        <f t="shared" si="37"/>
        <v>46167</v>
      </c>
      <c r="C662" s="9" t="s">
        <v>766</v>
      </c>
      <c r="D662" s="4" t="s">
        <v>1102</v>
      </c>
      <c r="E662" s="4" t="s">
        <v>1562</v>
      </c>
      <c r="F662" s="4" t="s">
        <v>1103</v>
      </c>
      <c r="G662" s="4" t="s">
        <v>61</v>
      </c>
    </row>
    <row r="663" spans="2:7" ht="15.75" customHeight="1">
      <c r="B663" s="6">
        <f t="shared" si="37"/>
        <v>46167</v>
      </c>
      <c r="C663" s="9" t="s">
        <v>766</v>
      </c>
      <c r="D663" s="4" t="s">
        <v>35</v>
      </c>
      <c r="E663" s="4" t="s">
        <v>1562</v>
      </c>
      <c r="F663" s="4" t="s">
        <v>1104</v>
      </c>
      <c r="G663" s="4" t="s">
        <v>61</v>
      </c>
    </row>
    <row r="664" spans="2:7" ht="15.75" customHeight="1">
      <c r="B664" s="6">
        <f t="shared" si="37"/>
        <v>46167</v>
      </c>
      <c r="C664" s="4" t="s">
        <v>1105</v>
      </c>
      <c r="D664" s="7" t="s">
        <v>33</v>
      </c>
      <c r="E664" s="4" t="s">
        <v>1561</v>
      </c>
      <c r="F664" s="4" t="s">
        <v>1106</v>
      </c>
      <c r="G664" s="4" t="s">
        <v>25</v>
      </c>
    </row>
    <row r="665" spans="2:7" ht="15.75" customHeight="1">
      <c r="B665" s="6">
        <f t="shared" si="37"/>
        <v>46167</v>
      </c>
      <c r="C665" s="4" t="s">
        <v>1107</v>
      </c>
      <c r="D665" s="4" t="s">
        <v>43</v>
      </c>
      <c r="E665" s="4" t="s">
        <v>1561</v>
      </c>
      <c r="F665" s="4" t="s">
        <v>1108</v>
      </c>
      <c r="G665" s="4" t="s">
        <v>114</v>
      </c>
    </row>
    <row r="666" spans="2:7" ht="15.75" customHeight="1">
      <c r="B666" s="6">
        <f t="shared" si="37"/>
        <v>46167</v>
      </c>
      <c r="C666" s="4" t="s">
        <v>1109</v>
      </c>
      <c r="D666" s="4" t="s">
        <v>67</v>
      </c>
      <c r="E666" s="4" t="s">
        <v>1561</v>
      </c>
      <c r="F666" s="4" t="s">
        <v>1110</v>
      </c>
      <c r="G666" s="4" t="s">
        <v>1111</v>
      </c>
    </row>
    <row r="667" spans="2:7" ht="15.75" customHeight="1">
      <c r="B667" s="6">
        <f t="shared" si="37"/>
        <v>46167</v>
      </c>
      <c r="C667" s="4" t="s">
        <v>786</v>
      </c>
      <c r="D667" s="4" t="s">
        <v>9</v>
      </c>
      <c r="E667" s="4" t="s">
        <v>1561</v>
      </c>
      <c r="F667" s="4" t="s">
        <v>350</v>
      </c>
      <c r="G667" s="4" t="s">
        <v>22</v>
      </c>
    </row>
    <row r="668" spans="2:7" ht="15.75" customHeight="1">
      <c r="B668" s="6">
        <f t="shared" si="37"/>
        <v>46167</v>
      </c>
      <c r="C668" s="4" t="s">
        <v>1112</v>
      </c>
      <c r="D668" s="4" t="s">
        <v>51</v>
      </c>
      <c r="E668" s="4" t="s">
        <v>1561</v>
      </c>
      <c r="F668" s="4" t="s">
        <v>1113</v>
      </c>
      <c r="G668" s="4" t="s">
        <v>22</v>
      </c>
    </row>
    <row r="669" spans="2:7" ht="15.75" customHeight="1">
      <c r="B669" s="6">
        <f t="shared" si="37"/>
        <v>46167</v>
      </c>
      <c r="C669" s="4" t="s">
        <v>1114</v>
      </c>
      <c r="D669" s="4" t="s">
        <v>43</v>
      </c>
      <c r="E669" s="4" t="s">
        <v>1561</v>
      </c>
      <c r="F669" s="4" t="s">
        <v>1115</v>
      </c>
      <c r="G669" s="4" t="s">
        <v>74</v>
      </c>
    </row>
    <row r="670" spans="2:7" ht="15.75" customHeight="1">
      <c r="B670" s="6">
        <f t="shared" si="37"/>
        <v>46167</v>
      </c>
      <c r="C670" s="4" t="s">
        <v>1116</v>
      </c>
      <c r="D670" s="4" t="s">
        <v>394</v>
      </c>
      <c r="E670" s="4" t="s">
        <v>1561</v>
      </c>
      <c r="F670" s="4" t="s">
        <v>1117</v>
      </c>
      <c r="G670" s="4" t="s">
        <v>74</v>
      </c>
    </row>
    <row r="671" spans="2:7" ht="15.75" customHeight="1">
      <c r="B671" s="6">
        <f t="shared" si="37"/>
        <v>46167</v>
      </c>
      <c r="C671" s="4" t="s">
        <v>1118</v>
      </c>
      <c r="D671" s="4" t="s">
        <v>72</v>
      </c>
      <c r="E671" s="4" t="s">
        <v>1561</v>
      </c>
      <c r="F671" s="4" t="s">
        <v>1119</v>
      </c>
      <c r="G671" s="4" t="s">
        <v>74</v>
      </c>
    </row>
    <row r="672" spans="2:7" ht="15.75" customHeight="1">
      <c r="B672" s="6">
        <f t="shared" si="37"/>
        <v>46167</v>
      </c>
      <c r="C672" s="4" t="s">
        <v>1120</v>
      </c>
      <c r="D672" s="4" t="s">
        <v>16</v>
      </c>
      <c r="E672" s="4" t="s">
        <v>1561</v>
      </c>
      <c r="F672" s="4" t="s">
        <v>1121</v>
      </c>
      <c r="G672" s="4" t="s">
        <v>114</v>
      </c>
    </row>
    <row r="673" spans="2:7" ht="15.75" customHeight="1">
      <c r="B673" s="3">
        <v>46168</v>
      </c>
      <c r="C673" s="4" t="s">
        <v>1122</v>
      </c>
      <c r="D673" s="7" t="s">
        <v>1123</v>
      </c>
      <c r="E673" s="4" t="s">
        <v>1561</v>
      </c>
      <c r="F673" s="7" t="s">
        <v>1124</v>
      </c>
      <c r="G673" s="7" t="s">
        <v>74</v>
      </c>
    </row>
    <row r="674" spans="2:7" ht="15.75" customHeight="1">
      <c r="B674" s="6">
        <f>B673</f>
        <v>46168</v>
      </c>
      <c r="C674" s="4" t="s">
        <v>1125</v>
      </c>
      <c r="D674" s="4" t="s">
        <v>35</v>
      </c>
      <c r="E674" s="4" t="s">
        <v>1561</v>
      </c>
      <c r="F674" s="4" t="s">
        <v>1126</v>
      </c>
      <c r="G674" s="4" t="s">
        <v>114</v>
      </c>
    </row>
    <row r="675" spans="2:7" ht="15.75" customHeight="1">
      <c r="B675" s="6">
        <f>B674</f>
        <v>46168</v>
      </c>
      <c r="C675" s="4" t="s">
        <v>1127</v>
      </c>
      <c r="D675" s="4" t="s">
        <v>67</v>
      </c>
      <c r="E675" s="4" t="s">
        <v>1561</v>
      </c>
      <c r="F675" s="4" t="s">
        <v>1128</v>
      </c>
      <c r="G675" s="4" t="s">
        <v>408</v>
      </c>
    </row>
    <row r="676" spans="2:7" ht="15.75" customHeight="1">
      <c r="B676" s="3">
        <v>46169</v>
      </c>
      <c r="C676" s="4" t="s">
        <v>1129</v>
      </c>
      <c r="D676" s="4" t="s">
        <v>1123</v>
      </c>
      <c r="E676" s="4" t="s">
        <v>1561</v>
      </c>
      <c r="F676" s="4" t="s">
        <v>1130</v>
      </c>
      <c r="G676" s="4" t="s">
        <v>1129</v>
      </c>
    </row>
    <row r="677" spans="2:7" ht="15.75" customHeight="1">
      <c r="B677" s="6">
        <f t="shared" ref="B677:B693" si="38">B676</f>
        <v>46169</v>
      </c>
      <c r="C677" s="4" t="s">
        <v>1131</v>
      </c>
      <c r="D677" s="4" t="s">
        <v>1132</v>
      </c>
      <c r="E677" s="4" t="s">
        <v>1561</v>
      </c>
      <c r="F677" s="4" t="s">
        <v>1133</v>
      </c>
      <c r="G677" s="4" t="s">
        <v>1131</v>
      </c>
    </row>
    <row r="678" spans="2:7" ht="15.75" customHeight="1">
      <c r="B678" s="6">
        <f t="shared" si="38"/>
        <v>46169</v>
      </c>
      <c r="C678" s="8" t="s">
        <v>1134</v>
      </c>
      <c r="D678" s="4" t="s">
        <v>35</v>
      </c>
      <c r="E678" s="4" t="s">
        <v>1562</v>
      </c>
      <c r="F678" s="4" t="s">
        <v>1135</v>
      </c>
      <c r="G678" s="4" t="s">
        <v>42</v>
      </c>
    </row>
    <row r="679" spans="2:7" ht="15.75" customHeight="1">
      <c r="B679" s="6">
        <f t="shared" si="38"/>
        <v>46169</v>
      </c>
      <c r="C679" s="8" t="s">
        <v>1134</v>
      </c>
      <c r="D679" s="4" t="s">
        <v>244</v>
      </c>
      <c r="E679" s="4" t="s">
        <v>1562</v>
      </c>
      <c r="F679" s="4" t="s">
        <v>569</v>
      </c>
      <c r="G679" s="4" t="s">
        <v>42</v>
      </c>
    </row>
    <row r="680" spans="2:7" ht="15.75" customHeight="1">
      <c r="B680" s="6">
        <f t="shared" si="38"/>
        <v>46169</v>
      </c>
      <c r="C680" s="8" t="s">
        <v>1134</v>
      </c>
      <c r="D680" s="4" t="s">
        <v>9</v>
      </c>
      <c r="E680" s="4" t="s">
        <v>1562</v>
      </c>
      <c r="F680" s="4" t="s">
        <v>1136</v>
      </c>
      <c r="G680" s="4" t="s">
        <v>42</v>
      </c>
    </row>
    <row r="681" spans="2:7" ht="15.75" customHeight="1">
      <c r="B681" s="6">
        <f t="shared" si="38"/>
        <v>46169</v>
      </c>
      <c r="C681" s="8" t="s">
        <v>1134</v>
      </c>
      <c r="D681" s="4" t="s">
        <v>53</v>
      </c>
      <c r="E681" s="4" t="s">
        <v>1562</v>
      </c>
      <c r="F681" s="4" t="s">
        <v>1137</v>
      </c>
      <c r="G681" s="4" t="s">
        <v>42</v>
      </c>
    </row>
    <row r="682" spans="2:7" ht="15.75" customHeight="1">
      <c r="B682" s="6">
        <f t="shared" si="38"/>
        <v>46169</v>
      </c>
      <c r="C682" s="8" t="s">
        <v>1134</v>
      </c>
      <c r="D682" s="4" t="s">
        <v>67</v>
      </c>
      <c r="E682" s="4" t="s">
        <v>1562</v>
      </c>
      <c r="F682" s="4" t="s">
        <v>1138</v>
      </c>
      <c r="G682" s="4" t="s">
        <v>42</v>
      </c>
    </row>
    <row r="683" spans="2:7" ht="15.75" customHeight="1">
      <c r="B683" s="6">
        <f t="shared" si="38"/>
        <v>46169</v>
      </c>
      <c r="C683" s="8" t="s">
        <v>1134</v>
      </c>
      <c r="D683" s="4" t="s">
        <v>252</v>
      </c>
      <c r="E683" s="4" t="s">
        <v>1562</v>
      </c>
      <c r="F683" s="4" t="s">
        <v>1139</v>
      </c>
      <c r="G683" s="4" t="s">
        <v>42</v>
      </c>
    </row>
    <row r="684" spans="2:7" ht="15.75" customHeight="1">
      <c r="B684" s="6">
        <f t="shared" si="38"/>
        <v>46169</v>
      </c>
      <c r="C684" s="8" t="s">
        <v>1134</v>
      </c>
      <c r="D684" s="4" t="s">
        <v>200</v>
      </c>
      <c r="E684" s="4" t="s">
        <v>1562</v>
      </c>
      <c r="F684" s="10" t="s">
        <v>1039</v>
      </c>
      <c r="G684" s="4" t="s">
        <v>42</v>
      </c>
    </row>
    <row r="685" spans="2:7" ht="15.75" customHeight="1">
      <c r="B685" s="6">
        <f t="shared" si="38"/>
        <v>46169</v>
      </c>
      <c r="C685" s="8" t="s">
        <v>1134</v>
      </c>
      <c r="D685" s="4" t="s">
        <v>35</v>
      </c>
      <c r="E685" s="4" t="s">
        <v>1562</v>
      </c>
      <c r="F685" s="10" t="s">
        <v>1140</v>
      </c>
      <c r="G685" s="4" t="s">
        <v>42</v>
      </c>
    </row>
    <row r="686" spans="2:7" ht="15.75" customHeight="1">
      <c r="B686" s="6">
        <f t="shared" si="38"/>
        <v>46169</v>
      </c>
      <c r="C686" s="8" t="s">
        <v>1134</v>
      </c>
      <c r="D686" s="10" t="s">
        <v>198</v>
      </c>
      <c r="E686" s="4" t="s">
        <v>1562</v>
      </c>
      <c r="F686" s="10" t="s">
        <v>1141</v>
      </c>
      <c r="G686" s="4" t="s">
        <v>42</v>
      </c>
    </row>
    <row r="687" spans="2:7" ht="15.75" customHeight="1">
      <c r="B687" s="6">
        <f t="shared" si="38"/>
        <v>46169</v>
      </c>
      <c r="C687" s="8" t="s">
        <v>1134</v>
      </c>
      <c r="D687" s="4" t="s">
        <v>85</v>
      </c>
      <c r="E687" s="4" t="s">
        <v>1562</v>
      </c>
      <c r="F687" s="10" t="s">
        <v>1142</v>
      </c>
      <c r="G687" s="4" t="s">
        <v>42</v>
      </c>
    </row>
    <row r="688" spans="2:7" ht="15.75" customHeight="1">
      <c r="B688" s="6">
        <f t="shared" si="38"/>
        <v>46169</v>
      </c>
      <c r="C688" s="8" t="s">
        <v>1134</v>
      </c>
      <c r="D688" s="4" t="s">
        <v>94</v>
      </c>
      <c r="E688" s="4" t="s">
        <v>1562</v>
      </c>
      <c r="F688" s="10" t="s">
        <v>1143</v>
      </c>
      <c r="G688" s="4" t="s">
        <v>42</v>
      </c>
    </row>
    <row r="689" spans="2:7" ht="15.75" customHeight="1">
      <c r="B689" s="6">
        <f t="shared" si="38"/>
        <v>46169</v>
      </c>
      <c r="C689" s="8" t="s">
        <v>1134</v>
      </c>
      <c r="D689" s="4" t="s">
        <v>726</v>
      </c>
      <c r="E689" s="4" t="s">
        <v>1562</v>
      </c>
      <c r="F689" s="10" t="s">
        <v>1144</v>
      </c>
      <c r="G689" s="4" t="s">
        <v>42</v>
      </c>
    </row>
    <row r="690" spans="2:7" ht="15.75" customHeight="1">
      <c r="B690" s="6">
        <f t="shared" si="38"/>
        <v>46169</v>
      </c>
      <c r="C690" s="4" t="s">
        <v>1145</v>
      </c>
      <c r="D690" s="4" t="s">
        <v>12</v>
      </c>
      <c r="E690" s="4" t="s">
        <v>1561</v>
      </c>
      <c r="F690" s="4" t="s">
        <v>1146</v>
      </c>
      <c r="G690" s="4" t="s">
        <v>42</v>
      </c>
    </row>
    <row r="691" spans="2:7" ht="15.75" customHeight="1">
      <c r="B691" s="6">
        <f t="shared" si="38"/>
        <v>46169</v>
      </c>
      <c r="C691" s="4" t="s">
        <v>1147</v>
      </c>
      <c r="D691" s="4" t="s">
        <v>627</v>
      </c>
      <c r="E691" s="4" t="s">
        <v>1561</v>
      </c>
      <c r="F691" s="4" t="s">
        <v>1148</v>
      </c>
      <c r="G691" s="4" t="s">
        <v>42</v>
      </c>
    </row>
    <row r="692" spans="2:7" ht="15.75" customHeight="1">
      <c r="B692" s="6">
        <f t="shared" si="38"/>
        <v>46169</v>
      </c>
      <c r="C692" s="4" t="s">
        <v>1149</v>
      </c>
      <c r="D692" s="4" t="s">
        <v>29</v>
      </c>
      <c r="E692" s="4" t="s">
        <v>1561</v>
      </c>
      <c r="F692" s="4" t="s">
        <v>1150</v>
      </c>
      <c r="G692" s="4" t="s">
        <v>42</v>
      </c>
    </row>
    <row r="693" spans="2:7" ht="15.75" customHeight="1">
      <c r="B693" s="6">
        <f t="shared" si="38"/>
        <v>46169</v>
      </c>
      <c r="C693" s="4" t="s">
        <v>1151</v>
      </c>
      <c r="D693" s="4" t="s">
        <v>33</v>
      </c>
      <c r="E693" s="4" t="s">
        <v>1561</v>
      </c>
      <c r="F693" s="4" t="s">
        <v>1039</v>
      </c>
      <c r="G693" s="4" t="s">
        <v>42</v>
      </c>
    </row>
    <row r="694" spans="2:7" ht="15.75" customHeight="1">
      <c r="B694" s="3">
        <v>46170</v>
      </c>
      <c r="C694" s="7" t="s">
        <v>1152</v>
      </c>
      <c r="D694" s="7" t="s">
        <v>398</v>
      </c>
      <c r="E694" s="4" t="s">
        <v>1561</v>
      </c>
      <c r="F694" s="7" t="s">
        <v>1153</v>
      </c>
      <c r="G694" s="7" t="s">
        <v>42</v>
      </c>
    </row>
    <row r="695" spans="2:7" ht="15.75" customHeight="1">
      <c r="B695" s="6">
        <f t="shared" ref="B695:B715" si="39">B694</f>
        <v>46170</v>
      </c>
      <c r="C695" s="4" t="s">
        <v>26</v>
      </c>
      <c r="D695" s="4" t="s">
        <v>1154</v>
      </c>
      <c r="E695" s="4" t="s">
        <v>1561</v>
      </c>
      <c r="F695" s="16" t="s">
        <v>1155</v>
      </c>
      <c r="G695" s="4" t="s">
        <v>14</v>
      </c>
    </row>
    <row r="696" spans="2:7" ht="15.75" customHeight="1">
      <c r="B696" s="6">
        <f t="shared" si="39"/>
        <v>46170</v>
      </c>
      <c r="C696" s="4" t="s">
        <v>240</v>
      </c>
      <c r="D696" s="4" t="s">
        <v>6</v>
      </c>
      <c r="E696" s="4" t="s">
        <v>1562</v>
      </c>
      <c r="F696" s="24" t="s">
        <v>1156</v>
      </c>
      <c r="G696" s="4" t="s">
        <v>14</v>
      </c>
    </row>
    <row r="697" spans="2:7" ht="15.75" customHeight="1">
      <c r="B697" s="6">
        <f t="shared" si="39"/>
        <v>46170</v>
      </c>
      <c r="C697" s="4" t="s">
        <v>240</v>
      </c>
      <c r="D697" s="4" t="s">
        <v>6</v>
      </c>
      <c r="E697" s="4" t="s">
        <v>1562</v>
      </c>
      <c r="F697" s="4" t="s">
        <v>1156</v>
      </c>
      <c r="G697" s="4" t="s">
        <v>14</v>
      </c>
    </row>
    <row r="698" spans="2:7" ht="15.75" customHeight="1">
      <c r="B698" s="6">
        <f t="shared" si="39"/>
        <v>46170</v>
      </c>
      <c r="C698" s="4" t="s">
        <v>74</v>
      </c>
      <c r="D698" s="4" t="s">
        <v>1157</v>
      </c>
      <c r="E698" s="4" t="s">
        <v>1562</v>
      </c>
      <c r="F698" s="4" t="s">
        <v>1158</v>
      </c>
      <c r="G698" s="4" t="s">
        <v>42</v>
      </c>
    </row>
    <row r="699" spans="2:7" ht="15.75" customHeight="1">
      <c r="B699" s="6">
        <f t="shared" si="39"/>
        <v>46170</v>
      </c>
      <c r="C699" s="4" t="s">
        <v>20</v>
      </c>
      <c r="D699" s="4" t="s">
        <v>35</v>
      </c>
      <c r="E699" s="4" t="s">
        <v>1562</v>
      </c>
      <c r="F699" s="4" t="s">
        <v>1159</v>
      </c>
      <c r="G699" s="4" t="s">
        <v>14</v>
      </c>
    </row>
    <row r="700" spans="2:7" ht="15.75" customHeight="1">
      <c r="B700" s="6">
        <f t="shared" si="39"/>
        <v>46170</v>
      </c>
      <c r="C700" s="4" t="s">
        <v>240</v>
      </c>
      <c r="D700" s="4" t="s">
        <v>158</v>
      </c>
      <c r="E700" s="4" t="s">
        <v>1562</v>
      </c>
      <c r="F700" s="4" t="s">
        <v>1160</v>
      </c>
      <c r="G700" s="4" t="s">
        <v>42</v>
      </c>
    </row>
    <row r="701" spans="2:7" ht="15.75" customHeight="1">
      <c r="B701" s="6">
        <f t="shared" si="39"/>
        <v>46170</v>
      </c>
      <c r="C701" s="4" t="s">
        <v>74</v>
      </c>
      <c r="D701" s="4" t="s">
        <v>1161</v>
      </c>
      <c r="E701" s="4" t="s">
        <v>1562</v>
      </c>
      <c r="F701" s="4" t="s">
        <v>1160</v>
      </c>
      <c r="G701" s="4" t="s">
        <v>42</v>
      </c>
    </row>
    <row r="702" spans="2:7" ht="15.75" customHeight="1">
      <c r="B702" s="6">
        <f t="shared" si="39"/>
        <v>46170</v>
      </c>
      <c r="C702" s="4" t="s">
        <v>20</v>
      </c>
      <c r="D702" s="4" t="s">
        <v>35</v>
      </c>
      <c r="E702" s="4" t="s">
        <v>1562</v>
      </c>
      <c r="F702" s="4" t="s">
        <v>897</v>
      </c>
      <c r="G702" s="4" t="s">
        <v>14</v>
      </c>
    </row>
    <row r="703" spans="2:7" ht="15.75" customHeight="1">
      <c r="B703" s="6">
        <f t="shared" si="39"/>
        <v>46170</v>
      </c>
      <c r="C703" s="4" t="s">
        <v>74</v>
      </c>
      <c r="D703" s="4" t="s">
        <v>198</v>
      </c>
      <c r="E703" s="4" t="s">
        <v>1562</v>
      </c>
      <c r="F703" s="4" t="s">
        <v>1162</v>
      </c>
      <c r="G703" s="4" t="s">
        <v>42</v>
      </c>
    </row>
    <row r="704" spans="2:7" ht="15.75" customHeight="1">
      <c r="B704" s="6">
        <f t="shared" si="39"/>
        <v>46170</v>
      </c>
      <c r="C704" s="4" t="s">
        <v>20</v>
      </c>
      <c r="D704" s="4" t="s">
        <v>398</v>
      </c>
      <c r="E704" s="4" t="s">
        <v>1562</v>
      </c>
      <c r="F704" s="4" t="s">
        <v>1163</v>
      </c>
      <c r="G704" s="4" t="s">
        <v>42</v>
      </c>
    </row>
    <row r="705" spans="2:7" ht="15.75" customHeight="1">
      <c r="B705" s="6">
        <f t="shared" si="39"/>
        <v>46170</v>
      </c>
      <c r="C705" s="4" t="s">
        <v>20</v>
      </c>
      <c r="D705" s="4" t="s">
        <v>35</v>
      </c>
      <c r="E705" s="4" t="s">
        <v>1562</v>
      </c>
      <c r="F705" s="4" t="s">
        <v>1164</v>
      </c>
      <c r="G705" s="4" t="s">
        <v>42</v>
      </c>
    </row>
    <row r="706" spans="2:7" ht="15.75" customHeight="1">
      <c r="B706" s="6">
        <f t="shared" si="39"/>
        <v>46170</v>
      </c>
      <c r="C706" s="4" t="s">
        <v>1165</v>
      </c>
      <c r="D706" s="4" t="s">
        <v>16</v>
      </c>
      <c r="E706" s="4" t="s">
        <v>1562</v>
      </c>
      <c r="F706" s="4" t="s">
        <v>1166</v>
      </c>
      <c r="G706" s="4" t="s">
        <v>42</v>
      </c>
    </row>
    <row r="707" spans="2:7" ht="15.75" customHeight="1">
      <c r="B707" s="6">
        <f t="shared" si="39"/>
        <v>46170</v>
      </c>
      <c r="C707" s="4" t="s">
        <v>20</v>
      </c>
      <c r="D707" s="4" t="s">
        <v>67</v>
      </c>
      <c r="E707" s="4" t="s">
        <v>1562</v>
      </c>
      <c r="F707" s="4" t="s">
        <v>1167</v>
      </c>
      <c r="G707" s="4" t="s">
        <v>42</v>
      </c>
    </row>
    <row r="708" spans="2:7" ht="15.75" customHeight="1">
      <c r="B708" s="6">
        <f t="shared" si="39"/>
        <v>46170</v>
      </c>
      <c r="C708" s="4" t="s">
        <v>167</v>
      </c>
      <c r="D708" s="4" t="s">
        <v>35</v>
      </c>
      <c r="E708" s="4" t="s">
        <v>1562</v>
      </c>
      <c r="F708" s="4" t="s">
        <v>1168</v>
      </c>
      <c r="G708" s="4" t="s">
        <v>14</v>
      </c>
    </row>
    <row r="709" spans="2:7" ht="15.75" customHeight="1">
      <c r="B709" s="6">
        <f t="shared" si="39"/>
        <v>46170</v>
      </c>
      <c r="C709" s="4" t="s">
        <v>167</v>
      </c>
      <c r="D709" s="4" t="s">
        <v>1169</v>
      </c>
      <c r="E709" s="4" t="s">
        <v>1562</v>
      </c>
      <c r="F709" s="4" t="s">
        <v>1170</v>
      </c>
      <c r="G709" s="4" t="s">
        <v>1171</v>
      </c>
    </row>
    <row r="710" spans="2:7" ht="15.75" customHeight="1">
      <c r="B710" s="6">
        <f t="shared" si="39"/>
        <v>46170</v>
      </c>
      <c r="C710" s="4" t="s">
        <v>1172</v>
      </c>
      <c r="D710" s="4" t="s">
        <v>1154</v>
      </c>
      <c r="E710" s="4" t="s">
        <v>1561</v>
      </c>
      <c r="F710" s="4" t="s">
        <v>1173</v>
      </c>
      <c r="G710" s="4" t="s">
        <v>42</v>
      </c>
    </row>
    <row r="711" spans="2:7" ht="15.75" customHeight="1">
      <c r="B711" s="6">
        <f t="shared" si="39"/>
        <v>46170</v>
      </c>
      <c r="C711" s="4" t="s">
        <v>786</v>
      </c>
      <c r="D711" s="4" t="s">
        <v>398</v>
      </c>
      <c r="E711" s="4" t="s">
        <v>1561</v>
      </c>
      <c r="F711" s="4" t="s">
        <v>1174</v>
      </c>
      <c r="G711" s="4" t="s">
        <v>22</v>
      </c>
    </row>
    <row r="712" spans="2:7" ht="15.75" customHeight="1">
      <c r="B712" s="6">
        <f t="shared" si="39"/>
        <v>46170</v>
      </c>
      <c r="C712" s="4" t="s">
        <v>1175</v>
      </c>
      <c r="D712" s="4" t="s">
        <v>16</v>
      </c>
      <c r="E712" s="4" t="s">
        <v>1561</v>
      </c>
      <c r="F712" s="4" t="s">
        <v>1176</v>
      </c>
      <c r="G712" s="4" t="s">
        <v>42</v>
      </c>
    </row>
    <row r="713" spans="2:7" ht="15.75" customHeight="1">
      <c r="B713" s="6">
        <f t="shared" si="39"/>
        <v>46170</v>
      </c>
      <c r="C713" s="4" t="s">
        <v>1083</v>
      </c>
      <c r="D713" s="4" t="s">
        <v>43</v>
      </c>
      <c r="E713" s="4" t="s">
        <v>1561</v>
      </c>
      <c r="F713" s="4" t="s">
        <v>1177</v>
      </c>
      <c r="G713" s="4" t="s">
        <v>42</v>
      </c>
    </row>
    <row r="714" spans="2:7" ht="15.75" customHeight="1">
      <c r="B714" s="6">
        <f t="shared" si="39"/>
        <v>46170</v>
      </c>
      <c r="C714" s="4" t="s">
        <v>1178</v>
      </c>
      <c r="D714" s="4" t="s">
        <v>1179</v>
      </c>
      <c r="E714" s="4" t="s">
        <v>1561</v>
      </c>
      <c r="F714" s="4" t="s">
        <v>749</v>
      </c>
      <c r="G714" s="4" t="s">
        <v>42</v>
      </c>
    </row>
    <row r="715" spans="2:7" ht="15.75" customHeight="1">
      <c r="B715" s="6">
        <f t="shared" si="39"/>
        <v>46170</v>
      </c>
      <c r="C715" s="4" t="s">
        <v>1180</v>
      </c>
      <c r="D715" s="4" t="s">
        <v>1179</v>
      </c>
      <c r="E715" s="4" t="s">
        <v>1561</v>
      </c>
      <c r="F715" s="4" t="s">
        <v>861</v>
      </c>
      <c r="G715" s="4" t="s">
        <v>42</v>
      </c>
    </row>
    <row r="716" spans="2:7" ht="15.75" customHeight="1">
      <c r="B716" s="3">
        <v>46171</v>
      </c>
      <c r="C716" s="7" t="s">
        <v>1181</v>
      </c>
      <c r="D716" s="7" t="s">
        <v>561</v>
      </c>
      <c r="E716" s="4" t="s">
        <v>1561</v>
      </c>
      <c r="F716" s="7" t="s">
        <v>1182</v>
      </c>
      <c r="G716" s="7" t="s">
        <v>42</v>
      </c>
    </row>
    <row r="717" spans="2:7" ht="15.75" customHeight="1">
      <c r="B717" s="6">
        <f t="shared" ref="B717:B722" si="40">B716</f>
        <v>46171</v>
      </c>
      <c r="C717" s="4" t="s">
        <v>1083</v>
      </c>
      <c r="D717" s="4" t="s">
        <v>33</v>
      </c>
      <c r="E717" s="4" t="s">
        <v>1561</v>
      </c>
      <c r="F717" s="4" t="s">
        <v>703</v>
      </c>
      <c r="G717" s="4" t="s">
        <v>42</v>
      </c>
    </row>
    <row r="718" spans="2:7" ht="15.75" customHeight="1">
      <c r="B718" s="6">
        <f t="shared" si="40"/>
        <v>46171</v>
      </c>
      <c r="C718" s="4" t="s">
        <v>786</v>
      </c>
      <c r="D718" s="4" t="s">
        <v>53</v>
      </c>
      <c r="E718" s="4" t="s">
        <v>1561</v>
      </c>
      <c r="F718" s="4" t="s">
        <v>1183</v>
      </c>
      <c r="G718" s="4" t="s">
        <v>22</v>
      </c>
    </row>
    <row r="719" spans="2:7" ht="15.75" customHeight="1">
      <c r="B719" s="6">
        <f t="shared" si="40"/>
        <v>46171</v>
      </c>
      <c r="C719" s="4" t="s">
        <v>786</v>
      </c>
      <c r="D719" s="4" t="s">
        <v>6</v>
      </c>
      <c r="E719" s="4" t="s">
        <v>1561</v>
      </c>
      <c r="F719" s="4" t="s">
        <v>1184</v>
      </c>
      <c r="G719" s="4" t="s">
        <v>61</v>
      </c>
    </row>
    <row r="720" spans="2:7" ht="15.75" customHeight="1">
      <c r="B720" s="6">
        <f t="shared" si="40"/>
        <v>46171</v>
      </c>
      <c r="C720" s="4" t="s">
        <v>1178</v>
      </c>
      <c r="D720" s="4" t="s">
        <v>12</v>
      </c>
      <c r="E720" s="4" t="s">
        <v>1561</v>
      </c>
      <c r="F720" s="4" t="s">
        <v>749</v>
      </c>
      <c r="G720" s="4" t="s">
        <v>42</v>
      </c>
    </row>
    <row r="721" spans="2:7" ht="15.75" customHeight="1">
      <c r="B721" s="6">
        <f t="shared" si="40"/>
        <v>46171</v>
      </c>
      <c r="C721" s="4" t="s">
        <v>1185</v>
      </c>
      <c r="D721" s="4" t="s">
        <v>107</v>
      </c>
      <c r="E721" s="4" t="s">
        <v>1561</v>
      </c>
      <c r="F721" s="4" t="s">
        <v>1186</v>
      </c>
      <c r="G721" s="4" t="s">
        <v>42</v>
      </c>
    </row>
    <row r="722" spans="2:7" ht="15.75" customHeight="1">
      <c r="B722" s="6">
        <f t="shared" si="40"/>
        <v>46171</v>
      </c>
      <c r="C722" s="4" t="s">
        <v>1187</v>
      </c>
      <c r="D722" s="4" t="s">
        <v>579</v>
      </c>
      <c r="E722" s="4" t="s">
        <v>1561</v>
      </c>
      <c r="F722" s="4" t="s">
        <v>1188</v>
      </c>
      <c r="G722" s="4" t="s">
        <v>42</v>
      </c>
    </row>
    <row r="723" spans="2:7" ht="15.75" customHeight="1">
      <c r="B723" s="3">
        <v>46172</v>
      </c>
      <c r="C723" s="4" t="s">
        <v>1189</v>
      </c>
      <c r="D723" s="4" t="s">
        <v>1190</v>
      </c>
      <c r="E723" s="4" t="s">
        <v>1561</v>
      </c>
      <c r="F723" s="4" t="s">
        <v>1191</v>
      </c>
      <c r="G723" s="4" t="s">
        <v>1192</v>
      </c>
    </row>
    <row r="724" spans="2:7" ht="15.75" customHeight="1">
      <c r="B724" s="6">
        <f t="shared" ref="B724:B730" si="41">B723</f>
        <v>46172</v>
      </c>
      <c r="C724" s="4" t="s">
        <v>1193</v>
      </c>
      <c r="D724" s="4" t="s">
        <v>193</v>
      </c>
      <c r="E724" s="4" t="s">
        <v>1561</v>
      </c>
      <c r="F724" s="4" t="s">
        <v>1194</v>
      </c>
      <c r="G724" s="4" t="s">
        <v>474</v>
      </c>
    </row>
    <row r="725" spans="2:7" ht="15.75" customHeight="1">
      <c r="B725" s="6">
        <f t="shared" si="41"/>
        <v>46172</v>
      </c>
      <c r="C725" s="4" t="s">
        <v>1195</v>
      </c>
      <c r="D725" s="8"/>
      <c r="E725" s="4" t="s">
        <v>1561</v>
      </c>
      <c r="F725" s="4" t="s">
        <v>1196</v>
      </c>
      <c r="G725" s="4" t="s">
        <v>474</v>
      </c>
    </row>
    <row r="726" spans="2:7" ht="15.75" customHeight="1">
      <c r="B726" s="6">
        <f t="shared" si="41"/>
        <v>46172</v>
      </c>
      <c r="C726" s="4" t="s">
        <v>1197</v>
      </c>
      <c r="D726" s="4" t="s">
        <v>1198</v>
      </c>
      <c r="E726" s="4" t="s">
        <v>1561</v>
      </c>
      <c r="F726" s="4" t="s">
        <v>1199</v>
      </c>
      <c r="G726" s="4" t="s">
        <v>25</v>
      </c>
    </row>
    <row r="727" spans="2:7" ht="15.75" customHeight="1">
      <c r="B727" s="6">
        <f t="shared" si="41"/>
        <v>46172</v>
      </c>
      <c r="C727" s="4" t="s">
        <v>1200</v>
      </c>
      <c r="D727" s="4" t="s">
        <v>85</v>
      </c>
      <c r="E727" s="4" t="s">
        <v>1561</v>
      </c>
      <c r="F727" s="4" t="s">
        <v>1201</v>
      </c>
      <c r="G727" s="4" t="s">
        <v>22</v>
      </c>
    </row>
    <row r="728" spans="2:7" ht="15.75" customHeight="1">
      <c r="B728" s="6">
        <f t="shared" si="41"/>
        <v>46172</v>
      </c>
      <c r="C728" s="4" t="s">
        <v>1202</v>
      </c>
      <c r="D728" s="4" t="s">
        <v>1203</v>
      </c>
      <c r="E728" s="4" t="s">
        <v>1561</v>
      </c>
      <c r="F728" s="4" t="s">
        <v>1204</v>
      </c>
      <c r="G728" s="4" t="s">
        <v>1205</v>
      </c>
    </row>
    <row r="729" spans="2:7" ht="15.75" customHeight="1">
      <c r="B729" s="6">
        <f t="shared" si="41"/>
        <v>46172</v>
      </c>
      <c r="C729" s="4" t="s">
        <v>1206</v>
      </c>
      <c r="D729" s="4" t="s">
        <v>244</v>
      </c>
      <c r="E729" s="4" t="s">
        <v>1561</v>
      </c>
      <c r="F729" s="4" t="s">
        <v>1207</v>
      </c>
      <c r="G729" s="4" t="s">
        <v>25</v>
      </c>
    </row>
    <row r="730" spans="2:7" ht="15.75" customHeight="1">
      <c r="B730" s="6">
        <f t="shared" si="41"/>
        <v>46172</v>
      </c>
      <c r="C730" s="4" t="s">
        <v>1208</v>
      </c>
      <c r="D730" s="4" t="s">
        <v>1209</v>
      </c>
      <c r="E730" s="4" t="s">
        <v>1561</v>
      </c>
      <c r="F730" s="4" t="s">
        <v>1210</v>
      </c>
      <c r="G730" s="4" t="s">
        <v>25</v>
      </c>
    </row>
    <row r="731" spans="2:7" ht="15.75" customHeight="1">
      <c r="B731" s="3">
        <v>46173</v>
      </c>
      <c r="C731" s="7" t="s">
        <v>1211</v>
      </c>
      <c r="D731" s="7" t="s">
        <v>16</v>
      </c>
      <c r="E731" s="4" t="s">
        <v>1561</v>
      </c>
      <c r="F731" s="7" t="s">
        <v>1212</v>
      </c>
      <c r="G731" s="4" t="s">
        <v>25</v>
      </c>
    </row>
    <row r="732" spans="2:7" ht="15.75" customHeight="1">
      <c r="B732" s="6">
        <f t="shared" ref="B732:B753" si="42">B731</f>
        <v>46173</v>
      </c>
      <c r="C732" s="4" t="s">
        <v>167</v>
      </c>
      <c r="D732" s="4" t="s">
        <v>16</v>
      </c>
      <c r="E732" s="4" t="s">
        <v>1562</v>
      </c>
      <c r="F732" s="4" t="s">
        <v>1213</v>
      </c>
      <c r="G732" s="4" t="s">
        <v>22</v>
      </c>
    </row>
    <row r="733" spans="2:7" ht="15.75" customHeight="1">
      <c r="B733" s="6">
        <f t="shared" si="42"/>
        <v>46173</v>
      </c>
      <c r="C733" s="4" t="s">
        <v>20</v>
      </c>
      <c r="D733" s="4" t="s">
        <v>913</v>
      </c>
      <c r="E733" s="4" t="s">
        <v>1562</v>
      </c>
      <c r="F733" s="4" t="s">
        <v>1214</v>
      </c>
      <c r="G733" s="4" t="s">
        <v>25</v>
      </c>
    </row>
    <row r="734" spans="2:7" ht="15.75" customHeight="1">
      <c r="B734" s="6">
        <f t="shared" si="42"/>
        <v>46173</v>
      </c>
      <c r="C734" s="4" t="s">
        <v>167</v>
      </c>
      <c r="D734" s="4" t="s">
        <v>16</v>
      </c>
      <c r="E734" s="4" t="s">
        <v>1562</v>
      </c>
      <c r="F734" s="4" t="s">
        <v>1215</v>
      </c>
      <c r="G734" s="4" t="s">
        <v>61</v>
      </c>
    </row>
    <row r="735" spans="2:7" ht="15.75" customHeight="1">
      <c r="B735" s="6">
        <f t="shared" si="42"/>
        <v>46173</v>
      </c>
      <c r="C735" s="4" t="s">
        <v>167</v>
      </c>
      <c r="D735" s="4" t="s">
        <v>35</v>
      </c>
      <c r="E735" s="4" t="s">
        <v>1562</v>
      </c>
      <c r="F735" s="4" t="s">
        <v>1216</v>
      </c>
      <c r="G735" s="4" t="s">
        <v>61</v>
      </c>
    </row>
    <row r="736" spans="2:7" ht="15.75" customHeight="1">
      <c r="B736" s="6">
        <f t="shared" si="42"/>
        <v>46173</v>
      </c>
      <c r="C736" s="4" t="s">
        <v>20</v>
      </c>
      <c r="D736" s="4" t="s">
        <v>1217</v>
      </c>
      <c r="E736" s="4" t="s">
        <v>1562</v>
      </c>
      <c r="F736" s="4" t="s">
        <v>1218</v>
      </c>
      <c r="G736" s="4" t="s">
        <v>25</v>
      </c>
    </row>
    <row r="737" spans="2:7" ht="15.75" customHeight="1">
      <c r="B737" s="6">
        <f t="shared" si="42"/>
        <v>46173</v>
      </c>
      <c r="C737" s="4" t="s">
        <v>1165</v>
      </c>
      <c r="D737" s="4" t="s">
        <v>308</v>
      </c>
      <c r="E737" s="4" t="s">
        <v>1562</v>
      </c>
      <c r="F737" s="4" t="s">
        <v>1219</v>
      </c>
      <c r="G737" s="4" t="s">
        <v>32</v>
      </c>
    </row>
    <row r="738" spans="2:7" ht="15.75" customHeight="1">
      <c r="B738" s="6">
        <f t="shared" si="42"/>
        <v>46173</v>
      </c>
      <c r="C738" s="4" t="s">
        <v>20</v>
      </c>
      <c r="D738" s="4" t="s">
        <v>72</v>
      </c>
      <c r="E738" s="4" t="s">
        <v>1562</v>
      </c>
      <c r="F738" s="4" t="s">
        <v>1220</v>
      </c>
      <c r="G738" s="4" t="s">
        <v>25</v>
      </c>
    </row>
    <row r="739" spans="2:7" ht="15.75" customHeight="1">
      <c r="B739" s="6">
        <f t="shared" si="42"/>
        <v>46173</v>
      </c>
      <c r="C739" s="4" t="s">
        <v>167</v>
      </c>
      <c r="D739" s="4" t="s">
        <v>1221</v>
      </c>
      <c r="E739" s="4" t="s">
        <v>1562</v>
      </c>
      <c r="F739" s="4" t="s">
        <v>1222</v>
      </c>
      <c r="G739" s="4" t="s">
        <v>225</v>
      </c>
    </row>
    <row r="740" spans="2:7" ht="15.75" customHeight="1">
      <c r="B740" s="6">
        <f t="shared" si="42"/>
        <v>46173</v>
      </c>
      <c r="C740" s="4" t="s">
        <v>20</v>
      </c>
      <c r="D740" s="4" t="s">
        <v>35</v>
      </c>
      <c r="E740" s="4" t="s">
        <v>1562</v>
      </c>
      <c r="F740" s="4" t="s">
        <v>1223</v>
      </c>
      <c r="G740" s="4" t="s">
        <v>22</v>
      </c>
    </row>
    <row r="741" spans="2:7" ht="15.75" customHeight="1">
      <c r="B741" s="6">
        <f t="shared" si="42"/>
        <v>46173</v>
      </c>
      <c r="C741" s="4" t="s">
        <v>240</v>
      </c>
      <c r="D741" s="4" t="s">
        <v>198</v>
      </c>
      <c r="E741" s="4" t="s">
        <v>1562</v>
      </c>
      <c r="F741" s="4" t="s">
        <v>1224</v>
      </c>
      <c r="G741" s="4" t="s">
        <v>61</v>
      </c>
    </row>
    <row r="742" spans="2:7" ht="15.75" customHeight="1">
      <c r="B742" s="6">
        <f t="shared" si="42"/>
        <v>46173</v>
      </c>
      <c r="C742" s="4" t="s">
        <v>167</v>
      </c>
      <c r="D742" s="4" t="s">
        <v>198</v>
      </c>
      <c r="E742" s="4" t="s">
        <v>1562</v>
      </c>
      <c r="F742" s="4" t="s">
        <v>1225</v>
      </c>
      <c r="G742" s="4" t="s">
        <v>61</v>
      </c>
    </row>
    <row r="743" spans="2:7" ht="15.75" customHeight="1">
      <c r="B743" s="6">
        <f t="shared" si="42"/>
        <v>46173</v>
      </c>
      <c r="C743" s="4" t="s">
        <v>20</v>
      </c>
      <c r="D743" s="4" t="s">
        <v>198</v>
      </c>
      <c r="E743" s="4" t="s">
        <v>1562</v>
      </c>
      <c r="F743" s="4" t="s">
        <v>1226</v>
      </c>
      <c r="G743" s="4" t="s">
        <v>74</v>
      </c>
    </row>
    <row r="744" spans="2:7" ht="15.75" customHeight="1">
      <c r="B744" s="6">
        <f t="shared" si="42"/>
        <v>46173</v>
      </c>
      <c r="C744" s="4" t="s">
        <v>20</v>
      </c>
      <c r="D744" s="4" t="s">
        <v>198</v>
      </c>
      <c r="E744" s="4" t="s">
        <v>1562</v>
      </c>
      <c r="F744" s="4" t="s">
        <v>1227</v>
      </c>
      <c r="G744" s="4" t="s">
        <v>32</v>
      </c>
    </row>
    <row r="745" spans="2:7" ht="15.75" customHeight="1">
      <c r="B745" s="6">
        <f t="shared" si="42"/>
        <v>46173</v>
      </c>
      <c r="C745" s="4" t="s">
        <v>408</v>
      </c>
      <c r="D745" s="4" t="s">
        <v>198</v>
      </c>
      <c r="E745" s="4" t="s">
        <v>1562</v>
      </c>
      <c r="F745" s="4" t="s">
        <v>1228</v>
      </c>
      <c r="G745" s="4" t="s">
        <v>61</v>
      </c>
    </row>
    <row r="746" spans="2:7" ht="15.75" customHeight="1">
      <c r="B746" s="6">
        <f t="shared" si="42"/>
        <v>46173</v>
      </c>
      <c r="C746" s="4" t="s">
        <v>167</v>
      </c>
      <c r="D746" s="4" t="s">
        <v>33</v>
      </c>
      <c r="E746" s="4" t="s">
        <v>1562</v>
      </c>
      <c r="F746" s="10" t="s">
        <v>1229</v>
      </c>
      <c r="G746" s="4" t="s">
        <v>22</v>
      </c>
    </row>
    <row r="747" spans="2:7" ht="15.75" customHeight="1">
      <c r="B747" s="6">
        <f t="shared" si="42"/>
        <v>46173</v>
      </c>
      <c r="C747" s="4" t="s">
        <v>1230</v>
      </c>
      <c r="D747" s="4" t="s">
        <v>198</v>
      </c>
      <c r="E747" s="4" t="s">
        <v>1562</v>
      </c>
      <c r="F747" s="10" t="s">
        <v>1231</v>
      </c>
      <c r="G747" s="4" t="s">
        <v>61</v>
      </c>
    </row>
    <row r="748" spans="2:7" ht="15.75" customHeight="1">
      <c r="B748" s="6">
        <f t="shared" si="42"/>
        <v>46173</v>
      </c>
      <c r="C748" s="4" t="s">
        <v>167</v>
      </c>
      <c r="D748" s="4" t="s">
        <v>53</v>
      </c>
      <c r="E748" s="4" t="s">
        <v>1562</v>
      </c>
      <c r="F748" s="10" t="s">
        <v>1232</v>
      </c>
      <c r="G748" s="4" t="s">
        <v>22</v>
      </c>
    </row>
    <row r="749" spans="2:7" ht="15.75" customHeight="1">
      <c r="B749" s="6">
        <f t="shared" si="42"/>
        <v>46173</v>
      </c>
      <c r="C749" s="4" t="s">
        <v>74</v>
      </c>
      <c r="D749" s="4" t="s">
        <v>233</v>
      </c>
      <c r="E749" s="4" t="s">
        <v>1562</v>
      </c>
      <c r="F749" s="10" t="s">
        <v>1233</v>
      </c>
      <c r="G749" s="4" t="s">
        <v>61</v>
      </c>
    </row>
    <row r="750" spans="2:7" ht="15.75" customHeight="1">
      <c r="B750" s="6">
        <f t="shared" si="42"/>
        <v>46173</v>
      </c>
      <c r="C750" s="4" t="s">
        <v>167</v>
      </c>
      <c r="D750" s="4" t="s">
        <v>1234</v>
      </c>
      <c r="E750" s="4" t="s">
        <v>1562</v>
      </c>
      <c r="F750" s="10" t="s">
        <v>1235</v>
      </c>
      <c r="G750" s="4" t="s">
        <v>1236</v>
      </c>
    </row>
    <row r="751" spans="2:7" ht="15.75" customHeight="1">
      <c r="B751" s="6">
        <f t="shared" si="42"/>
        <v>46173</v>
      </c>
      <c r="C751" s="7" t="s">
        <v>1208</v>
      </c>
      <c r="D751" s="4" t="s">
        <v>726</v>
      </c>
      <c r="E751" s="4" t="s">
        <v>1561</v>
      </c>
      <c r="F751" s="4" t="s">
        <v>1237</v>
      </c>
      <c r="G751" s="4" t="s">
        <v>74</v>
      </c>
    </row>
    <row r="752" spans="2:7" ht="15.75" customHeight="1">
      <c r="B752" s="6">
        <f t="shared" si="42"/>
        <v>46173</v>
      </c>
      <c r="C752" s="7" t="s">
        <v>1208</v>
      </c>
      <c r="D752" s="4" t="s">
        <v>33</v>
      </c>
      <c r="E752" s="4" t="s">
        <v>1561</v>
      </c>
      <c r="F752" s="4" t="s">
        <v>1238</v>
      </c>
      <c r="G752" s="4" t="s">
        <v>74</v>
      </c>
    </row>
    <row r="753" spans="2:7" ht="15.75" customHeight="1">
      <c r="B753" s="6">
        <f t="shared" si="42"/>
        <v>46173</v>
      </c>
      <c r="C753" s="7" t="s">
        <v>1239</v>
      </c>
      <c r="D753" s="4" t="s">
        <v>535</v>
      </c>
      <c r="E753" s="4" t="s">
        <v>1561</v>
      </c>
      <c r="F753" s="4" t="s">
        <v>1240</v>
      </c>
      <c r="G753" s="4" t="s">
        <v>74</v>
      </c>
    </row>
    <row r="754" spans="2:7" ht="15.75" customHeight="1">
      <c r="B754" s="3">
        <v>46174</v>
      </c>
      <c r="C754" s="16" t="s">
        <v>167</v>
      </c>
      <c r="D754" s="4" t="s">
        <v>33</v>
      </c>
      <c r="E754" s="4" t="s">
        <v>1562</v>
      </c>
      <c r="F754" s="4" t="s">
        <v>1241</v>
      </c>
      <c r="G754" s="4" t="s">
        <v>22</v>
      </c>
    </row>
    <row r="755" spans="2:7" ht="15.75" customHeight="1">
      <c r="B755" s="6">
        <f t="shared" ref="B755:B767" si="43">B754</f>
        <v>46174</v>
      </c>
      <c r="C755" s="4" t="s">
        <v>20</v>
      </c>
      <c r="D755" s="4" t="s">
        <v>53</v>
      </c>
      <c r="E755" s="4" t="s">
        <v>1562</v>
      </c>
      <c r="F755" s="4" t="s">
        <v>1242</v>
      </c>
      <c r="G755" s="4" t="s">
        <v>22</v>
      </c>
    </row>
    <row r="756" spans="2:7" ht="15.75" customHeight="1">
      <c r="B756" s="6">
        <f t="shared" si="43"/>
        <v>46174</v>
      </c>
      <c r="C756" s="4" t="s">
        <v>167</v>
      </c>
      <c r="D756" s="4" t="s">
        <v>35</v>
      </c>
      <c r="E756" s="4" t="s">
        <v>1562</v>
      </c>
      <c r="F756" s="4" t="s">
        <v>1243</v>
      </c>
      <c r="G756" s="4" t="s">
        <v>362</v>
      </c>
    </row>
    <row r="757" spans="2:7" ht="15.75" customHeight="1">
      <c r="B757" s="6">
        <f t="shared" si="43"/>
        <v>46174</v>
      </c>
      <c r="C757" s="4" t="s">
        <v>831</v>
      </c>
      <c r="D757" s="4" t="s">
        <v>35</v>
      </c>
      <c r="E757" s="4" t="s">
        <v>1562</v>
      </c>
      <c r="F757" s="4" t="s">
        <v>1244</v>
      </c>
      <c r="G757" s="4" t="s">
        <v>22</v>
      </c>
    </row>
    <row r="758" spans="2:7" ht="15.75" customHeight="1">
      <c r="B758" s="6">
        <f t="shared" si="43"/>
        <v>46174</v>
      </c>
      <c r="C758" s="4" t="s">
        <v>20</v>
      </c>
      <c r="D758" s="4" t="s">
        <v>1245</v>
      </c>
      <c r="E758" s="4" t="s">
        <v>1562</v>
      </c>
      <c r="F758" s="4" t="s">
        <v>1246</v>
      </c>
      <c r="G758" s="4" t="s">
        <v>1247</v>
      </c>
    </row>
    <row r="759" spans="2:7" ht="15.75" customHeight="1">
      <c r="B759" s="6">
        <f t="shared" si="43"/>
        <v>46174</v>
      </c>
      <c r="C759" s="4" t="s">
        <v>20</v>
      </c>
      <c r="D759" s="4" t="s">
        <v>35</v>
      </c>
      <c r="E759" s="4" t="s">
        <v>1562</v>
      </c>
      <c r="F759" s="4" t="s">
        <v>1248</v>
      </c>
      <c r="G759" s="4" t="s">
        <v>61</v>
      </c>
    </row>
    <row r="760" spans="2:7" ht="15.75" customHeight="1">
      <c r="B760" s="6">
        <f t="shared" si="43"/>
        <v>46174</v>
      </c>
      <c r="C760" s="4" t="s">
        <v>408</v>
      </c>
      <c r="D760" s="4" t="s">
        <v>85</v>
      </c>
      <c r="E760" s="4" t="s">
        <v>1562</v>
      </c>
      <c r="F760" s="19" t="s">
        <v>1249</v>
      </c>
      <c r="G760" s="4" t="s">
        <v>1127</v>
      </c>
    </row>
    <row r="761" spans="2:7" ht="15.75" customHeight="1">
      <c r="B761" s="6">
        <f t="shared" si="43"/>
        <v>46174</v>
      </c>
      <c r="C761" s="4" t="s">
        <v>20</v>
      </c>
      <c r="D761" s="4" t="s">
        <v>53</v>
      </c>
      <c r="E761" s="4" t="s">
        <v>1562</v>
      </c>
      <c r="F761" s="4" t="s">
        <v>1250</v>
      </c>
      <c r="G761" s="4" t="s">
        <v>25</v>
      </c>
    </row>
    <row r="762" spans="2:7" ht="15.75" customHeight="1">
      <c r="B762" s="6">
        <f t="shared" si="43"/>
        <v>46174</v>
      </c>
      <c r="C762" s="4" t="s">
        <v>20</v>
      </c>
      <c r="D762" s="4" t="s">
        <v>394</v>
      </c>
      <c r="E762" s="4" t="s">
        <v>1562</v>
      </c>
      <c r="F762" s="4" t="s">
        <v>1251</v>
      </c>
      <c r="G762" s="4" t="s">
        <v>61</v>
      </c>
    </row>
    <row r="763" spans="2:7" ht="15.75" customHeight="1">
      <c r="B763" s="6">
        <f t="shared" si="43"/>
        <v>46174</v>
      </c>
      <c r="C763" s="4" t="s">
        <v>1178</v>
      </c>
      <c r="D763" s="4" t="s">
        <v>12</v>
      </c>
      <c r="E763" s="4" t="s">
        <v>1561</v>
      </c>
      <c r="F763" s="4" t="s">
        <v>982</v>
      </c>
      <c r="G763" s="4" t="s">
        <v>25</v>
      </c>
    </row>
    <row r="764" spans="2:7" ht="15.75" customHeight="1">
      <c r="B764" s="6">
        <f t="shared" si="43"/>
        <v>46174</v>
      </c>
      <c r="C764" s="4" t="s">
        <v>1114</v>
      </c>
      <c r="D764" s="4" t="s">
        <v>43</v>
      </c>
      <c r="E764" s="4" t="s">
        <v>1561</v>
      </c>
      <c r="F764" s="4" t="s">
        <v>1252</v>
      </c>
      <c r="G764" s="4" t="s">
        <v>25</v>
      </c>
    </row>
    <row r="765" spans="2:7" ht="15.75" customHeight="1">
      <c r="B765" s="6">
        <f t="shared" si="43"/>
        <v>46174</v>
      </c>
      <c r="C765" s="4" t="s">
        <v>1253</v>
      </c>
      <c r="D765" s="4" t="s">
        <v>1254</v>
      </c>
      <c r="E765" s="4" t="s">
        <v>1561</v>
      </c>
      <c r="F765" s="4" t="s">
        <v>1255</v>
      </c>
      <c r="G765" s="4" t="s">
        <v>25</v>
      </c>
    </row>
    <row r="766" spans="2:7" ht="15.75" customHeight="1">
      <c r="B766" s="6">
        <f t="shared" si="43"/>
        <v>46174</v>
      </c>
      <c r="C766" s="4" t="s">
        <v>1005</v>
      </c>
      <c r="D766" s="4" t="s">
        <v>67</v>
      </c>
      <c r="E766" s="4" t="s">
        <v>1561</v>
      </c>
      <c r="F766" s="4" t="s">
        <v>1256</v>
      </c>
      <c r="G766" s="4" t="s">
        <v>25</v>
      </c>
    </row>
    <row r="767" spans="2:7" ht="15.75" customHeight="1">
      <c r="B767" s="6">
        <f t="shared" si="43"/>
        <v>46174</v>
      </c>
      <c r="C767" s="4" t="s">
        <v>1257</v>
      </c>
      <c r="D767" s="4" t="s">
        <v>561</v>
      </c>
      <c r="E767" s="4" t="s">
        <v>1561</v>
      </c>
      <c r="F767" s="4" t="s">
        <v>1258</v>
      </c>
      <c r="G767" s="4" t="s">
        <v>42</v>
      </c>
    </row>
    <row r="768" spans="2:7" ht="15.75" customHeight="1">
      <c r="B768" s="3">
        <v>46175</v>
      </c>
      <c r="C768" s="16" t="s">
        <v>1259</v>
      </c>
      <c r="D768" s="4" t="s">
        <v>204</v>
      </c>
      <c r="E768" s="4" t="s">
        <v>1561</v>
      </c>
      <c r="F768" s="4" t="s">
        <v>1260</v>
      </c>
      <c r="G768" s="4" t="s">
        <v>25</v>
      </c>
    </row>
    <row r="769" spans="2:7" ht="15.75" customHeight="1">
      <c r="B769" s="6">
        <f t="shared" ref="B769:B774" si="44">B768</f>
        <v>46175</v>
      </c>
      <c r="C769" s="4" t="s">
        <v>786</v>
      </c>
      <c r="D769" s="4" t="s">
        <v>244</v>
      </c>
      <c r="E769" s="4" t="s">
        <v>1561</v>
      </c>
      <c r="F769" s="4" t="s">
        <v>1261</v>
      </c>
      <c r="G769" s="4" t="s">
        <v>22</v>
      </c>
    </row>
    <row r="770" spans="2:7" ht="15.75" customHeight="1">
      <c r="B770" s="6">
        <f t="shared" si="44"/>
        <v>46175</v>
      </c>
      <c r="C770" s="4" t="s">
        <v>786</v>
      </c>
      <c r="D770" s="4" t="s">
        <v>16</v>
      </c>
      <c r="E770" s="4" t="s">
        <v>1561</v>
      </c>
      <c r="F770" s="4" t="s">
        <v>1262</v>
      </c>
      <c r="G770" s="4" t="s">
        <v>22</v>
      </c>
    </row>
    <row r="771" spans="2:7" ht="15.75" customHeight="1">
      <c r="B771" s="6">
        <f t="shared" si="44"/>
        <v>46175</v>
      </c>
      <c r="C771" s="4" t="s">
        <v>1263</v>
      </c>
      <c r="D771" s="4" t="s">
        <v>394</v>
      </c>
      <c r="E771" s="4" t="s">
        <v>1561</v>
      </c>
      <c r="F771" s="10" t="s">
        <v>1264</v>
      </c>
      <c r="G771" s="4" t="s">
        <v>22</v>
      </c>
    </row>
    <row r="772" spans="2:7" ht="15.75" customHeight="1">
      <c r="B772" s="6">
        <f t="shared" si="44"/>
        <v>46175</v>
      </c>
      <c r="C772" s="4" t="s">
        <v>1265</v>
      </c>
      <c r="D772" s="4" t="s">
        <v>535</v>
      </c>
      <c r="E772" s="4" t="s">
        <v>1561</v>
      </c>
      <c r="F772" s="4" t="s">
        <v>1266</v>
      </c>
      <c r="G772" s="4" t="s">
        <v>25</v>
      </c>
    </row>
    <row r="773" spans="2:7" ht="15.75" customHeight="1">
      <c r="B773" s="6">
        <f t="shared" si="44"/>
        <v>46175</v>
      </c>
      <c r="C773" s="4" t="s">
        <v>1267</v>
      </c>
      <c r="D773" s="4" t="s">
        <v>67</v>
      </c>
      <c r="E773" s="4" t="s">
        <v>1561</v>
      </c>
      <c r="F773" s="10" t="s">
        <v>1268</v>
      </c>
      <c r="G773" s="4" t="s">
        <v>25</v>
      </c>
    </row>
    <row r="774" spans="2:7" ht="15.75" customHeight="1">
      <c r="B774" s="6">
        <f t="shared" si="44"/>
        <v>46175</v>
      </c>
      <c r="C774" s="4" t="s">
        <v>1269</v>
      </c>
      <c r="D774" s="4" t="s">
        <v>913</v>
      </c>
      <c r="E774" s="4" t="s">
        <v>1561</v>
      </c>
      <c r="F774" s="4" t="s">
        <v>1270</v>
      </c>
      <c r="G774" s="4" t="s">
        <v>25</v>
      </c>
    </row>
    <row r="775" spans="2:7" ht="15.75" customHeight="1">
      <c r="B775" s="3">
        <v>46176</v>
      </c>
      <c r="C775" s="4" t="s">
        <v>1271</v>
      </c>
      <c r="D775" s="4" t="s">
        <v>1123</v>
      </c>
      <c r="E775" s="4" t="s">
        <v>1561</v>
      </c>
      <c r="F775" s="4" t="s">
        <v>1272</v>
      </c>
      <c r="G775" s="4" t="s">
        <v>25</v>
      </c>
    </row>
    <row r="776" spans="2:7" ht="15.75" customHeight="1">
      <c r="B776" s="3">
        <v>46177</v>
      </c>
      <c r="C776" s="4" t="s">
        <v>251</v>
      </c>
      <c r="D776" s="10" t="s">
        <v>198</v>
      </c>
      <c r="E776" s="4" t="s">
        <v>1561</v>
      </c>
      <c r="F776" s="10" t="s">
        <v>1273</v>
      </c>
      <c r="G776" s="4" t="s">
        <v>25</v>
      </c>
    </row>
    <row r="777" spans="2:7" ht="15.75" customHeight="1">
      <c r="B777" s="6">
        <f t="shared" ref="B777:B790" si="45">B776</f>
        <v>46177</v>
      </c>
      <c r="C777" s="4" t="s">
        <v>251</v>
      </c>
      <c r="D777" s="4" t="s">
        <v>308</v>
      </c>
      <c r="E777" s="4" t="s">
        <v>1561</v>
      </c>
      <c r="F777" s="10" t="s">
        <v>1274</v>
      </c>
      <c r="G777" s="4" t="s">
        <v>25</v>
      </c>
    </row>
    <row r="778" spans="2:7" ht="15.75" customHeight="1">
      <c r="B778" s="6">
        <f t="shared" si="45"/>
        <v>46177</v>
      </c>
      <c r="C778" s="4" t="s">
        <v>20</v>
      </c>
      <c r="D778" s="4" t="s">
        <v>198</v>
      </c>
      <c r="E778" s="4" t="s">
        <v>1561</v>
      </c>
      <c r="F778" s="10" t="s">
        <v>1275</v>
      </c>
      <c r="G778" s="4" t="s">
        <v>25</v>
      </c>
    </row>
    <row r="779" spans="2:7" ht="15.75" customHeight="1">
      <c r="B779" s="6">
        <f t="shared" si="45"/>
        <v>46177</v>
      </c>
      <c r="C779" s="4" t="s">
        <v>167</v>
      </c>
      <c r="D779" s="4" t="s">
        <v>1276</v>
      </c>
      <c r="E779" s="4" t="s">
        <v>1561</v>
      </c>
      <c r="F779" s="10" t="s">
        <v>1277</v>
      </c>
      <c r="G779" s="4" t="s">
        <v>61</v>
      </c>
    </row>
    <row r="780" spans="2:7" ht="15.75" customHeight="1">
      <c r="B780" s="6">
        <f t="shared" si="45"/>
        <v>46177</v>
      </c>
      <c r="C780" s="4" t="s">
        <v>20</v>
      </c>
      <c r="D780" s="4" t="s">
        <v>9</v>
      </c>
      <c r="E780" s="4" t="s">
        <v>1561</v>
      </c>
      <c r="F780" s="10" t="s">
        <v>829</v>
      </c>
      <c r="G780" s="4" t="s">
        <v>25</v>
      </c>
    </row>
    <row r="781" spans="2:7" ht="15.75" customHeight="1">
      <c r="B781" s="6">
        <f t="shared" si="45"/>
        <v>46177</v>
      </c>
      <c r="C781" s="4" t="s">
        <v>167</v>
      </c>
      <c r="D781" s="4" t="s">
        <v>9</v>
      </c>
      <c r="E781" s="4" t="s">
        <v>1561</v>
      </c>
      <c r="F781" s="10" t="s">
        <v>350</v>
      </c>
      <c r="G781" s="4" t="s">
        <v>22</v>
      </c>
    </row>
    <row r="782" spans="2:7" ht="15.75" customHeight="1">
      <c r="B782" s="6">
        <f t="shared" si="45"/>
        <v>46177</v>
      </c>
      <c r="C782" s="4" t="s">
        <v>167</v>
      </c>
      <c r="D782" s="4" t="s">
        <v>33</v>
      </c>
      <c r="E782" s="4" t="s">
        <v>1561</v>
      </c>
      <c r="F782" s="10" t="s">
        <v>932</v>
      </c>
      <c r="G782" s="4" t="s">
        <v>22</v>
      </c>
    </row>
    <row r="783" spans="2:7" ht="15.75" customHeight="1">
      <c r="B783" s="6">
        <f t="shared" si="45"/>
        <v>46177</v>
      </c>
      <c r="C783" s="4" t="s">
        <v>167</v>
      </c>
      <c r="D783" s="4" t="s">
        <v>9</v>
      </c>
      <c r="E783" s="4" t="s">
        <v>1561</v>
      </c>
      <c r="F783" s="10" t="s">
        <v>1052</v>
      </c>
      <c r="G783" s="4" t="s">
        <v>22</v>
      </c>
    </row>
    <row r="784" spans="2:7" ht="15.75" customHeight="1">
      <c r="B784" s="6">
        <f t="shared" si="45"/>
        <v>46177</v>
      </c>
      <c r="C784" s="4" t="s">
        <v>20</v>
      </c>
      <c r="D784" s="4" t="s">
        <v>33</v>
      </c>
      <c r="E784" s="4" t="s">
        <v>1561</v>
      </c>
      <c r="F784" s="10" t="s">
        <v>829</v>
      </c>
      <c r="G784" s="4" t="s">
        <v>25</v>
      </c>
    </row>
    <row r="785" spans="2:7" ht="15.75" customHeight="1">
      <c r="B785" s="6">
        <f t="shared" si="45"/>
        <v>46177</v>
      </c>
      <c r="C785" s="4" t="s">
        <v>20</v>
      </c>
      <c r="D785" s="4" t="s">
        <v>35</v>
      </c>
      <c r="E785" s="4" t="s">
        <v>1561</v>
      </c>
      <c r="F785" s="10" t="s">
        <v>1278</v>
      </c>
      <c r="G785" s="4" t="s">
        <v>25</v>
      </c>
    </row>
    <row r="786" spans="2:7" ht="15.75" customHeight="1">
      <c r="B786" s="6">
        <f t="shared" si="45"/>
        <v>46177</v>
      </c>
      <c r="C786" s="4" t="s">
        <v>20</v>
      </c>
      <c r="D786" s="10" t="s">
        <v>1279</v>
      </c>
      <c r="E786" s="4" t="s">
        <v>1561</v>
      </c>
      <c r="F786" s="10" t="s">
        <v>1280</v>
      </c>
      <c r="G786" s="4" t="s">
        <v>61</v>
      </c>
    </row>
    <row r="787" spans="2:7" ht="15.75" customHeight="1">
      <c r="B787" s="6">
        <f t="shared" si="45"/>
        <v>46177</v>
      </c>
      <c r="C787" s="4" t="s">
        <v>20</v>
      </c>
      <c r="D787" s="4" t="s">
        <v>1281</v>
      </c>
      <c r="E787" s="4" t="s">
        <v>1561</v>
      </c>
      <c r="F787" s="10" t="s">
        <v>1282</v>
      </c>
      <c r="G787" s="4" t="s">
        <v>25</v>
      </c>
    </row>
    <row r="788" spans="2:7" ht="15.75" customHeight="1">
      <c r="B788" s="6">
        <f t="shared" si="45"/>
        <v>46177</v>
      </c>
      <c r="C788" s="4" t="s">
        <v>20</v>
      </c>
      <c r="D788" s="4" t="s">
        <v>198</v>
      </c>
      <c r="E788" s="4" t="s">
        <v>1561</v>
      </c>
      <c r="F788" s="10" t="s">
        <v>1283</v>
      </c>
      <c r="G788" s="4" t="s">
        <v>25</v>
      </c>
    </row>
    <row r="789" spans="2:7" ht="15.75" customHeight="1">
      <c r="B789" s="6">
        <f t="shared" si="45"/>
        <v>46177</v>
      </c>
      <c r="C789" s="4" t="s">
        <v>167</v>
      </c>
      <c r="D789" s="4" t="s">
        <v>72</v>
      </c>
      <c r="E789" s="4" t="s">
        <v>1561</v>
      </c>
      <c r="F789" s="10" t="s">
        <v>1041</v>
      </c>
      <c r="G789" s="4" t="s">
        <v>362</v>
      </c>
    </row>
    <row r="790" spans="2:7" ht="15.75" customHeight="1">
      <c r="B790" s="6">
        <f t="shared" si="45"/>
        <v>46177</v>
      </c>
      <c r="C790" s="4" t="s">
        <v>1284</v>
      </c>
      <c r="D790" s="4" t="s">
        <v>376</v>
      </c>
      <c r="E790" s="4" t="s">
        <v>1561</v>
      </c>
      <c r="F790" s="4" t="s">
        <v>1285</v>
      </c>
      <c r="G790" s="4" t="s">
        <v>42</v>
      </c>
    </row>
    <row r="791" spans="2:7" ht="15.75" customHeight="1">
      <c r="B791" s="3">
        <v>46178</v>
      </c>
      <c r="C791" s="16" t="s">
        <v>1286</v>
      </c>
      <c r="D791" s="4" t="s">
        <v>53</v>
      </c>
      <c r="E791" s="4" t="s">
        <v>1561</v>
      </c>
      <c r="F791" s="4" t="s">
        <v>1287</v>
      </c>
      <c r="G791" s="4" t="s">
        <v>42</v>
      </c>
    </row>
    <row r="792" spans="2:7" ht="15.75" customHeight="1">
      <c r="B792" s="6">
        <f>B791</f>
        <v>46178</v>
      </c>
      <c r="C792" s="4" t="s">
        <v>26</v>
      </c>
      <c r="D792" s="4" t="s">
        <v>53</v>
      </c>
      <c r="E792" s="4" t="s">
        <v>1561</v>
      </c>
      <c r="F792" s="4" t="s">
        <v>1288</v>
      </c>
      <c r="G792" s="4" t="s">
        <v>45</v>
      </c>
    </row>
    <row r="793" spans="2:7" ht="15.75" customHeight="1">
      <c r="B793" s="6">
        <f>B792</f>
        <v>46178</v>
      </c>
      <c r="C793" s="4" t="s">
        <v>1289</v>
      </c>
      <c r="D793" s="4" t="s">
        <v>603</v>
      </c>
      <c r="E793" s="4" t="s">
        <v>1561</v>
      </c>
      <c r="F793" s="4" t="s">
        <v>1290</v>
      </c>
      <c r="G793" s="4" t="s">
        <v>42</v>
      </c>
    </row>
    <row r="794" spans="2:7" ht="15.75" customHeight="1">
      <c r="B794" s="6">
        <f>B793</f>
        <v>46178</v>
      </c>
      <c r="C794" s="4" t="s">
        <v>26</v>
      </c>
      <c r="D794" s="4" t="s">
        <v>1291</v>
      </c>
      <c r="E794" s="4" t="s">
        <v>1561</v>
      </c>
      <c r="F794" s="4" t="s">
        <v>1292</v>
      </c>
      <c r="G794" s="4" t="s">
        <v>1293</v>
      </c>
    </row>
    <row r="795" spans="2:7" ht="15.75" customHeight="1">
      <c r="B795" s="3">
        <v>46179</v>
      </c>
      <c r="C795" s="16" t="s">
        <v>1294</v>
      </c>
      <c r="D795" s="4" t="s">
        <v>6</v>
      </c>
      <c r="E795" s="4" t="s">
        <v>1561</v>
      </c>
      <c r="F795" s="10" t="s">
        <v>1295</v>
      </c>
      <c r="G795" s="4" t="s">
        <v>61</v>
      </c>
    </row>
    <row r="796" spans="2:7" ht="15.75" customHeight="1">
      <c r="B796" s="6">
        <f t="shared" ref="B796:B814" si="46">B795</f>
        <v>46179</v>
      </c>
      <c r="C796" s="4" t="s">
        <v>1296</v>
      </c>
      <c r="D796" s="4" t="s">
        <v>12</v>
      </c>
      <c r="E796" s="4" t="s">
        <v>1561</v>
      </c>
      <c r="F796" s="4" t="s">
        <v>1297</v>
      </c>
      <c r="G796" s="4" t="s">
        <v>42</v>
      </c>
    </row>
    <row r="797" spans="2:7" ht="15.75" customHeight="1">
      <c r="B797" s="6">
        <f t="shared" si="46"/>
        <v>46179</v>
      </c>
      <c r="C797" s="4" t="s">
        <v>1298</v>
      </c>
      <c r="D797" s="4" t="s">
        <v>624</v>
      </c>
      <c r="E797" s="4" t="s">
        <v>1561</v>
      </c>
      <c r="F797" s="4" t="s">
        <v>1299</v>
      </c>
      <c r="G797" s="4" t="s">
        <v>42</v>
      </c>
    </row>
    <row r="798" spans="2:7" ht="15.75" customHeight="1">
      <c r="B798" s="6">
        <f t="shared" si="46"/>
        <v>46179</v>
      </c>
      <c r="C798" s="4" t="s">
        <v>20</v>
      </c>
      <c r="D798" s="4" t="s">
        <v>53</v>
      </c>
      <c r="E798" s="4" t="s">
        <v>1562</v>
      </c>
      <c r="F798" s="10" t="s">
        <v>1300</v>
      </c>
      <c r="G798" s="4" t="s">
        <v>61</v>
      </c>
    </row>
    <row r="799" spans="2:7" ht="15.75" customHeight="1">
      <c r="B799" s="6">
        <f t="shared" si="46"/>
        <v>46179</v>
      </c>
      <c r="C799" s="4" t="s">
        <v>20</v>
      </c>
      <c r="D799" s="4" t="s">
        <v>53</v>
      </c>
      <c r="E799" s="4" t="s">
        <v>1562</v>
      </c>
      <c r="F799" s="10" t="s">
        <v>1301</v>
      </c>
      <c r="G799" s="4" t="s">
        <v>42</v>
      </c>
    </row>
    <row r="800" spans="2:7" ht="15.75" customHeight="1">
      <c r="B800" s="6">
        <f t="shared" si="46"/>
        <v>46179</v>
      </c>
      <c r="C800" s="4" t="s">
        <v>74</v>
      </c>
      <c r="D800" s="4" t="s">
        <v>1302</v>
      </c>
      <c r="E800" s="4" t="s">
        <v>1562</v>
      </c>
      <c r="F800" s="10" t="s">
        <v>1163</v>
      </c>
      <c r="G800" s="4" t="s">
        <v>61</v>
      </c>
    </row>
    <row r="801" spans="2:7" ht="15.75" customHeight="1">
      <c r="B801" s="6">
        <f t="shared" si="46"/>
        <v>46179</v>
      </c>
      <c r="C801" s="4" t="s">
        <v>167</v>
      </c>
      <c r="D801" s="4" t="s">
        <v>753</v>
      </c>
      <c r="E801" s="4" t="s">
        <v>1562</v>
      </c>
      <c r="F801" s="10" t="s">
        <v>600</v>
      </c>
      <c r="G801" s="4" t="s">
        <v>1236</v>
      </c>
    </row>
    <row r="802" spans="2:7" ht="15.75" customHeight="1">
      <c r="B802" s="6">
        <f t="shared" si="46"/>
        <v>46179</v>
      </c>
      <c r="C802" s="4" t="s">
        <v>20</v>
      </c>
      <c r="D802" s="4" t="s">
        <v>12</v>
      </c>
      <c r="E802" s="4" t="s">
        <v>1562</v>
      </c>
      <c r="F802" s="4" t="s">
        <v>1303</v>
      </c>
      <c r="G802" s="4" t="s">
        <v>42</v>
      </c>
    </row>
    <row r="803" spans="2:7" ht="15.75" customHeight="1">
      <c r="B803" s="6">
        <f t="shared" si="46"/>
        <v>46179</v>
      </c>
      <c r="C803" s="4" t="s">
        <v>20</v>
      </c>
      <c r="D803" s="4" t="s">
        <v>67</v>
      </c>
      <c r="E803" s="4" t="s">
        <v>1562</v>
      </c>
      <c r="F803" s="4" t="s">
        <v>1304</v>
      </c>
      <c r="G803" s="4" t="s">
        <v>42</v>
      </c>
    </row>
    <row r="804" spans="2:7" ht="15.75" customHeight="1">
      <c r="B804" s="6">
        <f t="shared" si="46"/>
        <v>46179</v>
      </c>
      <c r="C804" s="4" t="s">
        <v>20</v>
      </c>
      <c r="D804" s="4" t="s">
        <v>33</v>
      </c>
      <c r="E804" s="4" t="s">
        <v>1562</v>
      </c>
      <c r="F804" s="4" t="s">
        <v>1305</v>
      </c>
      <c r="G804" s="4" t="s">
        <v>42</v>
      </c>
    </row>
    <row r="805" spans="2:7" ht="15.75" customHeight="1">
      <c r="B805" s="6">
        <f t="shared" si="46"/>
        <v>46179</v>
      </c>
      <c r="C805" s="4" t="s">
        <v>20</v>
      </c>
      <c r="D805" s="4" t="s">
        <v>53</v>
      </c>
      <c r="E805" s="4" t="s">
        <v>1562</v>
      </c>
      <c r="F805" s="4" t="s">
        <v>1306</v>
      </c>
      <c r="G805" s="4" t="s">
        <v>42</v>
      </c>
    </row>
    <row r="806" spans="2:7" ht="15.75" customHeight="1">
      <c r="B806" s="6">
        <f t="shared" si="46"/>
        <v>46179</v>
      </c>
      <c r="C806" s="4" t="s">
        <v>167</v>
      </c>
      <c r="D806" s="4" t="s">
        <v>33</v>
      </c>
      <c r="E806" s="4" t="s">
        <v>1562</v>
      </c>
      <c r="F806" s="4" t="s">
        <v>185</v>
      </c>
      <c r="G806" s="4" t="s">
        <v>22</v>
      </c>
    </row>
    <row r="807" spans="2:7" ht="15.75" customHeight="1">
      <c r="B807" s="6">
        <f t="shared" si="46"/>
        <v>46179</v>
      </c>
      <c r="C807" s="4" t="s">
        <v>20</v>
      </c>
      <c r="D807" s="4" t="s">
        <v>33</v>
      </c>
      <c r="E807" s="4" t="s">
        <v>1562</v>
      </c>
      <c r="F807" s="4" t="s">
        <v>1307</v>
      </c>
      <c r="G807" s="4" t="s">
        <v>42</v>
      </c>
    </row>
    <row r="808" spans="2:7" ht="15.75" customHeight="1">
      <c r="B808" s="6">
        <f t="shared" si="46"/>
        <v>46179</v>
      </c>
      <c r="C808" s="4" t="s">
        <v>20</v>
      </c>
      <c r="D808" s="4" t="s">
        <v>35</v>
      </c>
      <c r="E808" s="4" t="s">
        <v>1562</v>
      </c>
      <c r="F808" s="4" t="s">
        <v>1308</v>
      </c>
      <c r="G808" s="4" t="s">
        <v>61</v>
      </c>
    </row>
    <row r="809" spans="2:7" ht="15.75" customHeight="1">
      <c r="B809" s="6">
        <f t="shared" si="46"/>
        <v>46179</v>
      </c>
      <c r="C809" s="4" t="s">
        <v>20</v>
      </c>
      <c r="D809" s="4" t="s">
        <v>53</v>
      </c>
      <c r="E809" s="4" t="s">
        <v>1562</v>
      </c>
      <c r="F809" s="4" t="s">
        <v>1309</v>
      </c>
      <c r="G809" s="4" t="s">
        <v>42</v>
      </c>
    </row>
    <row r="810" spans="2:7" ht="15.75" customHeight="1">
      <c r="B810" s="6">
        <f t="shared" si="46"/>
        <v>46179</v>
      </c>
      <c r="C810" s="4" t="s">
        <v>20</v>
      </c>
      <c r="D810" s="4" t="s">
        <v>53</v>
      </c>
      <c r="E810" s="4" t="s">
        <v>1562</v>
      </c>
      <c r="F810" s="4" t="s">
        <v>1310</v>
      </c>
      <c r="G810" s="4" t="s">
        <v>42</v>
      </c>
    </row>
    <row r="811" spans="2:7" ht="15.75" customHeight="1">
      <c r="B811" s="6">
        <f t="shared" si="46"/>
        <v>46179</v>
      </c>
      <c r="C811" s="4" t="s">
        <v>20</v>
      </c>
      <c r="D811" s="4" t="s">
        <v>35</v>
      </c>
      <c r="E811" s="4" t="s">
        <v>1562</v>
      </c>
      <c r="F811" s="4" t="s">
        <v>1311</v>
      </c>
      <c r="G811" s="4" t="s">
        <v>22</v>
      </c>
    </row>
    <row r="812" spans="2:7" ht="15.75" customHeight="1">
      <c r="B812" s="6">
        <f t="shared" si="46"/>
        <v>46179</v>
      </c>
      <c r="C812" s="4" t="s">
        <v>167</v>
      </c>
      <c r="D812" s="4" t="s">
        <v>33</v>
      </c>
      <c r="E812" s="4" t="s">
        <v>1562</v>
      </c>
      <c r="F812" s="4" t="s">
        <v>1312</v>
      </c>
      <c r="G812" s="4" t="s">
        <v>362</v>
      </c>
    </row>
    <row r="813" spans="2:7" ht="15.75" customHeight="1">
      <c r="B813" s="6">
        <f t="shared" si="46"/>
        <v>46179</v>
      </c>
      <c r="C813" s="4" t="s">
        <v>20</v>
      </c>
      <c r="D813" s="4" t="s">
        <v>33</v>
      </c>
      <c r="E813" s="4" t="s">
        <v>1562</v>
      </c>
      <c r="F813" s="4" t="s">
        <v>1163</v>
      </c>
      <c r="G813" s="4" t="s">
        <v>42</v>
      </c>
    </row>
    <row r="814" spans="2:7" ht="15.75" customHeight="1">
      <c r="B814" s="6">
        <f t="shared" si="46"/>
        <v>46179</v>
      </c>
      <c r="C814" s="4" t="s">
        <v>167</v>
      </c>
      <c r="D814" s="4" t="s">
        <v>9</v>
      </c>
      <c r="E814" s="4" t="s">
        <v>1562</v>
      </c>
      <c r="F814" s="4" t="s">
        <v>1313</v>
      </c>
      <c r="G814" s="4" t="s">
        <v>22</v>
      </c>
    </row>
    <row r="815" spans="2:7" ht="15.75" customHeight="1">
      <c r="B815" s="3">
        <v>46180</v>
      </c>
      <c r="C815" s="4" t="s">
        <v>1314</v>
      </c>
      <c r="D815" s="4" t="s">
        <v>35</v>
      </c>
      <c r="E815" s="4" t="s">
        <v>1561</v>
      </c>
      <c r="F815" s="10" t="s">
        <v>1315</v>
      </c>
      <c r="G815" s="4" t="s">
        <v>61</v>
      </c>
    </row>
    <row r="816" spans="2:7" ht="15.75" customHeight="1">
      <c r="B816" s="6">
        <f t="shared" ref="B816:B836" si="47">B815</f>
        <v>46180</v>
      </c>
      <c r="C816" s="4" t="s">
        <v>1316</v>
      </c>
      <c r="D816" s="4" t="s">
        <v>1317</v>
      </c>
      <c r="E816" s="4" t="s">
        <v>1561</v>
      </c>
      <c r="F816" s="4" t="s">
        <v>1318</v>
      </c>
      <c r="G816" s="4" t="s">
        <v>22</v>
      </c>
    </row>
    <row r="817" spans="2:7" ht="15.75" customHeight="1">
      <c r="B817" s="6">
        <f t="shared" si="47"/>
        <v>46180</v>
      </c>
      <c r="C817" s="4" t="s">
        <v>26</v>
      </c>
      <c r="D817" s="4" t="s">
        <v>901</v>
      </c>
      <c r="E817" s="4" t="s">
        <v>1561</v>
      </c>
      <c r="F817" s="10" t="s">
        <v>1319</v>
      </c>
      <c r="G817" s="4" t="s">
        <v>61</v>
      </c>
    </row>
    <row r="818" spans="2:7" ht="15.75" customHeight="1">
      <c r="B818" s="6">
        <f t="shared" si="47"/>
        <v>46180</v>
      </c>
      <c r="C818" s="4" t="s">
        <v>26</v>
      </c>
      <c r="D818" s="4" t="s">
        <v>12</v>
      </c>
      <c r="E818" s="4" t="s">
        <v>1561</v>
      </c>
      <c r="F818" s="10" t="s">
        <v>1320</v>
      </c>
      <c r="G818" s="4" t="s">
        <v>22</v>
      </c>
    </row>
    <row r="819" spans="2:7" ht="15.75" customHeight="1">
      <c r="B819" s="6">
        <f t="shared" si="47"/>
        <v>46180</v>
      </c>
      <c r="C819" s="4" t="s">
        <v>74</v>
      </c>
      <c r="D819" s="4" t="s">
        <v>33</v>
      </c>
      <c r="E819" s="4" t="s">
        <v>1561</v>
      </c>
      <c r="F819" s="10" t="s">
        <v>1321</v>
      </c>
      <c r="G819" s="4" t="s">
        <v>22</v>
      </c>
    </row>
    <row r="820" spans="2:7" ht="15.75" customHeight="1">
      <c r="B820" s="6">
        <f t="shared" si="47"/>
        <v>46180</v>
      </c>
      <c r="C820" s="4" t="s">
        <v>1322</v>
      </c>
      <c r="D820" s="4" t="s">
        <v>1123</v>
      </c>
      <c r="E820" s="4" t="s">
        <v>1561</v>
      </c>
      <c r="F820" s="10" t="s">
        <v>1323</v>
      </c>
      <c r="G820" s="4" t="s">
        <v>61</v>
      </c>
    </row>
    <row r="821" spans="2:7" ht="15.75" customHeight="1">
      <c r="B821" s="6">
        <f t="shared" si="47"/>
        <v>46180</v>
      </c>
      <c r="C821" s="4" t="s">
        <v>1324</v>
      </c>
      <c r="D821" s="4" t="s">
        <v>53</v>
      </c>
      <c r="E821" s="4" t="s">
        <v>1561</v>
      </c>
      <c r="F821" s="4" t="s">
        <v>1325</v>
      </c>
      <c r="G821" s="4" t="s">
        <v>42</v>
      </c>
    </row>
    <row r="822" spans="2:7" ht="15.75" customHeight="1">
      <c r="B822" s="6">
        <f t="shared" si="47"/>
        <v>46180</v>
      </c>
      <c r="C822" s="4" t="s">
        <v>26</v>
      </c>
      <c r="D822" s="4" t="s">
        <v>204</v>
      </c>
      <c r="E822" s="4" t="s">
        <v>1561</v>
      </c>
      <c r="F822" s="4" t="s">
        <v>1326</v>
      </c>
      <c r="G822" s="4" t="s">
        <v>104</v>
      </c>
    </row>
    <row r="823" spans="2:7" ht="15.75" customHeight="1">
      <c r="B823" s="6">
        <f t="shared" si="47"/>
        <v>46180</v>
      </c>
      <c r="C823" s="4" t="s">
        <v>1327</v>
      </c>
      <c r="D823" s="4" t="s">
        <v>43</v>
      </c>
      <c r="E823" s="4" t="s">
        <v>1561</v>
      </c>
      <c r="F823" s="4" t="s">
        <v>1033</v>
      </c>
      <c r="G823" s="4" t="s">
        <v>22</v>
      </c>
    </row>
    <row r="824" spans="2:7" ht="15.75" customHeight="1">
      <c r="B824" s="6">
        <f t="shared" si="47"/>
        <v>46180</v>
      </c>
      <c r="C824" s="4" t="s">
        <v>1328</v>
      </c>
      <c r="D824" s="4" t="s">
        <v>12</v>
      </c>
      <c r="E824" s="4" t="s">
        <v>1561</v>
      </c>
      <c r="F824" s="4" t="s">
        <v>350</v>
      </c>
      <c r="G824" s="4" t="s">
        <v>22</v>
      </c>
    </row>
    <row r="825" spans="2:7" ht="15.75" customHeight="1">
      <c r="B825" s="6">
        <f t="shared" si="47"/>
        <v>46180</v>
      </c>
      <c r="C825" s="4" t="s">
        <v>1322</v>
      </c>
      <c r="D825" s="4" t="s">
        <v>155</v>
      </c>
      <c r="E825" s="4" t="s">
        <v>1561</v>
      </c>
      <c r="F825" s="4" t="s">
        <v>1329</v>
      </c>
      <c r="G825" s="4" t="s">
        <v>42</v>
      </c>
    </row>
    <row r="826" spans="2:7" ht="15.75" customHeight="1">
      <c r="B826" s="6">
        <f t="shared" si="47"/>
        <v>46180</v>
      </c>
      <c r="C826" s="4" t="s">
        <v>167</v>
      </c>
      <c r="D826" s="4" t="s">
        <v>204</v>
      </c>
      <c r="E826" s="4" t="s">
        <v>1561</v>
      </c>
      <c r="F826" s="4" t="s">
        <v>1330</v>
      </c>
      <c r="G826" s="4" t="s">
        <v>1236</v>
      </c>
    </row>
    <row r="827" spans="2:7" ht="15.75" customHeight="1">
      <c r="B827" s="6">
        <f t="shared" si="47"/>
        <v>46180</v>
      </c>
      <c r="C827" s="4" t="s">
        <v>1322</v>
      </c>
      <c r="D827" s="4" t="s">
        <v>9</v>
      </c>
      <c r="E827" s="4" t="s">
        <v>1561</v>
      </c>
      <c r="F827" s="4" t="s">
        <v>1163</v>
      </c>
      <c r="G827" s="4" t="s">
        <v>42</v>
      </c>
    </row>
    <row r="828" spans="2:7" ht="15.75" customHeight="1">
      <c r="B828" s="6">
        <f t="shared" si="47"/>
        <v>46180</v>
      </c>
      <c r="C828" s="4" t="s">
        <v>167</v>
      </c>
      <c r="D828" s="4" t="s">
        <v>33</v>
      </c>
      <c r="E828" s="4" t="s">
        <v>1561</v>
      </c>
      <c r="F828" s="4" t="s">
        <v>569</v>
      </c>
      <c r="G828" s="4" t="s">
        <v>22</v>
      </c>
    </row>
    <row r="829" spans="2:7" ht="15.75" customHeight="1">
      <c r="B829" s="6">
        <f t="shared" si="47"/>
        <v>46180</v>
      </c>
      <c r="C829" s="4" t="s">
        <v>1322</v>
      </c>
      <c r="D829" s="4" t="s">
        <v>1331</v>
      </c>
      <c r="E829" s="4" t="s">
        <v>1561</v>
      </c>
      <c r="F829" s="4" t="s">
        <v>1332</v>
      </c>
      <c r="G829" s="4" t="s">
        <v>42</v>
      </c>
    </row>
    <row r="830" spans="2:7" ht="15.75" customHeight="1">
      <c r="B830" s="6">
        <f t="shared" si="47"/>
        <v>46180</v>
      </c>
      <c r="C830" s="4" t="s">
        <v>1322</v>
      </c>
      <c r="D830" s="4" t="s">
        <v>85</v>
      </c>
      <c r="E830" s="4" t="s">
        <v>1561</v>
      </c>
      <c r="F830" s="4" t="s">
        <v>1333</v>
      </c>
      <c r="G830" s="4" t="s">
        <v>42</v>
      </c>
    </row>
    <row r="831" spans="2:7" ht="15.75" customHeight="1">
      <c r="B831" s="6">
        <f t="shared" si="47"/>
        <v>46180</v>
      </c>
      <c r="C831" s="4" t="s">
        <v>167</v>
      </c>
      <c r="D831" s="4" t="s">
        <v>1334</v>
      </c>
      <c r="E831" s="4" t="s">
        <v>1561</v>
      </c>
      <c r="F831" s="4" t="s">
        <v>1335</v>
      </c>
      <c r="G831" s="4" t="s">
        <v>42</v>
      </c>
    </row>
    <row r="832" spans="2:7" ht="15.75" customHeight="1">
      <c r="B832" s="6">
        <f t="shared" si="47"/>
        <v>46180</v>
      </c>
      <c r="C832" s="4" t="s">
        <v>1322</v>
      </c>
      <c r="D832" s="4" t="s">
        <v>198</v>
      </c>
      <c r="E832" s="4" t="s">
        <v>1561</v>
      </c>
      <c r="F832" s="4" t="s">
        <v>1336</v>
      </c>
      <c r="G832" s="4" t="s">
        <v>61</v>
      </c>
    </row>
    <row r="833" spans="2:7" ht="15.75" customHeight="1">
      <c r="B833" s="6">
        <f t="shared" si="47"/>
        <v>46180</v>
      </c>
      <c r="C833" s="4" t="s">
        <v>1322</v>
      </c>
      <c r="D833" s="4" t="s">
        <v>1217</v>
      </c>
      <c r="E833" s="4" t="s">
        <v>1561</v>
      </c>
      <c r="F833" s="4" t="s">
        <v>1337</v>
      </c>
      <c r="G833" s="4" t="s">
        <v>42</v>
      </c>
    </row>
    <row r="834" spans="2:7" ht="15.75" customHeight="1">
      <c r="B834" s="6">
        <f t="shared" si="47"/>
        <v>46180</v>
      </c>
      <c r="C834" s="4" t="s">
        <v>167</v>
      </c>
      <c r="D834" s="4" t="s">
        <v>33</v>
      </c>
      <c r="E834" s="4" t="s">
        <v>1561</v>
      </c>
      <c r="F834" s="4" t="s">
        <v>1338</v>
      </c>
      <c r="G834" s="4" t="s">
        <v>228</v>
      </c>
    </row>
    <row r="835" spans="2:7" ht="15.75" customHeight="1">
      <c r="B835" s="6">
        <f t="shared" si="47"/>
        <v>46180</v>
      </c>
      <c r="C835" s="4" t="s">
        <v>167</v>
      </c>
      <c r="D835" s="4" t="s">
        <v>53</v>
      </c>
      <c r="E835" s="4" t="s">
        <v>1561</v>
      </c>
      <c r="F835" s="4" t="s">
        <v>1339</v>
      </c>
      <c r="G835" s="4" t="s">
        <v>362</v>
      </c>
    </row>
    <row r="836" spans="2:7" ht="15.75" customHeight="1">
      <c r="B836" s="6">
        <f t="shared" si="47"/>
        <v>46180</v>
      </c>
      <c r="C836" s="4" t="s">
        <v>1322</v>
      </c>
      <c r="D836" s="4" t="s">
        <v>1340</v>
      </c>
      <c r="E836" s="4" t="s">
        <v>1561</v>
      </c>
      <c r="F836" s="4" t="s">
        <v>1341</v>
      </c>
      <c r="G836" s="4" t="s">
        <v>22</v>
      </c>
    </row>
    <row r="837" spans="2:7" ht="15.75" customHeight="1">
      <c r="B837" s="3">
        <v>46181</v>
      </c>
      <c r="C837" s="25" t="s">
        <v>1342</v>
      </c>
      <c r="D837" s="22" t="s">
        <v>913</v>
      </c>
      <c r="E837" s="4" t="s">
        <v>1561</v>
      </c>
      <c r="F837" s="22" t="s">
        <v>1343</v>
      </c>
      <c r="G837" s="22" t="s">
        <v>474</v>
      </c>
    </row>
    <row r="838" spans="2:7" ht="15.75" customHeight="1">
      <c r="B838" s="6">
        <f t="shared" ref="B838:B844" si="48">B837</f>
        <v>46181</v>
      </c>
      <c r="C838" s="22" t="s">
        <v>1344</v>
      </c>
      <c r="D838" s="22" t="s">
        <v>204</v>
      </c>
      <c r="E838" s="4" t="s">
        <v>1561</v>
      </c>
      <c r="F838" s="22" t="s">
        <v>1345</v>
      </c>
      <c r="G838" s="22" t="s">
        <v>1346</v>
      </c>
    </row>
    <row r="839" spans="2:7" ht="15.75" customHeight="1">
      <c r="B839" s="6">
        <f t="shared" si="48"/>
        <v>46181</v>
      </c>
      <c r="C839" s="22" t="s">
        <v>1347</v>
      </c>
      <c r="D839" s="22" t="s">
        <v>1348</v>
      </c>
      <c r="E839" s="4" t="s">
        <v>1561</v>
      </c>
      <c r="F839" s="22" t="s">
        <v>1349</v>
      </c>
      <c r="G839" s="22" t="s">
        <v>42</v>
      </c>
    </row>
    <row r="840" spans="2:7" ht="15.75" customHeight="1">
      <c r="B840" s="6">
        <f t="shared" si="48"/>
        <v>46181</v>
      </c>
      <c r="C840" s="22" t="s">
        <v>374</v>
      </c>
      <c r="D840" s="22" t="s">
        <v>12</v>
      </c>
      <c r="E840" s="4" t="s">
        <v>1561</v>
      </c>
      <c r="F840" s="22" t="s">
        <v>620</v>
      </c>
      <c r="G840" s="22" t="s">
        <v>42</v>
      </c>
    </row>
    <row r="841" spans="2:7" ht="15.75" customHeight="1">
      <c r="B841" s="6">
        <f t="shared" si="48"/>
        <v>46181</v>
      </c>
      <c r="C841" s="22" t="s">
        <v>1350</v>
      </c>
      <c r="D841" s="22" t="s">
        <v>12</v>
      </c>
      <c r="E841" s="4" t="s">
        <v>1561</v>
      </c>
      <c r="F841" s="22" t="s">
        <v>1351</v>
      </c>
      <c r="G841" s="22" t="s">
        <v>42</v>
      </c>
    </row>
    <row r="842" spans="2:7" ht="15.75" customHeight="1">
      <c r="B842" s="6">
        <f t="shared" si="48"/>
        <v>46181</v>
      </c>
      <c r="C842" s="22" t="s">
        <v>1352</v>
      </c>
      <c r="D842" s="22" t="s">
        <v>12</v>
      </c>
      <c r="E842" s="4" t="s">
        <v>1561</v>
      </c>
      <c r="F842" s="22" t="s">
        <v>1353</v>
      </c>
      <c r="G842" s="22" t="s">
        <v>42</v>
      </c>
    </row>
    <row r="843" spans="2:7" ht="15.75" customHeight="1">
      <c r="B843" s="6">
        <f t="shared" si="48"/>
        <v>46181</v>
      </c>
      <c r="C843" s="22" t="s">
        <v>1354</v>
      </c>
      <c r="D843" s="22" t="s">
        <v>12</v>
      </c>
      <c r="E843" s="4" t="s">
        <v>1561</v>
      </c>
      <c r="F843" s="22" t="s">
        <v>1355</v>
      </c>
      <c r="G843" s="22" t="s">
        <v>42</v>
      </c>
    </row>
    <row r="844" spans="2:7" ht="15.75" customHeight="1">
      <c r="B844" s="6">
        <f t="shared" si="48"/>
        <v>46181</v>
      </c>
      <c r="C844" s="22" t="s">
        <v>1145</v>
      </c>
      <c r="D844" s="22" t="s">
        <v>12</v>
      </c>
      <c r="E844" s="4" t="s">
        <v>1561</v>
      </c>
      <c r="F844" s="22" t="s">
        <v>1356</v>
      </c>
      <c r="G844" s="22" t="s">
        <v>42</v>
      </c>
    </row>
    <row r="845" spans="2:7" ht="15.75" customHeight="1">
      <c r="B845" s="3">
        <v>46151</v>
      </c>
      <c r="C845" s="16" t="s">
        <v>1357</v>
      </c>
      <c r="D845" s="4" t="s">
        <v>453</v>
      </c>
      <c r="E845" s="4" t="s">
        <v>1561</v>
      </c>
      <c r="F845" s="4" t="s">
        <v>1358</v>
      </c>
      <c r="G845" s="4" t="s">
        <v>42</v>
      </c>
    </row>
    <row r="846" spans="2:7" ht="15.75" customHeight="1">
      <c r="B846" s="6">
        <f>B845</f>
        <v>46151</v>
      </c>
      <c r="C846" s="4" t="s">
        <v>1359</v>
      </c>
      <c r="D846" s="4" t="s">
        <v>1360</v>
      </c>
      <c r="E846" s="4" t="s">
        <v>1561</v>
      </c>
      <c r="F846" s="4" t="s">
        <v>1361</v>
      </c>
      <c r="G846" s="4" t="s">
        <v>42</v>
      </c>
    </row>
    <row r="847" spans="2:7" ht="15.75" customHeight="1">
      <c r="B847" s="6">
        <f>B846</f>
        <v>46151</v>
      </c>
      <c r="C847" s="4" t="s">
        <v>1362</v>
      </c>
      <c r="D847" s="4" t="s">
        <v>12</v>
      </c>
      <c r="E847" s="4" t="s">
        <v>1561</v>
      </c>
      <c r="F847" s="4" t="s">
        <v>1363</v>
      </c>
      <c r="G847" s="4" t="s">
        <v>42</v>
      </c>
    </row>
    <row r="848" spans="2:7" ht="15.75" customHeight="1">
      <c r="B848" s="3">
        <v>46183</v>
      </c>
      <c r="C848" s="4" t="s">
        <v>20</v>
      </c>
      <c r="D848" s="4" t="s">
        <v>67</v>
      </c>
      <c r="E848" s="4" t="s">
        <v>1562</v>
      </c>
      <c r="F848" s="10" t="s">
        <v>1336</v>
      </c>
      <c r="G848" s="4" t="s">
        <v>25</v>
      </c>
    </row>
    <row r="849" spans="2:7" ht="15.75" customHeight="1">
      <c r="B849" s="6">
        <f t="shared" ref="B849:B884" si="49">B848</f>
        <v>46183</v>
      </c>
      <c r="C849" s="4" t="s">
        <v>20</v>
      </c>
      <c r="D849" s="4" t="s">
        <v>29</v>
      </c>
      <c r="E849" s="4" t="s">
        <v>1562</v>
      </c>
      <c r="F849" s="10" t="s">
        <v>1364</v>
      </c>
      <c r="G849" s="4" t="s">
        <v>25</v>
      </c>
    </row>
    <row r="850" spans="2:7" ht="15.75" customHeight="1">
      <c r="B850" s="6">
        <f t="shared" si="49"/>
        <v>46183</v>
      </c>
      <c r="C850" s="4" t="s">
        <v>20</v>
      </c>
      <c r="D850" s="4" t="s">
        <v>67</v>
      </c>
      <c r="E850" s="4" t="s">
        <v>1562</v>
      </c>
      <c r="F850" s="10" t="s">
        <v>1365</v>
      </c>
      <c r="G850" s="4" t="s">
        <v>25</v>
      </c>
    </row>
    <row r="851" spans="2:7" ht="15.75" customHeight="1">
      <c r="B851" s="6">
        <f t="shared" si="49"/>
        <v>46183</v>
      </c>
      <c r="C851" s="4" t="s">
        <v>20</v>
      </c>
      <c r="D851" s="4" t="s">
        <v>85</v>
      </c>
      <c r="E851" s="4" t="s">
        <v>1562</v>
      </c>
      <c r="F851" s="10" t="s">
        <v>1366</v>
      </c>
      <c r="G851" s="4" t="s">
        <v>25</v>
      </c>
    </row>
    <row r="852" spans="2:7" ht="15.75" customHeight="1">
      <c r="B852" s="6">
        <f t="shared" si="49"/>
        <v>46183</v>
      </c>
      <c r="C852" s="4" t="s">
        <v>20</v>
      </c>
      <c r="D852" s="4" t="s">
        <v>198</v>
      </c>
      <c r="E852" s="4" t="s">
        <v>1562</v>
      </c>
      <c r="F852" s="10" t="s">
        <v>1367</v>
      </c>
      <c r="G852" s="4" t="s">
        <v>61</v>
      </c>
    </row>
    <row r="853" spans="2:7" ht="15.75" customHeight="1">
      <c r="B853" s="6">
        <f t="shared" si="49"/>
        <v>46183</v>
      </c>
      <c r="C853" s="4" t="s">
        <v>20</v>
      </c>
      <c r="D853" s="4" t="s">
        <v>6</v>
      </c>
      <c r="E853" s="4" t="s">
        <v>1562</v>
      </c>
      <c r="F853" s="10" t="s">
        <v>1368</v>
      </c>
      <c r="G853" s="4" t="s">
        <v>22</v>
      </c>
    </row>
    <row r="854" spans="2:7" ht="15.75" customHeight="1">
      <c r="B854" s="6">
        <f t="shared" si="49"/>
        <v>46183</v>
      </c>
      <c r="C854" s="4" t="s">
        <v>167</v>
      </c>
      <c r="D854" s="4" t="s">
        <v>198</v>
      </c>
      <c r="E854" s="4" t="s">
        <v>1562</v>
      </c>
      <c r="F854" s="10" t="s">
        <v>1369</v>
      </c>
      <c r="G854" s="4" t="s">
        <v>22</v>
      </c>
    </row>
    <row r="855" spans="2:7" ht="15.75" customHeight="1">
      <c r="B855" s="6">
        <f t="shared" si="49"/>
        <v>46183</v>
      </c>
      <c r="C855" s="4" t="s">
        <v>20</v>
      </c>
      <c r="D855" s="4" t="s">
        <v>12</v>
      </c>
      <c r="E855" s="4" t="s">
        <v>1562</v>
      </c>
      <c r="F855" s="10" t="s">
        <v>1370</v>
      </c>
      <c r="G855" s="4" t="s">
        <v>25</v>
      </c>
    </row>
    <row r="856" spans="2:7" ht="15.75" customHeight="1">
      <c r="B856" s="6">
        <f t="shared" si="49"/>
        <v>46183</v>
      </c>
      <c r="C856" s="4" t="s">
        <v>1072</v>
      </c>
      <c r="D856" s="4" t="s">
        <v>6</v>
      </c>
      <c r="E856" s="4" t="s">
        <v>1562</v>
      </c>
      <c r="F856" s="10" t="s">
        <v>1371</v>
      </c>
      <c r="G856" s="4" t="s">
        <v>61</v>
      </c>
    </row>
    <row r="857" spans="2:7" ht="15.75" customHeight="1">
      <c r="B857" s="6">
        <f t="shared" si="49"/>
        <v>46183</v>
      </c>
      <c r="C857" s="4" t="s">
        <v>1072</v>
      </c>
      <c r="D857" s="4" t="s">
        <v>204</v>
      </c>
      <c r="E857" s="4" t="s">
        <v>1562</v>
      </c>
      <c r="F857" s="10" t="s">
        <v>1372</v>
      </c>
      <c r="G857" s="4" t="s">
        <v>61</v>
      </c>
    </row>
    <row r="858" spans="2:7" ht="15.75" customHeight="1">
      <c r="B858" s="6">
        <f t="shared" si="49"/>
        <v>46183</v>
      </c>
      <c r="C858" s="4" t="s">
        <v>831</v>
      </c>
      <c r="D858" s="4" t="s">
        <v>204</v>
      </c>
      <c r="E858" s="4" t="s">
        <v>1562</v>
      </c>
      <c r="F858" s="10" t="s">
        <v>1373</v>
      </c>
      <c r="G858" s="4" t="s">
        <v>61</v>
      </c>
    </row>
    <row r="859" spans="2:7" ht="15.75" customHeight="1">
      <c r="B859" s="6">
        <f t="shared" si="49"/>
        <v>46183</v>
      </c>
      <c r="C859" s="4" t="s">
        <v>20</v>
      </c>
      <c r="D859" s="4" t="s">
        <v>107</v>
      </c>
      <c r="E859" s="4" t="s">
        <v>1562</v>
      </c>
      <c r="F859" s="10" t="s">
        <v>1374</v>
      </c>
      <c r="G859" s="4" t="s">
        <v>61</v>
      </c>
    </row>
    <row r="860" spans="2:7" ht="15.75" customHeight="1">
      <c r="B860" s="6">
        <f t="shared" si="49"/>
        <v>46183</v>
      </c>
      <c r="C860" s="4" t="s">
        <v>167</v>
      </c>
      <c r="D860" s="4" t="s">
        <v>33</v>
      </c>
      <c r="E860" s="4" t="s">
        <v>1562</v>
      </c>
      <c r="F860" s="10" t="s">
        <v>1375</v>
      </c>
      <c r="G860" s="4" t="s">
        <v>362</v>
      </c>
    </row>
    <row r="861" spans="2:7" ht="15.75" customHeight="1">
      <c r="B861" s="6">
        <f t="shared" si="49"/>
        <v>46183</v>
      </c>
      <c r="C861" s="4" t="s">
        <v>20</v>
      </c>
      <c r="D861" s="4" t="s">
        <v>193</v>
      </c>
      <c r="E861" s="4" t="s">
        <v>1562</v>
      </c>
      <c r="F861" s="10" t="s">
        <v>1376</v>
      </c>
      <c r="G861" s="4" t="s">
        <v>22</v>
      </c>
    </row>
    <row r="862" spans="2:7" ht="15.75" customHeight="1">
      <c r="B862" s="6">
        <f t="shared" si="49"/>
        <v>46183</v>
      </c>
      <c r="C862" s="4" t="s">
        <v>167</v>
      </c>
      <c r="D862" s="4" t="s">
        <v>35</v>
      </c>
      <c r="E862" s="4" t="s">
        <v>1562</v>
      </c>
      <c r="F862" s="10" t="s">
        <v>1377</v>
      </c>
      <c r="G862" s="4" t="s">
        <v>22</v>
      </c>
    </row>
    <row r="863" spans="2:7" ht="15.75" customHeight="1">
      <c r="B863" s="6">
        <f t="shared" si="49"/>
        <v>46183</v>
      </c>
      <c r="C863" s="4" t="s">
        <v>20</v>
      </c>
      <c r="D863" s="4" t="s">
        <v>29</v>
      </c>
      <c r="E863" s="4" t="s">
        <v>1562</v>
      </c>
      <c r="F863" s="10" t="s">
        <v>1378</v>
      </c>
      <c r="G863" s="4" t="s">
        <v>22</v>
      </c>
    </row>
    <row r="864" spans="2:7" ht="15.75" customHeight="1">
      <c r="B864" s="6">
        <f t="shared" si="49"/>
        <v>46183</v>
      </c>
      <c r="C864" s="4" t="s">
        <v>20</v>
      </c>
      <c r="D864" s="4" t="s">
        <v>1379</v>
      </c>
      <c r="E864" s="4" t="s">
        <v>1562</v>
      </c>
      <c r="F864" s="10" t="s">
        <v>1380</v>
      </c>
      <c r="G864" s="4" t="s">
        <v>25</v>
      </c>
    </row>
    <row r="865" spans="2:7" ht="15.75" customHeight="1">
      <c r="B865" s="6">
        <f t="shared" si="49"/>
        <v>46183</v>
      </c>
      <c r="C865" s="4" t="s">
        <v>1072</v>
      </c>
      <c r="D865" s="10" t="s">
        <v>1381</v>
      </c>
      <c r="E865" s="4" t="s">
        <v>1562</v>
      </c>
      <c r="F865" s="19" t="s">
        <v>1382</v>
      </c>
      <c r="G865" s="4" t="s">
        <v>61</v>
      </c>
    </row>
    <row r="866" spans="2:7" ht="15.75" customHeight="1">
      <c r="B866" s="6">
        <f t="shared" si="49"/>
        <v>46183</v>
      </c>
      <c r="C866" s="4" t="s">
        <v>74</v>
      </c>
      <c r="D866" s="4" t="s">
        <v>876</v>
      </c>
      <c r="E866" s="4" t="s">
        <v>1562</v>
      </c>
      <c r="F866" s="10" t="s">
        <v>1380</v>
      </c>
      <c r="G866" s="4" t="s">
        <v>25</v>
      </c>
    </row>
    <row r="867" spans="2:7" ht="15.75" customHeight="1">
      <c r="B867" s="6">
        <f t="shared" si="49"/>
        <v>46183</v>
      </c>
      <c r="C867" s="4" t="s">
        <v>167</v>
      </c>
      <c r="D867" s="4" t="s">
        <v>33</v>
      </c>
      <c r="E867" s="4" t="s">
        <v>1562</v>
      </c>
      <c r="F867" s="10" t="s">
        <v>1383</v>
      </c>
      <c r="G867" s="4" t="s">
        <v>22</v>
      </c>
    </row>
    <row r="868" spans="2:7" ht="15.75" customHeight="1">
      <c r="B868" s="6">
        <f t="shared" si="49"/>
        <v>46183</v>
      </c>
      <c r="C868" s="4" t="s">
        <v>20</v>
      </c>
      <c r="D868" s="4" t="s">
        <v>380</v>
      </c>
      <c r="E868" s="4" t="s">
        <v>1562</v>
      </c>
      <c r="F868" s="10" t="s">
        <v>1384</v>
      </c>
      <c r="G868" s="4" t="s">
        <v>25</v>
      </c>
    </row>
    <row r="869" spans="2:7" ht="15.75" customHeight="1">
      <c r="B869" s="6">
        <f t="shared" si="49"/>
        <v>46183</v>
      </c>
      <c r="C869" s="4" t="s">
        <v>167</v>
      </c>
      <c r="D869" s="4" t="s">
        <v>394</v>
      </c>
      <c r="E869" s="4" t="s">
        <v>1562</v>
      </c>
      <c r="F869" s="10" t="s">
        <v>1385</v>
      </c>
      <c r="G869" s="4" t="s">
        <v>61</v>
      </c>
    </row>
    <row r="870" spans="2:7" ht="15.75" customHeight="1">
      <c r="B870" s="6">
        <f t="shared" si="49"/>
        <v>46183</v>
      </c>
      <c r="C870" s="4" t="s">
        <v>167</v>
      </c>
      <c r="D870" s="4" t="s">
        <v>35</v>
      </c>
      <c r="E870" s="4" t="s">
        <v>1562</v>
      </c>
      <c r="F870" s="10" t="s">
        <v>1386</v>
      </c>
      <c r="G870" s="4" t="s">
        <v>22</v>
      </c>
    </row>
    <row r="871" spans="2:7" ht="15.75" customHeight="1">
      <c r="B871" s="6">
        <f t="shared" si="49"/>
        <v>46183</v>
      </c>
      <c r="C871" s="4" t="s">
        <v>20</v>
      </c>
      <c r="D871" s="4" t="s">
        <v>107</v>
      </c>
      <c r="E871" s="4" t="s">
        <v>1562</v>
      </c>
      <c r="F871" s="10" t="s">
        <v>1387</v>
      </c>
      <c r="G871" s="4" t="s">
        <v>61</v>
      </c>
    </row>
    <row r="872" spans="2:7" ht="15.75" customHeight="1">
      <c r="B872" s="6">
        <f t="shared" si="49"/>
        <v>46183</v>
      </c>
      <c r="C872" s="4" t="s">
        <v>1072</v>
      </c>
      <c r="D872" s="4" t="s">
        <v>35</v>
      </c>
      <c r="E872" s="4" t="s">
        <v>1562</v>
      </c>
      <c r="F872" s="10" t="s">
        <v>1388</v>
      </c>
      <c r="G872" s="4" t="s">
        <v>61</v>
      </c>
    </row>
    <row r="873" spans="2:7" ht="15.75" customHeight="1">
      <c r="B873" s="6">
        <f t="shared" si="49"/>
        <v>46183</v>
      </c>
      <c r="C873" s="4" t="s">
        <v>74</v>
      </c>
      <c r="D873" s="4" t="s">
        <v>12</v>
      </c>
      <c r="E873" s="4" t="s">
        <v>1562</v>
      </c>
      <c r="F873" s="10" t="s">
        <v>1389</v>
      </c>
      <c r="G873" s="4" t="s">
        <v>25</v>
      </c>
    </row>
    <row r="874" spans="2:7" ht="15.75" customHeight="1">
      <c r="B874" s="6">
        <f t="shared" si="49"/>
        <v>46183</v>
      </c>
      <c r="C874" s="4" t="s">
        <v>20</v>
      </c>
      <c r="D874" s="4" t="s">
        <v>35</v>
      </c>
      <c r="E874" s="4" t="s">
        <v>1562</v>
      </c>
      <c r="F874" s="10" t="s">
        <v>1390</v>
      </c>
      <c r="G874" s="4" t="s">
        <v>61</v>
      </c>
    </row>
    <row r="875" spans="2:7" ht="15.75" customHeight="1">
      <c r="B875" s="6">
        <f t="shared" si="49"/>
        <v>46183</v>
      </c>
      <c r="C875" s="4" t="s">
        <v>1072</v>
      </c>
      <c r="D875" s="4" t="s">
        <v>394</v>
      </c>
      <c r="E875" s="4" t="s">
        <v>1562</v>
      </c>
      <c r="F875" s="10" t="s">
        <v>1391</v>
      </c>
      <c r="G875" s="4" t="s">
        <v>61</v>
      </c>
    </row>
    <row r="876" spans="2:7" ht="15.75" customHeight="1">
      <c r="B876" s="6">
        <f t="shared" si="49"/>
        <v>46183</v>
      </c>
      <c r="C876" s="4" t="s">
        <v>167</v>
      </c>
      <c r="D876" s="4" t="s">
        <v>35</v>
      </c>
      <c r="E876" s="4" t="s">
        <v>1562</v>
      </c>
      <c r="F876" s="10" t="s">
        <v>1392</v>
      </c>
      <c r="G876" s="4" t="s">
        <v>61</v>
      </c>
    </row>
    <row r="877" spans="2:7" ht="15.75" customHeight="1">
      <c r="B877" s="6">
        <f t="shared" si="49"/>
        <v>46183</v>
      </c>
      <c r="C877" s="4" t="s">
        <v>20</v>
      </c>
      <c r="D877" s="4" t="s">
        <v>35</v>
      </c>
      <c r="E877" s="4" t="s">
        <v>1562</v>
      </c>
      <c r="F877" s="10" t="s">
        <v>1393</v>
      </c>
      <c r="G877" s="4" t="s">
        <v>61</v>
      </c>
    </row>
    <row r="878" spans="2:7" ht="15.75" customHeight="1">
      <c r="B878" s="6">
        <f t="shared" si="49"/>
        <v>46183</v>
      </c>
      <c r="C878" s="4" t="s">
        <v>1394</v>
      </c>
      <c r="D878" s="4" t="s">
        <v>85</v>
      </c>
      <c r="E878" s="4" t="s">
        <v>1562</v>
      </c>
      <c r="F878" s="10" t="s">
        <v>1395</v>
      </c>
      <c r="G878" s="4" t="s">
        <v>25</v>
      </c>
    </row>
    <row r="879" spans="2:7" ht="15.75" customHeight="1">
      <c r="B879" s="6">
        <f t="shared" si="49"/>
        <v>46183</v>
      </c>
      <c r="C879" s="4" t="s">
        <v>167</v>
      </c>
      <c r="D879" s="4" t="s">
        <v>107</v>
      </c>
      <c r="E879" s="4" t="s">
        <v>1562</v>
      </c>
      <c r="F879" s="10" t="s">
        <v>1396</v>
      </c>
      <c r="G879" s="4" t="s">
        <v>61</v>
      </c>
    </row>
    <row r="880" spans="2:7" ht="15.75" customHeight="1">
      <c r="B880" s="6">
        <f t="shared" si="49"/>
        <v>46183</v>
      </c>
      <c r="C880" s="4" t="s">
        <v>20</v>
      </c>
      <c r="D880" s="4" t="s">
        <v>1397</v>
      </c>
      <c r="E880" s="4" t="s">
        <v>1562</v>
      </c>
      <c r="F880" s="4" t="s">
        <v>1398</v>
      </c>
      <c r="G880" s="4" t="s">
        <v>22</v>
      </c>
    </row>
    <row r="881" spans="2:7" ht="15.75" customHeight="1">
      <c r="B881" s="6">
        <f t="shared" si="49"/>
        <v>46183</v>
      </c>
      <c r="C881" s="4" t="s">
        <v>74</v>
      </c>
      <c r="D881" s="4" t="s">
        <v>9</v>
      </c>
      <c r="E881" s="4" t="s">
        <v>1562</v>
      </c>
      <c r="F881" s="10" t="s">
        <v>1399</v>
      </c>
      <c r="G881" s="4" t="s">
        <v>25</v>
      </c>
    </row>
    <row r="882" spans="2:7" ht="15.75" customHeight="1">
      <c r="B882" s="6">
        <f t="shared" si="49"/>
        <v>46183</v>
      </c>
      <c r="C882" s="4" t="s">
        <v>167</v>
      </c>
      <c r="D882" s="4" t="s">
        <v>35</v>
      </c>
      <c r="E882" s="4" t="s">
        <v>1562</v>
      </c>
      <c r="F882" s="10" t="s">
        <v>1400</v>
      </c>
      <c r="G882" s="4" t="s">
        <v>61</v>
      </c>
    </row>
    <row r="883" spans="2:7" ht="15.75" customHeight="1">
      <c r="B883" s="6">
        <f t="shared" si="49"/>
        <v>46183</v>
      </c>
      <c r="C883" s="4" t="s">
        <v>167</v>
      </c>
      <c r="D883" s="4" t="s">
        <v>107</v>
      </c>
      <c r="E883" s="4" t="s">
        <v>1562</v>
      </c>
      <c r="F883" s="10" t="s">
        <v>1401</v>
      </c>
      <c r="G883" s="4" t="s">
        <v>61</v>
      </c>
    </row>
    <row r="884" spans="2:7" ht="15.75" customHeight="1">
      <c r="B884" s="6">
        <f t="shared" si="49"/>
        <v>46183</v>
      </c>
      <c r="C884" s="4" t="s">
        <v>167</v>
      </c>
      <c r="D884" s="4" t="s">
        <v>85</v>
      </c>
      <c r="E884" s="4" t="s">
        <v>1562</v>
      </c>
      <c r="F884" s="10" t="s">
        <v>1402</v>
      </c>
      <c r="G884" s="4" t="s">
        <v>1236</v>
      </c>
    </row>
    <row r="885" spans="2:7" ht="15.75" customHeight="1">
      <c r="B885" s="3">
        <v>46184</v>
      </c>
      <c r="C885" s="4" t="s">
        <v>20</v>
      </c>
      <c r="D885" s="4" t="s">
        <v>33</v>
      </c>
      <c r="E885" s="4" t="s">
        <v>1561</v>
      </c>
      <c r="F885" s="10" t="s">
        <v>1403</v>
      </c>
      <c r="G885" s="4" t="s">
        <v>25</v>
      </c>
    </row>
    <row r="886" spans="2:7" ht="15.75" customHeight="1">
      <c r="B886" s="6">
        <f t="shared" ref="B886:B914" si="50">B885</f>
        <v>46184</v>
      </c>
      <c r="C886" s="4" t="s">
        <v>167</v>
      </c>
      <c r="D886" s="4" t="s">
        <v>33</v>
      </c>
      <c r="E886" s="4" t="s">
        <v>1561</v>
      </c>
      <c r="F886" s="10" t="s">
        <v>1404</v>
      </c>
      <c r="G886" s="4" t="s">
        <v>22</v>
      </c>
    </row>
    <row r="887" spans="2:7" ht="15.75" customHeight="1">
      <c r="B887" s="6">
        <f t="shared" si="50"/>
        <v>46184</v>
      </c>
      <c r="C887" s="4" t="s">
        <v>1072</v>
      </c>
      <c r="D887" s="4" t="s">
        <v>6</v>
      </c>
      <c r="E887" s="4" t="s">
        <v>1561</v>
      </c>
      <c r="F887" s="10" t="s">
        <v>1405</v>
      </c>
      <c r="G887" s="4" t="s">
        <v>61</v>
      </c>
    </row>
    <row r="888" spans="2:7" ht="15.75" customHeight="1">
      <c r="B888" s="6">
        <f t="shared" si="50"/>
        <v>46184</v>
      </c>
      <c r="C888" s="4" t="s">
        <v>1406</v>
      </c>
      <c r="D888" s="4" t="s">
        <v>29</v>
      </c>
      <c r="E888" s="4" t="s">
        <v>1561</v>
      </c>
      <c r="F888" s="10" t="s">
        <v>1407</v>
      </c>
      <c r="G888" s="4" t="s">
        <v>61</v>
      </c>
    </row>
    <row r="889" spans="2:7" ht="15.75" customHeight="1">
      <c r="B889" s="6">
        <f t="shared" si="50"/>
        <v>46184</v>
      </c>
      <c r="C889" s="4" t="s">
        <v>167</v>
      </c>
      <c r="D889" s="10" t="s">
        <v>1340</v>
      </c>
      <c r="E889" s="4" t="s">
        <v>1561</v>
      </c>
      <c r="F889" s="10" t="s">
        <v>1408</v>
      </c>
      <c r="G889" s="4" t="s">
        <v>1236</v>
      </c>
    </row>
    <row r="890" spans="2:7" ht="15.75" customHeight="1">
      <c r="B890" s="6">
        <f t="shared" si="50"/>
        <v>46184</v>
      </c>
      <c r="C890" s="4" t="s">
        <v>20</v>
      </c>
      <c r="D890" s="4" t="s">
        <v>33</v>
      </c>
      <c r="E890" s="4" t="s">
        <v>1561</v>
      </c>
      <c r="F890" s="10" t="s">
        <v>1409</v>
      </c>
      <c r="G890" s="4" t="s">
        <v>25</v>
      </c>
    </row>
    <row r="891" spans="2:7" ht="15.75" customHeight="1">
      <c r="B891" s="6">
        <f t="shared" si="50"/>
        <v>46184</v>
      </c>
      <c r="C891" s="4" t="s">
        <v>20</v>
      </c>
      <c r="D891" s="4" t="s">
        <v>1410</v>
      </c>
      <c r="E891" s="4" t="s">
        <v>1561</v>
      </c>
      <c r="F891" s="10" t="s">
        <v>1411</v>
      </c>
      <c r="G891" s="4" t="s">
        <v>25</v>
      </c>
    </row>
    <row r="892" spans="2:7" ht="15.75" customHeight="1">
      <c r="B892" s="6">
        <f t="shared" si="50"/>
        <v>46184</v>
      </c>
      <c r="C892" s="4" t="s">
        <v>74</v>
      </c>
      <c r="D892" s="4" t="s">
        <v>6</v>
      </c>
      <c r="E892" s="4" t="s">
        <v>1561</v>
      </c>
      <c r="F892" s="10" t="s">
        <v>1412</v>
      </c>
      <c r="G892" s="4" t="s">
        <v>61</v>
      </c>
    </row>
    <row r="893" spans="2:7" ht="15.75" customHeight="1">
      <c r="B893" s="6">
        <f t="shared" si="50"/>
        <v>46184</v>
      </c>
      <c r="C893" s="4" t="s">
        <v>240</v>
      </c>
      <c r="D893" s="4" t="s">
        <v>447</v>
      </c>
      <c r="E893" s="4" t="s">
        <v>1561</v>
      </c>
      <c r="F893" s="10" t="s">
        <v>1413</v>
      </c>
      <c r="G893" s="4" t="s">
        <v>25</v>
      </c>
    </row>
    <row r="894" spans="2:7" ht="15.75" customHeight="1">
      <c r="B894" s="6">
        <f t="shared" si="50"/>
        <v>46184</v>
      </c>
      <c r="C894" s="4" t="s">
        <v>20</v>
      </c>
      <c r="D894" s="4" t="s">
        <v>1414</v>
      </c>
      <c r="E894" s="4" t="s">
        <v>1561</v>
      </c>
      <c r="F894" s="10" t="s">
        <v>1415</v>
      </c>
      <c r="G894" s="4" t="s">
        <v>25</v>
      </c>
    </row>
    <row r="895" spans="2:7" ht="15.75" customHeight="1">
      <c r="B895" s="6">
        <f t="shared" si="50"/>
        <v>46184</v>
      </c>
      <c r="C895" s="4" t="s">
        <v>167</v>
      </c>
      <c r="D895" s="4" t="s">
        <v>35</v>
      </c>
      <c r="E895" s="4" t="s">
        <v>1561</v>
      </c>
      <c r="F895" s="10" t="s">
        <v>1416</v>
      </c>
      <c r="G895" s="4" t="s">
        <v>22</v>
      </c>
    </row>
    <row r="896" spans="2:7" ht="15.75" customHeight="1">
      <c r="B896" s="6">
        <f t="shared" si="50"/>
        <v>46184</v>
      </c>
      <c r="C896" s="4" t="s">
        <v>167</v>
      </c>
      <c r="D896" s="4" t="s">
        <v>6</v>
      </c>
      <c r="E896" s="4" t="s">
        <v>1561</v>
      </c>
      <c r="F896" s="10" t="s">
        <v>1370</v>
      </c>
      <c r="G896" s="4" t="s">
        <v>22</v>
      </c>
    </row>
    <row r="897" spans="2:7" ht="15.75" customHeight="1">
      <c r="B897" s="6">
        <f t="shared" si="50"/>
        <v>46184</v>
      </c>
      <c r="C897" s="4" t="s">
        <v>20</v>
      </c>
      <c r="D897" s="4" t="s">
        <v>33</v>
      </c>
      <c r="E897" s="4" t="s">
        <v>1561</v>
      </c>
      <c r="F897" s="10" t="s">
        <v>1417</v>
      </c>
      <c r="G897" s="4" t="s">
        <v>25</v>
      </c>
    </row>
    <row r="898" spans="2:7" ht="15.75" customHeight="1">
      <c r="B898" s="6">
        <f t="shared" si="50"/>
        <v>46184</v>
      </c>
      <c r="C898" s="4" t="s">
        <v>20</v>
      </c>
      <c r="D898" s="4" t="s">
        <v>67</v>
      </c>
      <c r="E898" s="4" t="s">
        <v>1561</v>
      </c>
      <c r="F898" s="10" t="s">
        <v>1418</v>
      </c>
      <c r="G898" s="4" t="s">
        <v>25</v>
      </c>
    </row>
    <row r="899" spans="2:7" ht="15.75" customHeight="1">
      <c r="B899" s="6">
        <f t="shared" si="50"/>
        <v>46184</v>
      </c>
      <c r="C899" s="4" t="s">
        <v>20</v>
      </c>
      <c r="D899" s="4" t="s">
        <v>913</v>
      </c>
      <c r="E899" s="4" t="s">
        <v>1561</v>
      </c>
      <c r="F899" s="10" t="s">
        <v>1419</v>
      </c>
      <c r="G899" s="4" t="s">
        <v>25</v>
      </c>
    </row>
    <row r="900" spans="2:7" ht="15.75" customHeight="1">
      <c r="B900" s="6">
        <f t="shared" si="50"/>
        <v>46184</v>
      </c>
      <c r="C900" s="4" t="s">
        <v>167</v>
      </c>
      <c r="D900" s="4" t="s">
        <v>35</v>
      </c>
      <c r="E900" s="4" t="s">
        <v>1561</v>
      </c>
      <c r="F900" s="10" t="s">
        <v>1420</v>
      </c>
      <c r="G900" s="4" t="s">
        <v>61</v>
      </c>
    </row>
    <row r="901" spans="2:7" ht="15.75" customHeight="1">
      <c r="B901" s="6">
        <f t="shared" si="50"/>
        <v>46184</v>
      </c>
      <c r="C901" s="4" t="s">
        <v>167</v>
      </c>
      <c r="D901" s="4" t="s">
        <v>133</v>
      </c>
      <c r="E901" s="4" t="s">
        <v>1561</v>
      </c>
      <c r="F901" s="10" t="s">
        <v>1421</v>
      </c>
      <c r="G901" s="4" t="s">
        <v>61</v>
      </c>
    </row>
    <row r="902" spans="2:7" ht="15.75" customHeight="1">
      <c r="B902" s="6">
        <f t="shared" si="50"/>
        <v>46184</v>
      </c>
      <c r="C902" s="4" t="s">
        <v>74</v>
      </c>
      <c r="D902" s="4" t="s">
        <v>33</v>
      </c>
      <c r="E902" s="4" t="s">
        <v>1561</v>
      </c>
      <c r="F902" s="10" t="s">
        <v>1422</v>
      </c>
      <c r="G902" s="4" t="s">
        <v>22</v>
      </c>
    </row>
    <row r="903" spans="2:7" ht="15.75" customHeight="1">
      <c r="B903" s="6">
        <f t="shared" si="50"/>
        <v>46184</v>
      </c>
      <c r="C903" s="4" t="s">
        <v>20</v>
      </c>
      <c r="D903" s="4" t="s">
        <v>35</v>
      </c>
      <c r="E903" s="4" t="s">
        <v>1561</v>
      </c>
      <c r="F903" s="10" t="s">
        <v>1423</v>
      </c>
      <c r="G903" s="4" t="s">
        <v>61</v>
      </c>
    </row>
    <row r="904" spans="2:7" ht="15.75" customHeight="1">
      <c r="B904" s="6">
        <f t="shared" si="50"/>
        <v>46184</v>
      </c>
      <c r="C904" s="4" t="s">
        <v>20</v>
      </c>
      <c r="D904" s="4" t="s">
        <v>33</v>
      </c>
      <c r="E904" s="4" t="s">
        <v>1561</v>
      </c>
      <c r="F904" s="10" t="s">
        <v>1248</v>
      </c>
      <c r="G904" s="4" t="s">
        <v>25</v>
      </c>
    </row>
    <row r="905" spans="2:7" ht="15.75" customHeight="1">
      <c r="B905" s="6">
        <f t="shared" si="50"/>
        <v>46184</v>
      </c>
      <c r="C905" s="4" t="s">
        <v>167</v>
      </c>
      <c r="D905" s="4" t="s">
        <v>9</v>
      </c>
      <c r="E905" s="4" t="s">
        <v>1561</v>
      </c>
      <c r="F905" s="10" t="s">
        <v>1424</v>
      </c>
      <c r="G905" s="4" t="s">
        <v>362</v>
      </c>
    </row>
    <row r="906" spans="2:7" ht="15.75" customHeight="1">
      <c r="B906" s="6">
        <f t="shared" si="50"/>
        <v>46184</v>
      </c>
      <c r="C906" s="4" t="s">
        <v>20</v>
      </c>
      <c r="D906" s="4" t="s">
        <v>53</v>
      </c>
      <c r="E906" s="4" t="s">
        <v>1561</v>
      </c>
      <c r="F906" s="10" t="s">
        <v>652</v>
      </c>
      <c r="G906" s="4" t="s">
        <v>22</v>
      </c>
    </row>
    <row r="907" spans="2:7" ht="15.75" customHeight="1">
      <c r="B907" s="6">
        <f t="shared" si="50"/>
        <v>46184</v>
      </c>
      <c r="C907" s="4" t="s">
        <v>20</v>
      </c>
      <c r="D907" s="4" t="s">
        <v>72</v>
      </c>
      <c r="E907" s="4" t="s">
        <v>1561</v>
      </c>
      <c r="F907" s="10" t="s">
        <v>1425</v>
      </c>
      <c r="G907" s="4" t="s">
        <v>25</v>
      </c>
    </row>
    <row r="908" spans="2:7" ht="15.75" customHeight="1">
      <c r="B908" s="6">
        <f t="shared" si="50"/>
        <v>46184</v>
      </c>
      <c r="C908" s="4" t="s">
        <v>20</v>
      </c>
      <c r="D908" s="4" t="s">
        <v>204</v>
      </c>
      <c r="E908" s="4" t="s">
        <v>1561</v>
      </c>
      <c r="F908" s="10" t="s">
        <v>1426</v>
      </c>
      <c r="G908" s="4" t="s">
        <v>25</v>
      </c>
    </row>
    <row r="909" spans="2:7" ht="15.75" customHeight="1">
      <c r="B909" s="6">
        <f t="shared" si="50"/>
        <v>46184</v>
      </c>
      <c r="C909" s="4" t="s">
        <v>20</v>
      </c>
      <c r="D909" s="4" t="s">
        <v>9</v>
      </c>
      <c r="E909" s="4" t="s">
        <v>1561</v>
      </c>
      <c r="F909" s="10" t="s">
        <v>1248</v>
      </c>
      <c r="G909" s="4" t="s">
        <v>25</v>
      </c>
    </row>
    <row r="910" spans="2:7" ht="15.75" customHeight="1">
      <c r="B910" s="6">
        <f t="shared" si="50"/>
        <v>46184</v>
      </c>
      <c r="C910" s="4" t="s">
        <v>74</v>
      </c>
      <c r="D910" s="4" t="s">
        <v>67</v>
      </c>
      <c r="E910" s="4" t="s">
        <v>1561</v>
      </c>
      <c r="F910" s="10" t="s">
        <v>1427</v>
      </c>
      <c r="G910" s="4" t="s">
        <v>22</v>
      </c>
    </row>
    <row r="911" spans="2:7" ht="15.75" customHeight="1">
      <c r="B911" s="6">
        <f t="shared" si="50"/>
        <v>46184</v>
      </c>
      <c r="C911" s="4" t="s">
        <v>20</v>
      </c>
      <c r="D911" s="4" t="s">
        <v>753</v>
      </c>
      <c r="E911" s="4" t="s">
        <v>1561</v>
      </c>
      <c r="F911" s="10" t="s">
        <v>615</v>
      </c>
      <c r="G911" s="4" t="s">
        <v>22</v>
      </c>
    </row>
    <row r="912" spans="2:7" ht="15.75" customHeight="1">
      <c r="B912" s="6">
        <f t="shared" si="50"/>
        <v>46184</v>
      </c>
      <c r="C912" s="4" t="s">
        <v>74</v>
      </c>
      <c r="D912" s="4" t="s">
        <v>9</v>
      </c>
      <c r="E912" s="4" t="s">
        <v>1561</v>
      </c>
      <c r="F912" s="10" t="s">
        <v>1428</v>
      </c>
      <c r="G912" s="4" t="s">
        <v>25</v>
      </c>
    </row>
    <row r="913" spans="2:7" ht="15.75" customHeight="1">
      <c r="B913" s="6">
        <f t="shared" si="50"/>
        <v>46184</v>
      </c>
      <c r="C913" s="4" t="s">
        <v>74</v>
      </c>
      <c r="D913" s="4" t="s">
        <v>72</v>
      </c>
      <c r="E913" s="4" t="s">
        <v>1561</v>
      </c>
      <c r="F913" s="19" t="s">
        <v>1429</v>
      </c>
      <c r="G913" s="4" t="s">
        <v>25</v>
      </c>
    </row>
    <row r="914" spans="2:7" ht="15.75" customHeight="1">
      <c r="B914" s="6">
        <f t="shared" si="50"/>
        <v>46184</v>
      </c>
      <c r="C914" s="4" t="s">
        <v>20</v>
      </c>
      <c r="D914" s="4" t="s">
        <v>67</v>
      </c>
      <c r="E914" s="4" t="s">
        <v>1561</v>
      </c>
      <c r="F914" s="10" t="s">
        <v>1430</v>
      </c>
      <c r="G914" s="4" t="s">
        <v>25</v>
      </c>
    </row>
    <row r="915" spans="2:7" ht="15.75" customHeight="1">
      <c r="B915" s="3">
        <v>46185</v>
      </c>
      <c r="C915" s="16" t="s">
        <v>1431</v>
      </c>
      <c r="D915" s="4" t="s">
        <v>35</v>
      </c>
      <c r="E915" s="4" t="s">
        <v>1561</v>
      </c>
      <c r="F915" s="4" t="s">
        <v>237</v>
      </c>
      <c r="G915" s="4" t="s">
        <v>42</v>
      </c>
    </row>
    <row r="916" spans="2:7" ht="15.75" customHeight="1">
      <c r="B916" s="6">
        <f>B915</f>
        <v>46185</v>
      </c>
      <c r="C916" s="4" t="s">
        <v>1432</v>
      </c>
      <c r="D916" s="4" t="s">
        <v>35</v>
      </c>
      <c r="E916" s="4" t="s">
        <v>1561</v>
      </c>
      <c r="F916" s="4" t="s">
        <v>1433</v>
      </c>
      <c r="G916" s="4" t="s">
        <v>42</v>
      </c>
    </row>
    <row r="917" spans="2:7" ht="15.75" customHeight="1">
      <c r="B917" s="3">
        <v>46186</v>
      </c>
      <c r="C917" s="16" t="s">
        <v>1434</v>
      </c>
      <c r="D917" s="4" t="s">
        <v>133</v>
      </c>
      <c r="E917" s="4" t="s">
        <v>1561</v>
      </c>
      <c r="F917" s="4" t="s">
        <v>1435</v>
      </c>
      <c r="G917" s="4" t="s">
        <v>22</v>
      </c>
    </row>
    <row r="918" spans="2:7" ht="15.75" customHeight="1">
      <c r="B918" s="6">
        <f>B917</f>
        <v>46186</v>
      </c>
      <c r="C918" s="4" t="s">
        <v>1436</v>
      </c>
      <c r="D918" s="4" t="s">
        <v>35</v>
      </c>
      <c r="E918" s="4" t="s">
        <v>1561</v>
      </c>
      <c r="F918" s="4" t="s">
        <v>1437</v>
      </c>
      <c r="G918" s="4" t="s">
        <v>42</v>
      </c>
    </row>
    <row r="919" spans="2:7" ht="15.75" customHeight="1">
      <c r="B919" s="3">
        <v>46189</v>
      </c>
      <c r="C919" s="16" t="s">
        <v>1438</v>
      </c>
      <c r="D919" s="4" t="s">
        <v>16</v>
      </c>
      <c r="E919" s="4" t="s">
        <v>1561</v>
      </c>
      <c r="F919" s="4" t="s">
        <v>1439</v>
      </c>
      <c r="G919" s="4" t="s">
        <v>42</v>
      </c>
    </row>
    <row r="920" spans="2:7" ht="15.75" customHeight="1">
      <c r="B920" s="6">
        <f>B919</f>
        <v>46189</v>
      </c>
      <c r="C920" s="4" t="s">
        <v>1440</v>
      </c>
      <c r="D920" s="4" t="s">
        <v>376</v>
      </c>
      <c r="E920" s="4" t="s">
        <v>1561</v>
      </c>
      <c r="F920" s="4" t="s">
        <v>1441</v>
      </c>
      <c r="G920" s="4" t="s">
        <v>42</v>
      </c>
    </row>
    <row r="921" spans="2:7" ht="15.75" customHeight="1">
      <c r="B921" s="3">
        <v>46190</v>
      </c>
      <c r="C921" s="16" t="s">
        <v>26</v>
      </c>
      <c r="D921" s="4" t="s">
        <v>1123</v>
      </c>
      <c r="E921" s="4" t="s">
        <v>1561</v>
      </c>
      <c r="F921" s="4" t="s">
        <v>1442</v>
      </c>
      <c r="G921" s="4" t="s">
        <v>22</v>
      </c>
    </row>
    <row r="922" spans="2:7" ht="15.75" customHeight="1">
      <c r="B922" s="6">
        <f>B921</f>
        <v>46190</v>
      </c>
      <c r="C922" s="4" t="s">
        <v>1443</v>
      </c>
      <c r="D922" s="4" t="s">
        <v>561</v>
      </c>
      <c r="E922" s="4" t="s">
        <v>1561</v>
      </c>
      <c r="F922" s="4" t="s">
        <v>1444</v>
      </c>
      <c r="G922" s="4" t="s">
        <v>42</v>
      </c>
    </row>
    <row r="923" spans="2:7" ht="15.75" customHeight="1">
      <c r="B923" s="3">
        <v>46191</v>
      </c>
      <c r="C923" s="7" t="s">
        <v>249</v>
      </c>
      <c r="D923" s="7" t="s">
        <v>12</v>
      </c>
      <c r="E923" s="4" t="s">
        <v>1561</v>
      </c>
      <c r="F923" s="7" t="s">
        <v>1445</v>
      </c>
      <c r="G923" s="7" t="s">
        <v>25</v>
      </c>
    </row>
    <row r="924" spans="2:7" ht="15.75" customHeight="1">
      <c r="B924" s="6">
        <f t="shared" ref="B924:B950" si="51">B923</f>
        <v>46191</v>
      </c>
      <c r="C924" s="7" t="s">
        <v>249</v>
      </c>
      <c r="D924" s="4" t="s">
        <v>343</v>
      </c>
      <c r="E924" s="4" t="s">
        <v>1561</v>
      </c>
      <c r="F924" s="4" t="s">
        <v>1446</v>
      </c>
      <c r="G924" s="4" t="s">
        <v>25</v>
      </c>
    </row>
    <row r="925" spans="2:7" ht="15.75" customHeight="1">
      <c r="B925" s="6">
        <f t="shared" si="51"/>
        <v>46191</v>
      </c>
      <c r="C925" s="7" t="s">
        <v>249</v>
      </c>
      <c r="D925" s="4" t="s">
        <v>901</v>
      </c>
      <c r="E925" s="4" t="s">
        <v>1561</v>
      </c>
      <c r="F925" s="4" t="s">
        <v>1447</v>
      </c>
      <c r="G925" s="4" t="s">
        <v>22</v>
      </c>
    </row>
    <row r="926" spans="2:7" ht="15.75" customHeight="1">
      <c r="B926" s="6">
        <f t="shared" si="51"/>
        <v>46191</v>
      </c>
      <c r="C926" s="7" t="s">
        <v>249</v>
      </c>
      <c r="D926" s="4" t="s">
        <v>204</v>
      </c>
      <c r="E926" s="4" t="s">
        <v>1561</v>
      </c>
      <c r="F926" s="4" t="s">
        <v>1318</v>
      </c>
      <c r="G926" s="4" t="s">
        <v>25</v>
      </c>
    </row>
    <row r="927" spans="2:7" ht="15.75" customHeight="1">
      <c r="B927" s="6">
        <f t="shared" si="51"/>
        <v>46191</v>
      </c>
      <c r="C927" s="7" t="s">
        <v>249</v>
      </c>
      <c r="D927" s="4" t="s">
        <v>35</v>
      </c>
      <c r="E927" s="4" t="s">
        <v>1561</v>
      </c>
      <c r="F927" s="4" t="s">
        <v>1448</v>
      </c>
      <c r="G927" s="4" t="s">
        <v>25</v>
      </c>
    </row>
    <row r="928" spans="2:7" ht="15.75" customHeight="1">
      <c r="B928" s="6">
        <f t="shared" si="51"/>
        <v>46191</v>
      </c>
      <c r="C928" s="7" t="s">
        <v>249</v>
      </c>
      <c r="D928" s="4" t="s">
        <v>901</v>
      </c>
      <c r="E928" s="4" t="s">
        <v>1561</v>
      </c>
      <c r="F928" s="4" t="s">
        <v>1449</v>
      </c>
      <c r="G928" s="4" t="s">
        <v>22</v>
      </c>
    </row>
    <row r="929" spans="2:7" ht="15.75" customHeight="1">
      <c r="B929" s="6">
        <f t="shared" si="51"/>
        <v>46191</v>
      </c>
      <c r="C929" s="4" t="s">
        <v>167</v>
      </c>
      <c r="D929" s="4" t="s">
        <v>29</v>
      </c>
      <c r="E929" s="4" t="s">
        <v>1561</v>
      </c>
      <c r="F929" s="4" t="s">
        <v>1450</v>
      </c>
      <c r="G929" s="4" t="s">
        <v>22</v>
      </c>
    </row>
    <row r="930" spans="2:7" ht="15.75" customHeight="1">
      <c r="B930" s="6">
        <f t="shared" si="51"/>
        <v>46191</v>
      </c>
      <c r="C930" s="7" t="s">
        <v>249</v>
      </c>
      <c r="D930" s="4" t="s">
        <v>85</v>
      </c>
      <c r="E930" s="4" t="s">
        <v>1561</v>
      </c>
      <c r="F930" s="10" t="s">
        <v>1451</v>
      </c>
      <c r="G930" s="4" t="s">
        <v>25</v>
      </c>
    </row>
    <row r="931" spans="2:7" ht="15.75" customHeight="1">
      <c r="B931" s="6">
        <f t="shared" si="51"/>
        <v>46191</v>
      </c>
      <c r="C931" s="4" t="s">
        <v>249</v>
      </c>
      <c r="D931" s="4" t="s">
        <v>35</v>
      </c>
      <c r="E931" s="4" t="s">
        <v>1561</v>
      </c>
      <c r="F931" s="10" t="s">
        <v>1452</v>
      </c>
      <c r="G931" s="4" t="s">
        <v>61</v>
      </c>
    </row>
    <row r="932" spans="2:7" ht="15.75" customHeight="1">
      <c r="B932" s="6">
        <f t="shared" si="51"/>
        <v>46191</v>
      </c>
      <c r="C932" s="4" t="s">
        <v>167</v>
      </c>
      <c r="D932" s="4" t="s">
        <v>33</v>
      </c>
      <c r="E932" s="4" t="s">
        <v>1561</v>
      </c>
      <c r="F932" s="10" t="s">
        <v>1453</v>
      </c>
      <c r="G932" s="4" t="s">
        <v>22</v>
      </c>
    </row>
    <row r="933" spans="2:7" ht="15.75" customHeight="1">
      <c r="B933" s="6">
        <f t="shared" si="51"/>
        <v>46191</v>
      </c>
      <c r="C933" s="4" t="s">
        <v>167</v>
      </c>
      <c r="D933" s="4" t="s">
        <v>1454</v>
      </c>
      <c r="E933" s="4" t="s">
        <v>1561</v>
      </c>
      <c r="F933" s="10" t="s">
        <v>1455</v>
      </c>
      <c r="G933" s="4" t="s">
        <v>22</v>
      </c>
    </row>
    <row r="934" spans="2:7" ht="15.75" customHeight="1">
      <c r="B934" s="6">
        <f t="shared" si="51"/>
        <v>46191</v>
      </c>
      <c r="C934" s="4" t="s">
        <v>249</v>
      </c>
      <c r="D934" s="4" t="s">
        <v>35</v>
      </c>
      <c r="E934" s="4" t="s">
        <v>1561</v>
      </c>
      <c r="F934" s="10" t="s">
        <v>573</v>
      </c>
      <c r="G934" s="4" t="s">
        <v>61</v>
      </c>
    </row>
    <row r="935" spans="2:7" ht="15.75" customHeight="1">
      <c r="B935" s="6">
        <f t="shared" si="51"/>
        <v>46191</v>
      </c>
      <c r="C935" s="4" t="s">
        <v>74</v>
      </c>
      <c r="D935" s="4" t="s">
        <v>6</v>
      </c>
      <c r="E935" s="4" t="s">
        <v>1561</v>
      </c>
      <c r="F935" s="10" t="s">
        <v>1456</v>
      </c>
      <c r="G935" s="4" t="s">
        <v>61</v>
      </c>
    </row>
    <row r="936" spans="2:7" ht="15.75" customHeight="1">
      <c r="B936" s="6">
        <f t="shared" si="51"/>
        <v>46191</v>
      </c>
      <c r="C936" s="4" t="s">
        <v>249</v>
      </c>
      <c r="D936" s="4" t="s">
        <v>33</v>
      </c>
      <c r="E936" s="4" t="s">
        <v>1561</v>
      </c>
      <c r="F936" s="10" t="s">
        <v>1418</v>
      </c>
      <c r="G936" s="4" t="s">
        <v>25</v>
      </c>
    </row>
    <row r="937" spans="2:7" ht="15.75" customHeight="1">
      <c r="B937" s="6">
        <f t="shared" si="51"/>
        <v>46191</v>
      </c>
      <c r="C937" s="4" t="s">
        <v>249</v>
      </c>
      <c r="D937" s="4" t="s">
        <v>158</v>
      </c>
      <c r="E937" s="4" t="s">
        <v>1561</v>
      </c>
      <c r="F937" s="10" t="s">
        <v>1457</v>
      </c>
      <c r="G937" s="4" t="s">
        <v>22</v>
      </c>
    </row>
    <row r="938" spans="2:7" ht="15.75" customHeight="1">
      <c r="B938" s="6">
        <f t="shared" si="51"/>
        <v>46191</v>
      </c>
      <c r="C938" s="4" t="s">
        <v>249</v>
      </c>
      <c r="D938" s="4" t="s">
        <v>9</v>
      </c>
      <c r="E938" s="4" t="s">
        <v>1561</v>
      </c>
      <c r="F938" s="10" t="s">
        <v>1458</v>
      </c>
      <c r="G938" s="4" t="s">
        <v>25</v>
      </c>
    </row>
    <row r="939" spans="2:7" ht="15.75" customHeight="1">
      <c r="B939" s="6">
        <f t="shared" si="51"/>
        <v>46191</v>
      </c>
      <c r="C939" s="4" t="s">
        <v>167</v>
      </c>
      <c r="D939" s="4" t="s">
        <v>33</v>
      </c>
      <c r="E939" s="4" t="s">
        <v>1561</v>
      </c>
      <c r="F939" s="10" t="s">
        <v>932</v>
      </c>
      <c r="G939" s="4" t="s">
        <v>22</v>
      </c>
    </row>
    <row r="940" spans="2:7" ht="15.75" customHeight="1">
      <c r="B940" s="6">
        <f t="shared" si="51"/>
        <v>46191</v>
      </c>
      <c r="C940" s="4" t="s">
        <v>249</v>
      </c>
      <c r="D940" s="4" t="s">
        <v>9</v>
      </c>
      <c r="E940" s="4" t="s">
        <v>1561</v>
      </c>
      <c r="F940" s="10" t="s">
        <v>1459</v>
      </c>
      <c r="G940" s="4" t="s">
        <v>25</v>
      </c>
    </row>
    <row r="941" spans="2:7" ht="15.75" customHeight="1">
      <c r="B941" s="6">
        <f t="shared" si="51"/>
        <v>46191</v>
      </c>
      <c r="C941" s="4" t="s">
        <v>249</v>
      </c>
      <c r="D941" s="4" t="s">
        <v>16</v>
      </c>
      <c r="E941" s="4" t="s">
        <v>1561</v>
      </c>
      <c r="F941" s="10" t="s">
        <v>1460</v>
      </c>
      <c r="G941" s="4" t="s">
        <v>25</v>
      </c>
    </row>
    <row r="942" spans="2:7" ht="15.75" customHeight="1">
      <c r="B942" s="6">
        <f t="shared" si="51"/>
        <v>46191</v>
      </c>
      <c r="C942" s="4" t="s">
        <v>249</v>
      </c>
      <c r="D942" s="4" t="s">
        <v>9</v>
      </c>
      <c r="E942" s="4" t="s">
        <v>1561</v>
      </c>
      <c r="F942" s="10" t="s">
        <v>1461</v>
      </c>
      <c r="G942" s="4" t="s">
        <v>25</v>
      </c>
    </row>
    <row r="943" spans="2:7" ht="15.75" customHeight="1">
      <c r="B943" s="6">
        <f t="shared" si="51"/>
        <v>46191</v>
      </c>
      <c r="C943" s="4" t="s">
        <v>249</v>
      </c>
      <c r="D943" s="4" t="s">
        <v>901</v>
      </c>
      <c r="E943" s="4" t="s">
        <v>1561</v>
      </c>
      <c r="F943" s="10" t="s">
        <v>1462</v>
      </c>
      <c r="G943" s="4" t="s">
        <v>61</v>
      </c>
    </row>
    <row r="944" spans="2:7" ht="15.75" customHeight="1">
      <c r="B944" s="6">
        <f t="shared" si="51"/>
        <v>46191</v>
      </c>
      <c r="C944" s="4" t="s">
        <v>249</v>
      </c>
      <c r="D944" s="4" t="s">
        <v>392</v>
      </c>
      <c r="E944" s="4" t="s">
        <v>1561</v>
      </c>
      <c r="F944" s="10" t="s">
        <v>1463</v>
      </c>
      <c r="G944" s="4" t="s">
        <v>22</v>
      </c>
    </row>
    <row r="945" spans="2:7" ht="15.75" customHeight="1">
      <c r="B945" s="6">
        <f t="shared" si="51"/>
        <v>46191</v>
      </c>
      <c r="C945" s="4" t="s">
        <v>249</v>
      </c>
      <c r="D945" s="4" t="s">
        <v>35</v>
      </c>
      <c r="E945" s="4" t="s">
        <v>1561</v>
      </c>
      <c r="F945" s="10" t="s">
        <v>1464</v>
      </c>
      <c r="G945" s="4" t="s">
        <v>25</v>
      </c>
    </row>
    <row r="946" spans="2:7" ht="15.75" customHeight="1">
      <c r="B946" s="6">
        <f t="shared" si="51"/>
        <v>46191</v>
      </c>
      <c r="C946" s="4" t="s">
        <v>249</v>
      </c>
      <c r="D946" s="4" t="s">
        <v>35</v>
      </c>
      <c r="E946" s="4" t="s">
        <v>1561</v>
      </c>
      <c r="F946" s="10" t="s">
        <v>1465</v>
      </c>
      <c r="G946" s="4" t="s">
        <v>61</v>
      </c>
    </row>
    <row r="947" spans="2:7" ht="15.75" customHeight="1">
      <c r="B947" s="6">
        <f t="shared" si="51"/>
        <v>46191</v>
      </c>
      <c r="C947" s="4" t="s">
        <v>1466</v>
      </c>
      <c r="D947" s="4" t="s">
        <v>356</v>
      </c>
      <c r="E947" s="4" t="s">
        <v>1561</v>
      </c>
      <c r="F947" s="4" t="s">
        <v>1467</v>
      </c>
      <c r="G947" s="4" t="s">
        <v>25</v>
      </c>
    </row>
    <row r="948" spans="2:7" ht="15.75" customHeight="1">
      <c r="B948" s="6">
        <f t="shared" si="51"/>
        <v>46191</v>
      </c>
      <c r="C948" s="4" t="s">
        <v>1468</v>
      </c>
      <c r="D948" s="4" t="s">
        <v>1469</v>
      </c>
      <c r="E948" s="4" t="s">
        <v>1561</v>
      </c>
      <c r="F948" s="4" t="s">
        <v>1470</v>
      </c>
      <c r="G948" s="4" t="s">
        <v>25</v>
      </c>
    </row>
    <row r="949" spans="2:7" ht="15.75" customHeight="1">
      <c r="B949" s="6">
        <f t="shared" si="51"/>
        <v>46191</v>
      </c>
      <c r="C949" s="4" t="s">
        <v>1471</v>
      </c>
      <c r="D949" s="4" t="s">
        <v>1472</v>
      </c>
      <c r="E949" s="4" t="s">
        <v>1561</v>
      </c>
      <c r="F949" s="4" t="s">
        <v>1473</v>
      </c>
      <c r="G949" s="4" t="s">
        <v>25</v>
      </c>
    </row>
    <row r="950" spans="2:7" ht="15.75" customHeight="1">
      <c r="B950" s="6">
        <f t="shared" si="51"/>
        <v>46191</v>
      </c>
      <c r="C950" s="4" t="s">
        <v>1474</v>
      </c>
      <c r="D950" s="4" t="s">
        <v>1475</v>
      </c>
      <c r="E950" s="4" t="s">
        <v>1561</v>
      </c>
      <c r="F950" s="4" t="s">
        <v>1476</v>
      </c>
      <c r="G950" s="4" t="s">
        <v>25</v>
      </c>
    </row>
    <row r="951" spans="2:7" ht="15.75" customHeight="1">
      <c r="B951" s="3">
        <v>46193</v>
      </c>
      <c r="C951" s="4" t="s">
        <v>26</v>
      </c>
      <c r="D951" s="4" t="s">
        <v>385</v>
      </c>
      <c r="E951" s="4" t="s">
        <v>1561</v>
      </c>
      <c r="F951" s="4" t="s">
        <v>1477</v>
      </c>
      <c r="G951" s="4" t="s">
        <v>1478</v>
      </c>
    </row>
    <row r="952" spans="2:7" ht="15.75" customHeight="1">
      <c r="B952" s="15">
        <v>46194</v>
      </c>
      <c r="C952" s="16" t="s">
        <v>1479</v>
      </c>
      <c r="D952" s="4" t="s">
        <v>376</v>
      </c>
      <c r="E952" s="4" t="s">
        <v>1561</v>
      </c>
      <c r="F952" s="4" t="s">
        <v>1480</v>
      </c>
      <c r="G952" s="4" t="s">
        <v>14</v>
      </c>
    </row>
    <row r="953" spans="2:7" ht="15.75" customHeight="1">
      <c r="B953" s="6">
        <f>B952</f>
        <v>46194</v>
      </c>
      <c r="C953" s="4" t="s">
        <v>1481</v>
      </c>
      <c r="D953" s="4" t="s">
        <v>376</v>
      </c>
      <c r="E953" s="4" t="s">
        <v>1561</v>
      </c>
      <c r="F953" s="4" t="s">
        <v>1482</v>
      </c>
      <c r="G953" s="4" t="s">
        <v>42</v>
      </c>
    </row>
    <row r="954" spans="2:7" ht="15.75" customHeight="1">
      <c r="B954" s="3">
        <v>46195</v>
      </c>
      <c r="C954" s="16" t="s">
        <v>1483</v>
      </c>
      <c r="D954" s="4" t="s">
        <v>33</v>
      </c>
      <c r="E954" s="4" t="s">
        <v>1561</v>
      </c>
      <c r="F954" s="4" t="s">
        <v>1484</v>
      </c>
      <c r="G954" s="4" t="s">
        <v>42</v>
      </c>
    </row>
    <row r="955" spans="2:7" ht="15.75" customHeight="1">
      <c r="B955" s="6">
        <f t="shared" ref="B955:B968" si="52">B954</f>
        <v>46195</v>
      </c>
      <c r="C955" s="4" t="s">
        <v>1485</v>
      </c>
      <c r="D955" s="4" t="s">
        <v>244</v>
      </c>
      <c r="E955" s="4" t="s">
        <v>1561</v>
      </c>
      <c r="F955" s="4" t="s">
        <v>1486</v>
      </c>
      <c r="G955" s="4" t="s">
        <v>42</v>
      </c>
    </row>
    <row r="956" spans="2:7" ht="15.75" customHeight="1">
      <c r="B956" s="6">
        <f t="shared" si="52"/>
        <v>46195</v>
      </c>
      <c r="C956" s="4" t="s">
        <v>1487</v>
      </c>
      <c r="D956" s="4" t="s">
        <v>53</v>
      </c>
      <c r="E956" s="4" t="s">
        <v>1561</v>
      </c>
      <c r="F956" s="4" t="s">
        <v>1488</v>
      </c>
      <c r="G956" s="4" t="s">
        <v>42</v>
      </c>
    </row>
    <row r="957" spans="2:7" ht="15.75" customHeight="1">
      <c r="B957" s="6">
        <f t="shared" si="52"/>
        <v>46195</v>
      </c>
      <c r="C957" s="4" t="s">
        <v>1489</v>
      </c>
      <c r="D957" s="4" t="s">
        <v>1123</v>
      </c>
      <c r="E957" s="4" t="s">
        <v>1561</v>
      </c>
      <c r="F957" s="4" t="s">
        <v>1490</v>
      </c>
      <c r="G957" s="4" t="s">
        <v>42</v>
      </c>
    </row>
    <row r="958" spans="2:7" ht="15.75" customHeight="1">
      <c r="B958" s="6">
        <f t="shared" si="52"/>
        <v>46195</v>
      </c>
      <c r="C958" s="4" t="s">
        <v>26</v>
      </c>
      <c r="D958" s="4" t="s">
        <v>252</v>
      </c>
      <c r="E958" s="4" t="s">
        <v>1561</v>
      </c>
      <c r="F958" s="4" t="s">
        <v>1491</v>
      </c>
      <c r="G958" s="4" t="s">
        <v>14</v>
      </c>
    </row>
    <row r="959" spans="2:7" ht="15.75" customHeight="1">
      <c r="B959" s="6">
        <f t="shared" si="52"/>
        <v>46195</v>
      </c>
      <c r="C959" s="4" t="s">
        <v>20</v>
      </c>
      <c r="D959" s="4" t="s">
        <v>35</v>
      </c>
      <c r="E959" s="4" t="s">
        <v>1561</v>
      </c>
      <c r="F959" s="10" t="s">
        <v>1492</v>
      </c>
      <c r="G959" s="4" t="s">
        <v>14</v>
      </c>
    </row>
    <row r="960" spans="2:7" ht="15.75" customHeight="1">
      <c r="B960" s="6">
        <f t="shared" si="52"/>
        <v>46195</v>
      </c>
      <c r="C960" s="4" t="s">
        <v>167</v>
      </c>
      <c r="D960" s="4" t="s">
        <v>33</v>
      </c>
      <c r="E960" s="4" t="s">
        <v>1561</v>
      </c>
      <c r="F960" s="10" t="s">
        <v>1493</v>
      </c>
      <c r="G960" s="4" t="s">
        <v>14</v>
      </c>
    </row>
    <row r="961" spans="2:7" ht="15.75" customHeight="1">
      <c r="B961" s="6">
        <f t="shared" si="52"/>
        <v>46195</v>
      </c>
      <c r="C961" s="4" t="s">
        <v>74</v>
      </c>
      <c r="D961" s="4" t="s">
        <v>67</v>
      </c>
      <c r="E961" s="4" t="s">
        <v>1561</v>
      </c>
      <c r="F961" s="10" t="s">
        <v>1494</v>
      </c>
      <c r="G961" s="4" t="s">
        <v>42</v>
      </c>
    </row>
    <row r="962" spans="2:7" ht="15.75" customHeight="1">
      <c r="B962" s="6">
        <f t="shared" si="52"/>
        <v>46195</v>
      </c>
      <c r="C962" s="4" t="s">
        <v>74</v>
      </c>
      <c r="D962" s="4" t="s">
        <v>1495</v>
      </c>
      <c r="E962" s="4" t="s">
        <v>1561</v>
      </c>
      <c r="F962" s="10" t="s">
        <v>1496</v>
      </c>
      <c r="G962" s="4" t="s">
        <v>42</v>
      </c>
    </row>
    <row r="963" spans="2:7" ht="15.75" customHeight="1">
      <c r="B963" s="6">
        <f t="shared" si="52"/>
        <v>46195</v>
      </c>
      <c r="C963" s="4" t="s">
        <v>74</v>
      </c>
      <c r="D963" s="4" t="s">
        <v>1495</v>
      </c>
      <c r="E963" s="4" t="s">
        <v>1561</v>
      </c>
      <c r="F963" s="10" t="s">
        <v>1497</v>
      </c>
      <c r="G963" s="4" t="s">
        <v>42</v>
      </c>
    </row>
    <row r="964" spans="2:7" ht="15.75" customHeight="1">
      <c r="B964" s="6">
        <f t="shared" si="52"/>
        <v>46195</v>
      </c>
      <c r="C964" s="4" t="s">
        <v>167</v>
      </c>
      <c r="D964" s="4" t="s">
        <v>447</v>
      </c>
      <c r="E964" s="4" t="s">
        <v>1561</v>
      </c>
      <c r="F964" s="10" t="s">
        <v>1498</v>
      </c>
      <c r="G964" s="4" t="s">
        <v>14</v>
      </c>
    </row>
    <row r="965" spans="2:7" ht="15.75" customHeight="1">
      <c r="B965" s="6">
        <f t="shared" si="52"/>
        <v>46195</v>
      </c>
      <c r="C965" s="4" t="s">
        <v>20</v>
      </c>
      <c r="D965" s="4" t="s">
        <v>35</v>
      </c>
      <c r="E965" s="4" t="s">
        <v>1561</v>
      </c>
      <c r="F965" s="10" t="s">
        <v>1499</v>
      </c>
      <c r="G965" s="4" t="s">
        <v>42</v>
      </c>
    </row>
    <row r="966" spans="2:7" ht="15.75" customHeight="1">
      <c r="B966" s="6">
        <f t="shared" si="52"/>
        <v>46195</v>
      </c>
      <c r="C966" s="4" t="s">
        <v>167</v>
      </c>
      <c r="D966" s="4" t="s">
        <v>35</v>
      </c>
      <c r="E966" s="4" t="s">
        <v>1561</v>
      </c>
      <c r="F966" s="10" t="s">
        <v>1500</v>
      </c>
      <c r="G966" s="4" t="s">
        <v>14</v>
      </c>
    </row>
    <row r="967" spans="2:7" ht="15.75" customHeight="1">
      <c r="B967" s="6">
        <f t="shared" si="52"/>
        <v>46195</v>
      </c>
      <c r="C967" s="4" t="s">
        <v>20</v>
      </c>
      <c r="D967" s="4" t="s">
        <v>343</v>
      </c>
      <c r="E967" s="4" t="s">
        <v>1561</v>
      </c>
      <c r="F967" s="10" t="s">
        <v>1501</v>
      </c>
      <c r="G967" s="4" t="s">
        <v>42</v>
      </c>
    </row>
    <row r="968" spans="2:7" ht="15.75" customHeight="1">
      <c r="B968" s="6">
        <f t="shared" si="52"/>
        <v>46195</v>
      </c>
      <c r="C968" s="4" t="s">
        <v>20</v>
      </c>
      <c r="D968" s="4" t="s">
        <v>453</v>
      </c>
      <c r="E968" s="4" t="s">
        <v>1561</v>
      </c>
      <c r="F968" s="10" t="s">
        <v>1248</v>
      </c>
      <c r="G968" s="4" t="s">
        <v>42</v>
      </c>
    </row>
    <row r="969" spans="2:7" ht="15.75" customHeight="1">
      <c r="B969" s="3">
        <v>46196</v>
      </c>
      <c r="C969" s="4" t="s">
        <v>74</v>
      </c>
      <c r="D969" s="4" t="s">
        <v>1161</v>
      </c>
      <c r="E969" s="4" t="s">
        <v>1562</v>
      </c>
      <c r="F969" s="10" t="s">
        <v>1138</v>
      </c>
      <c r="G969" s="4" t="s">
        <v>25</v>
      </c>
    </row>
    <row r="970" spans="2:7" ht="15.75" customHeight="1">
      <c r="B970" s="6">
        <f t="shared" ref="B970:B986" si="53">B969</f>
        <v>46196</v>
      </c>
      <c r="C970" s="4" t="s">
        <v>20</v>
      </c>
      <c r="D970" s="4" t="s">
        <v>35</v>
      </c>
      <c r="E970" s="4" t="s">
        <v>1562</v>
      </c>
      <c r="F970" s="10" t="s">
        <v>1502</v>
      </c>
      <c r="G970" s="4" t="s">
        <v>32</v>
      </c>
    </row>
    <row r="971" spans="2:7" ht="15.75" customHeight="1">
      <c r="B971" s="6">
        <f t="shared" si="53"/>
        <v>46196</v>
      </c>
      <c r="C971" s="4" t="s">
        <v>20</v>
      </c>
      <c r="D971" s="4" t="s">
        <v>85</v>
      </c>
      <c r="E971" s="4" t="s">
        <v>1562</v>
      </c>
      <c r="F971" s="4" t="s">
        <v>1503</v>
      </c>
      <c r="G971" s="4" t="s">
        <v>25</v>
      </c>
    </row>
    <row r="972" spans="2:7" ht="15.75" customHeight="1">
      <c r="B972" s="6">
        <f t="shared" si="53"/>
        <v>46196</v>
      </c>
      <c r="C972" s="4" t="s">
        <v>167</v>
      </c>
      <c r="D972" s="4" t="s">
        <v>23</v>
      </c>
      <c r="E972" s="4" t="s">
        <v>1562</v>
      </c>
      <c r="F972" s="10" t="s">
        <v>1504</v>
      </c>
      <c r="G972" s="4" t="s">
        <v>22</v>
      </c>
    </row>
    <row r="973" spans="2:7" ht="15.75" customHeight="1">
      <c r="B973" s="6">
        <f t="shared" si="53"/>
        <v>46196</v>
      </c>
      <c r="C973" s="4" t="s">
        <v>74</v>
      </c>
      <c r="D973" s="4" t="s">
        <v>29</v>
      </c>
      <c r="E973" s="4" t="s">
        <v>1562</v>
      </c>
      <c r="F973" s="10" t="s">
        <v>1505</v>
      </c>
      <c r="G973" s="4" t="s">
        <v>61</v>
      </c>
    </row>
    <row r="974" spans="2:7" ht="15.75" customHeight="1">
      <c r="B974" s="6">
        <f t="shared" si="53"/>
        <v>46196</v>
      </c>
      <c r="C974" s="4" t="s">
        <v>74</v>
      </c>
      <c r="D974" s="4" t="s">
        <v>9</v>
      </c>
      <c r="E974" s="4" t="s">
        <v>1562</v>
      </c>
      <c r="F974" s="10" t="s">
        <v>1506</v>
      </c>
      <c r="G974" s="4" t="s">
        <v>25</v>
      </c>
    </row>
    <row r="975" spans="2:7" ht="15.75" customHeight="1">
      <c r="B975" s="6">
        <f t="shared" si="53"/>
        <v>46196</v>
      </c>
      <c r="C975" s="4" t="s">
        <v>20</v>
      </c>
      <c r="D975" s="4" t="s">
        <v>1507</v>
      </c>
      <c r="E975" s="4" t="s">
        <v>1562</v>
      </c>
      <c r="F975" s="10" t="s">
        <v>577</v>
      </c>
      <c r="G975" s="4" t="s">
        <v>61</v>
      </c>
    </row>
    <row r="976" spans="2:7" ht="15.75" customHeight="1">
      <c r="B976" s="6">
        <f t="shared" si="53"/>
        <v>46196</v>
      </c>
      <c r="C976" s="4" t="s">
        <v>20</v>
      </c>
      <c r="D976" s="4" t="s">
        <v>85</v>
      </c>
      <c r="E976" s="4" t="s">
        <v>1562</v>
      </c>
      <c r="F976" s="10" t="s">
        <v>1508</v>
      </c>
      <c r="G976" s="4" t="s">
        <v>25</v>
      </c>
    </row>
    <row r="977" spans="2:7" ht="15.75" customHeight="1">
      <c r="B977" s="6">
        <f t="shared" si="53"/>
        <v>46196</v>
      </c>
      <c r="C977" s="4" t="s">
        <v>167</v>
      </c>
      <c r="D977" s="4" t="s">
        <v>204</v>
      </c>
      <c r="E977" s="4" t="s">
        <v>1562</v>
      </c>
      <c r="F977" s="10" t="s">
        <v>1509</v>
      </c>
      <c r="G977" s="4" t="s">
        <v>228</v>
      </c>
    </row>
    <row r="978" spans="2:7" ht="15.75" customHeight="1">
      <c r="B978" s="6">
        <f t="shared" si="53"/>
        <v>46196</v>
      </c>
      <c r="C978" s="4" t="s">
        <v>20</v>
      </c>
      <c r="D978" s="4" t="s">
        <v>385</v>
      </c>
      <c r="E978" s="4" t="s">
        <v>1562</v>
      </c>
      <c r="F978" s="10" t="s">
        <v>1510</v>
      </c>
      <c r="G978" s="4" t="s">
        <v>25</v>
      </c>
    </row>
    <row r="979" spans="2:7" ht="15.75" customHeight="1">
      <c r="B979" s="6">
        <f t="shared" si="53"/>
        <v>46196</v>
      </c>
      <c r="C979" s="4" t="s">
        <v>167</v>
      </c>
      <c r="D979" s="10" t="s">
        <v>6</v>
      </c>
      <c r="E979" s="4" t="s">
        <v>1562</v>
      </c>
      <c r="F979" s="10" t="s">
        <v>1039</v>
      </c>
      <c r="G979" s="4" t="s">
        <v>22</v>
      </c>
    </row>
    <row r="980" spans="2:7" ht="15.75" customHeight="1">
      <c r="B980" s="6">
        <f t="shared" si="53"/>
        <v>46196</v>
      </c>
      <c r="C980" s="4" t="s">
        <v>74</v>
      </c>
      <c r="D980" s="4" t="s">
        <v>27</v>
      </c>
      <c r="E980" s="4" t="s">
        <v>1562</v>
      </c>
      <c r="F980" s="10" t="s">
        <v>1511</v>
      </c>
      <c r="G980" s="4" t="s">
        <v>22</v>
      </c>
    </row>
    <row r="981" spans="2:7" ht="15.75" customHeight="1">
      <c r="B981" s="6">
        <f t="shared" si="53"/>
        <v>46196</v>
      </c>
      <c r="C981" s="4" t="s">
        <v>20</v>
      </c>
      <c r="D981" s="4" t="s">
        <v>29</v>
      </c>
      <c r="E981" s="4" t="s">
        <v>1562</v>
      </c>
      <c r="F981" s="10" t="s">
        <v>1512</v>
      </c>
      <c r="G981" s="4" t="s">
        <v>61</v>
      </c>
    </row>
    <row r="982" spans="2:7" ht="15.75" customHeight="1">
      <c r="B982" s="6">
        <f t="shared" si="53"/>
        <v>46196</v>
      </c>
      <c r="C982" s="4" t="s">
        <v>74</v>
      </c>
      <c r="D982" s="4" t="s">
        <v>33</v>
      </c>
      <c r="E982" s="4" t="s">
        <v>1562</v>
      </c>
      <c r="F982" s="10" t="s">
        <v>1513</v>
      </c>
      <c r="G982" s="4" t="s">
        <v>25</v>
      </c>
    </row>
    <row r="983" spans="2:7" ht="15.75" customHeight="1">
      <c r="B983" s="6">
        <f t="shared" si="53"/>
        <v>46196</v>
      </c>
      <c r="C983" s="4" t="s">
        <v>74</v>
      </c>
      <c r="D983" s="4" t="s">
        <v>1514</v>
      </c>
      <c r="E983" s="4" t="s">
        <v>1562</v>
      </c>
      <c r="F983" s="10" t="s">
        <v>1515</v>
      </c>
      <c r="G983" s="4" t="s">
        <v>25</v>
      </c>
    </row>
    <row r="984" spans="2:7" ht="15.75" customHeight="1">
      <c r="B984" s="6">
        <f t="shared" si="53"/>
        <v>46196</v>
      </c>
      <c r="C984" s="4" t="s">
        <v>74</v>
      </c>
      <c r="D984" s="4" t="s">
        <v>35</v>
      </c>
      <c r="E984" s="4" t="s">
        <v>1562</v>
      </c>
      <c r="F984" s="10" t="s">
        <v>1404</v>
      </c>
      <c r="G984" s="4" t="s">
        <v>61</v>
      </c>
    </row>
    <row r="985" spans="2:7" ht="15.75" customHeight="1">
      <c r="B985" s="6">
        <f t="shared" si="53"/>
        <v>46196</v>
      </c>
      <c r="C985" s="4" t="s">
        <v>734</v>
      </c>
      <c r="D985" s="4" t="s">
        <v>33</v>
      </c>
      <c r="E985" s="4" t="s">
        <v>1561</v>
      </c>
      <c r="F985" s="4" t="s">
        <v>1516</v>
      </c>
      <c r="G985" s="4" t="s">
        <v>74</v>
      </c>
    </row>
    <row r="986" spans="2:7" ht="15.75" customHeight="1">
      <c r="B986" s="6">
        <f t="shared" si="53"/>
        <v>46196</v>
      </c>
      <c r="C986" s="4" t="s">
        <v>1517</v>
      </c>
      <c r="D986" s="4" t="s">
        <v>916</v>
      </c>
      <c r="E986" s="4" t="s">
        <v>1561</v>
      </c>
      <c r="F986" s="4" t="s">
        <v>1518</v>
      </c>
      <c r="G986" s="4" t="s">
        <v>74</v>
      </c>
    </row>
    <row r="987" spans="2:7" ht="15.75" customHeight="1">
      <c r="B987" s="3">
        <v>46197</v>
      </c>
      <c r="C987" s="16" t="s">
        <v>1519</v>
      </c>
      <c r="D987" s="4" t="s">
        <v>1520</v>
      </c>
      <c r="E987" s="4" t="s">
        <v>1561</v>
      </c>
      <c r="F987" s="4" t="s">
        <v>1521</v>
      </c>
      <c r="G987" s="4" t="s">
        <v>42</v>
      </c>
    </row>
    <row r="988" spans="2:7" ht="15.75" customHeight="1">
      <c r="B988" s="3">
        <v>46198</v>
      </c>
      <c r="C988" s="16" t="s">
        <v>26</v>
      </c>
      <c r="D988" s="4" t="s">
        <v>376</v>
      </c>
      <c r="E988" s="4" t="s">
        <v>1561</v>
      </c>
      <c r="F988" s="4" t="s">
        <v>377</v>
      </c>
      <c r="G988" s="26" t="s">
        <v>1522</v>
      </c>
    </row>
    <row r="989" spans="2:7" ht="15.75" customHeight="1">
      <c r="B989" s="3">
        <v>46199</v>
      </c>
      <c r="C989" s="16" t="s">
        <v>1485</v>
      </c>
      <c r="D989" s="4" t="s">
        <v>247</v>
      </c>
      <c r="E989" s="4" t="s">
        <v>1561</v>
      </c>
      <c r="F989" s="4" t="s">
        <v>1523</v>
      </c>
      <c r="G989" s="4" t="s">
        <v>42</v>
      </c>
    </row>
    <row r="990" spans="2:7" ht="15.75" customHeight="1">
      <c r="B990" s="6">
        <f>B989</f>
        <v>46199</v>
      </c>
      <c r="C990" s="4" t="s">
        <v>1524</v>
      </c>
      <c r="D990" s="4" t="s">
        <v>453</v>
      </c>
      <c r="E990" s="4" t="s">
        <v>1561</v>
      </c>
      <c r="F990" s="4" t="s">
        <v>1525</v>
      </c>
      <c r="G990" s="4" t="s">
        <v>42</v>
      </c>
    </row>
    <row r="991" spans="2:7" ht="15.75" customHeight="1">
      <c r="B991" s="6">
        <f>B990</f>
        <v>46199</v>
      </c>
      <c r="C991" s="4" t="s">
        <v>1526</v>
      </c>
      <c r="D991" s="4" t="s">
        <v>1527</v>
      </c>
      <c r="E991" s="4" t="s">
        <v>1561</v>
      </c>
      <c r="F991" s="4" t="s">
        <v>1528</v>
      </c>
      <c r="G991" s="4" t="s">
        <v>42</v>
      </c>
    </row>
    <row r="992" spans="2:7" ht="15" customHeight="1">
      <c r="B992" s="6">
        <f>B991</f>
        <v>46199</v>
      </c>
      <c r="C992" s="4" t="s">
        <v>1529</v>
      </c>
      <c r="D992" s="4" t="s">
        <v>16</v>
      </c>
      <c r="E992" s="4" t="s">
        <v>1561</v>
      </c>
      <c r="F992" s="10" t="s">
        <v>1530</v>
      </c>
      <c r="G992" s="4" t="s">
        <v>42</v>
      </c>
    </row>
    <row r="993" spans="2:7" ht="15" customHeight="1">
      <c r="B993" s="3">
        <v>46201</v>
      </c>
      <c r="C993" s="16" t="s">
        <v>1152</v>
      </c>
      <c r="D993" s="4" t="s">
        <v>732</v>
      </c>
      <c r="E993" s="4" t="s">
        <v>1561</v>
      </c>
      <c r="F993" s="4" t="s">
        <v>1531</v>
      </c>
      <c r="G993" s="4" t="s">
        <v>42</v>
      </c>
    </row>
    <row r="994" spans="2:7" ht="15" customHeight="1">
      <c r="B994" s="6">
        <f>B993</f>
        <v>46201</v>
      </c>
      <c r="C994" s="4" t="s">
        <v>1532</v>
      </c>
      <c r="D994" s="4" t="s">
        <v>6</v>
      </c>
      <c r="E994" s="4" t="s">
        <v>1561</v>
      </c>
      <c r="F994" s="4" t="s">
        <v>1533</v>
      </c>
      <c r="G994" s="4" t="s">
        <v>42</v>
      </c>
    </row>
    <row r="995" spans="2:7" ht="15" customHeight="1">
      <c r="B995" s="6">
        <f>B994</f>
        <v>46201</v>
      </c>
      <c r="C995" s="4" t="s">
        <v>1534</v>
      </c>
      <c r="D995" s="4" t="s">
        <v>732</v>
      </c>
      <c r="E995" s="4" t="s">
        <v>1561</v>
      </c>
      <c r="F995" s="4" t="s">
        <v>1535</v>
      </c>
      <c r="G995" s="4" t="s">
        <v>42</v>
      </c>
    </row>
    <row r="996" spans="2:7" ht="15" customHeight="1">
      <c r="B996" s="6">
        <f>B995</f>
        <v>46201</v>
      </c>
      <c r="C996" s="4" t="s">
        <v>1536</v>
      </c>
      <c r="D996" s="4" t="s">
        <v>12</v>
      </c>
      <c r="E996" s="4" t="s">
        <v>1561</v>
      </c>
      <c r="F996" s="4" t="s">
        <v>622</v>
      </c>
      <c r="G996" s="4" t="s">
        <v>42</v>
      </c>
    </row>
    <row r="997" spans="2:7" ht="15" customHeight="1">
      <c r="B997" s="6">
        <f>B996</f>
        <v>46201</v>
      </c>
      <c r="C997" s="4" t="s">
        <v>1537</v>
      </c>
      <c r="D997" s="4" t="s">
        <v>12</v>
      </c>
      <c r="E997" s="4" t="s">
        <v>1561</v>
      </c>
      <c r="F997" s="4" t="s">
        <v>1538</v>
      </c>
      <c r="G997" s="4" t="s">
        <v>42</v>
      </c>
    </row>
    <row r="998" spans="2:7" ht="15" customHeight="1">
      <c r="B998" s="6">
        <f>B997</f>
        <v>46201</v>
      </c>
      <c r="C998" s="4" t="s">
        <v>26</v>
      </c>
      <c r="D998" s="4" t="s">
        <v>1539</v>
      </c>
      <c r="E998" s="4" t="s">
        <v>1561</v>
      </c>
      <c r="F998" s="4" t="s">
        <v>1540</v>
      </c>
      <c r="G998" s="4" t="s">
        <v>14</v>
      </c>
    </row>
    <row r="999" spans="2:7" ht="15" customHeight="1">
      <c r="B999" s="3">
        <v>46202</v>
      </c>
      <c r="C999" s="16" t="s">
        <v>1541</v>
      </c>
      <c r="D999" s="4" t="s">
        <v>12</v>
      </c>
      <c r="E999" s="4" t="s">
        <v>1561</v>
      </c>
      <c r="F999" s="4" t="s">
        <v>1542</v>
      </c>
      <c r="G999" s="4" t="s">
        <v>42</v>
      </c>
    </row>
    <row r="1000" spans="2:7" ht="15" customHeight="1">
      <c r="B1000" s="6">
        <f>B999</f>
        <v>46202</v>
      </c>
      <c r="C1000" s="4" t="s">
        <v>1543</v>
      </c>
      <c r="D1000" s="4" t="s">
        <v>376</v>
      </c>
      <c r="E1000" s="4" t="s">
        <v>1561</v>
      </c>
      <c r="F1000" s="4" t="s">
        <v>1544</v>
      </c>
      <c r="G1000" s="4" t="s">
        <v>32</v>
      </c>
    </row>
    <row r="1001" spans="2:7" ht="15" customHeight="1">
      <c r="B1001" s="6">
        <f>B1000</f>
        <v>46202</v>
      </c>
      <c r="C1001" s="4" t="s">
        <v>1545</v>
      </c>
      <c r="D1001" s="4" t="s">
        <v>398</v>
      </c>
      <c r="E1001" s="4" t="s">
        <v>1561</v>
      </c>
      <c r="F1001" s="4" t="s">
        <v>1546</v>
      </c>
      <c r="G1001" s="4" t="s">
        <v>42</v>
      </c>
    </row>
    <row r="1002" spans="2:7" ht="15" customHeight="1">
      <c r="B1002" s="6">
        <f>B1001</f>
        <v>46202</v>
      </c>
      <c r="C1002" s="4" t="s">
        <v>1547</v>
      </c>
      <c r="D1002" s="4" t="s">
        <v>398</v>
      </c>
      <c r="E1002" s="4" t="s">
        <v>1561</v>
      </c>
      <c r="F1002" s="4" t="s">
        <v>1548</v>
      </c>
      <c r="G1002" s="4" t="s">
        <v>42</v>
      </c>
    </row>
    <row r="1003" spans="2:7" ht="15" customHeight="1">
      <c r="B1003" s="6">
        <f>B1002</f>
        <v>46202</v>
      </c>
      <c r="C1003" s="4" t="s">
        <v>1549</v>
      </c>
      <c r="D1003" s="4" t="s">
        <v>16</v>
      </c>
      <c r="E1003" s="4" t="s">
        <v>1561</v>
      </c>
      <c r="F1003" s="4" t="s">
        <v>1550</v>
      </c>
      <c r="G1003" s="4" t="s">
        <v>42</v>
      </c>
    </row>
    <row r="1004" spans="2:7" ht="15" customHeight="1">
      <c r="B1004" s="3">
        <v>46203</v>
      </c>
      <c r="C1004" s="16" t="s">
        <v>1541</v>
      </c>
      <c r="D1004" s="4" t="s">
        <v>12</v>
      </c>
      <c r="E1004" s="4" t="s">
        <v>1561</v>
      </c>
      <c r="F1004" s="4" t="s">
        <v>1551</v>
      </c>
      <c r="G1004" s="4" t="s">
        <v>42</v>
      </c>
    </row>
    <row r="1005" spans="2:7" ht="15" customHeight="1">
      <c r="B1005" s="6">
        <f t="shared" ref="B1005:B1010" si="54">B1004</f>
        <v>46203</v>
      </c>
      <c r="C1005" s="4" t="s">
        <v>1152</v>
      </c>
      <c r="D1005" s="4" t="s">
        <v>724</v>
      </c>
      <c r="E1005" s="4" t="s">
        <v>1561</v>
      </c>
      <c r="F1005" s="4" t="s">
        <v>1552</v>
      </c>
      <c r="G1005" s="4" t="s">
        <v>42</v>
      </c>
    </row>
    <row r="1006" spans="2:7" ht="15" customHeight="1">
      <c r="B1006" s="6">
        <f t="shared" si="54"/>
        <v>46203</v>
      </c>
      <c r="C1006" s="4" t="s">
        <v>26</v>
      </c>
      <c r="D1006" s="4" t="s">
        <v>204</v>
      </c>
      <c r="E1006" s="4" t="s">
        <v>1561</v>
      </c>
      <c r="F1006" s="4" t="s">
        <v>1553</v>
      </c>
      <c r="G1006" s="4" t="s">
        <v>22</v>
      </c>
    </row>
    <row r="1007" spans="2:7" ht="15" customHeight="1">
      <c r="B1007" s="6">
        <f t="shared" si="54"/>
        <v>46203</v>
      </c>
      <c r="C1007" s="4" t="s">
        <v>26</v>
      </c>
      <c r="D1007" s="4" t="s">
        <v>956</v>
      </c>
      <c r="E1007" s="4" t="s">
        <v>1561</v>
      </c>
      <c r="F1007" s="10" t="s">
        <v>932</v>
      </c>
      <c r="G1007" s="4" t="s">
        <v>22</v>
      </c>
    </row>
    <row r="1008" spans="2:7" ht="15" customHeight="1">
      <c r="B1008" s="6">
        <f t="shared" si="54"/>
        <v>46203</v>
      </c>
      <c r="C1008" s="4" t="s">
        <v>1554</v>
      </c>
      <c r="D1008" s="4" t="s">
        <v>376</v>
      </c>
      <c r="E1008" s="4" t="s">
        <v>1561</v>
      </c>
      <c r="F1008" s="10" t="s">
        <v>1555</v>
      </c>
      <c r="G1008" s="4" t="s">
        <v>653</v>
      </c>
    </row>
    <row r="1009" spans="2:7" ht="15" customHeight="1">
      <c r="B1009" s="6">
        <f t="shared" si="54"/>
        <v>46203</v>
      </c>
      <c r="C1009" s="4" t="s">
        <v>1556</v>
      </c>
      <c r="D1009" s="4" t="s">
        <v>376</v>
      </c>
      <c r="E1009" s="4" t="s">
        <v>1561</v>
      </c>
      <c r="F1009" s="10" t="s">
        <v>1557</v>
      </c>
      <c r="G1009" s="4" t="s">
        <v>42</v>
      </c>
    </row>
    <row r="1010" spans="2:7" ht="15" customHeight="1">
      <c r="B1010" s="6">
        <f t="shared" si="54"/>
        <v>46203</v>
      </c>
      <c r="C1010" s="4" t="s">
        <v>1558</v>
      </c>
      <c r="D1010" s="4" t="s">
        <v>1559</v>
      </c>
      <c r="E1010" s="4" t="s">
        <v>1561</v>
      </c>
      <c r="F1010" s="10" t="s">
        <v>1560</v>
      </c>
      <c r="G1010" s="4" t="s">
        <v>653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</dc:creator>
  <cp:lastModifiedBy>Carlos Eduardo</cp:lastModifiedBy>
  <dcterms:created xsi:type="dcterms:W3CDTF">2026-07-14T12:38:20Z</dcterms:created>
  <dcterms:modified xsi:type="dcterms:W3CDTF">2026-07-17T17:02:27Z</dcterms:modified>
</cp:coreProperties>
</file>