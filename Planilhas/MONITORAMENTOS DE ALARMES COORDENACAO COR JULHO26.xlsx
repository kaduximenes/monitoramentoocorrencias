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10524"/>
  </bookViews>
  <sheets>
    <sheet name="01JUL" sheetId="1" r:id="rId1"/>
    <sheet name="31MAIO" sheetId="31" state="hidden" r:id="rId2"/>
  </sheets>
  <calcPr calcId="145621" iterateDelta="1E-4"/>
  <fileRecoveryPr repairLoad="1"/>
</workbook>
</file>

<file path=xl/calcChain.xml><?xml version="1.0" encoding="utf-8"?>
<calcChain xmlns="http://schemas.openxmlformats.org/spreadsheetml/2006/main">
  <c r="C363" i="1" l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45" i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34" i="1"/>
  <c r="C335" i="1" s="1"/>
  <c r="C336" i="1" s="1"/>
  <c r="C337" i="1" s="1"/>
  <c r="C338" i="1" s="1"/>
  <c r="C339" i="1" s="1"/>
  <c r="C340" i="1" s="1"/>
  <c r="C341" i="1" s="1"/>
  <c r="C342" i="1" s="1"/>
  <c r="C343" i="1" s="1"/>
  <c r="C329" i="1"/>
  <c r="C330" i="1" s="1"/>
  <c r="C331" i="1" s="1"/>
  <c r="C332" i="1" s="1"/>
  <c r="C307" i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280" i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263" i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49" i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40" i="1"/>
  <c r="C241" i="1" s="1"/>
  <c r="C242" i="1" s="1"/>
  <c r="C243" i="1" s="1"/>
  <c r="C244" i="1" s="1"/>
  <c r="C245" i="1" s="1"/>
  <c r="C246" i="1" s="1"/>
  <c r="C247" i="1" s="1"/>
  <c r="C205" i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190" i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173" i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68" i="1"/>
  <c r="C169" i="1" s="1"/>
  <c r="C170" i="1" s="1"/>
  <c r="C171" i="1" s="1"/>
  <c r="C153" i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32" i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16" i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B47" i="31" l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C46" i="3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C67" i="31" s="1"/>
  <c r="C68" i="31" s="1"/>
  <c r="C69" i="31" s="1"/>
  <c r="C70" i="31" s="1"/>
  <c r="C71" i="31" s="1"/>
  <c r="C72" i="31" s="1"/>
  <c r="C73" i="31" s="1"/>
  <c r="C74" i="31" s="1"/>
  <c r="C75" i="31" s="1"/>
  <c r="C76" i="31" s="1"/>
  <c r="C77" i="31" s="1"/>
  <c r="C78" i="31" s="1"/>
  <c r="C79" i="31" s="1"/>
  <c r="C80" i="31" s="1"/>
  <c r="C81" i="31" s="1"/>
  <c r="C82" i="31" s="1"/>
  <c r="C83" i="31" s="1"/>
  <c r="C84" i="31" s="1"/>
  <c r="C85" i="31" s="1"/>
  <c r="C86" i="31" s="1"/>
  <c r="C87" i="31" s="1"/>
  <c r="C88" i="31" s="1"/>
  <c r="C89" i="31" s="1"/>
  <c r="C90" i="31" s="1"/>
  <c r="C91" i="31" s="1"/>
  <c r="C92" i="31" s="1"/>
  <c r="C93" i="31" s="1"/>
  <c r="C94" i="31" s="1"/>
  <c r="C95" i="31" s="1"/>
  <c r="C96" i="31" s="1"/>
  <c r="C97" i="31" s="1"/>
  <c r="C98" i="31" s="1"/>
  <c r="C99" i="31" s="1"/>
  <c r="C100" i="31" s="1"/>
  <c r="C101" i="31" s="1"/>
  <c r="C102" i="31" s="1"/>
  <c r="C103" i="31" s="1"/>
  <c r="C104" i="31" s="1"/>
  <c r="C105" i="31" s="1"/>
  <c r="C106" i="31" s="1"/>
  <c r="C107" i="31" s="1"/>
  <c r="C108" i="31" s="1"/>
  <c r="C28" i="3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B23" i="3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13" i="31"/>
  <c r="B14" i="31" s="1"/>
  <c r="B15" i="31" s="1"/>
  <c r="B16" i="31" s="1"/>
  <c r="B17" i="31" s="1"/>
  <c r="B18" i="31" s="1"/>
  <c r="B19" i="31" s="1"/>
  <c r="B20" i="31" s="1"/>
  <c r="B21" i="31" s="1"/>
  <c r="B22" i="31" s="1"/>
  <c r="C11" i="3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10" i="31"/>
  <c r="B10" i="31"/>
  <c r="B11" i="31" s="1"/>
  <c r="B12" i="31" s="1"/>
  <c r="C108" i="1"/>
  <c r="C109" i="1" s="1"/>
  <c r="C110" i="1" s="1"/>
  <c r="C111" i="1" s="1"/>
  <c r="C112" i="1" s="1"/>
  <c r="C113" i="1" s="1"/>
  <c r="C114" i="1" s="1"/>
  <c r="C107" i="1"/>
  <c r="C86" i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68" i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53" i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52" i="1"/>
  <c r="C48" i="1"/>
  <c r="C49" i="1" s="1"/>
  <c r="C50" i="1" s="1"/>
  <c r="C46" i="1"/>
  <c r="C47" i="1" s="1"/>
  <c r="C45" i="1"/>
  <c r="C38" i="1"/>
  <c r="C39" i="1" s="1"/>
  <c r="C40" i="1" s="1"/>
  <c r="C41" i="1" s="1"/>
  <c r="C42" i="1" s="1"/>
  <c r="C43" i="1" s="1"/>
  <c r="C36" i="1"/>
  <c r="C35" i="1"/>
  <c r="C32" i="1"/>
  <c r="C33" i="1" s="1"/>
  <c r="C26" i="1"/>
  <c r="C27" i="1" s="1"/>
  <c r="C28" i="1" s="1"/>
  <c r="C29" i="1" s="1"/>
  <c r="C30" i="1" s="1"/>
  <c r="C19" i="1"/>
  <c r="C20" i="1" s="1"/>
  <c r="C21" i="1" s="1"/>
  <c r="C22" i="1" s="1"/>
  <c r="C23" i="1" s="1"/>
  <c r="C24" i="1" s="1"/>
  <c r="C18" i="1"/>
  <c r="C14" i="1"/>
  <c r="C15" i="1" s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C12" i="1"/>
  <c r="C11" i="1"/>
  <c r="C10" i="1"/>
  <c r="B10" i="1"/>
  <c r="B11" i="1" s="1"/>
  <c r="B12" i="1" s="1"/>
</calcChain>
</file>

<file path=xl/sharedStrings.xml><?xml version="1.0" encoding="utf-8"?>
<sst xmlns="http://schemas.openxmlformats.org/spreadsheetml/2006/main" count="1850" uniqueCount="746">
  <si>
    <t>MONITORAMENTO DE OCORRÊNCIAS APURADAS PELA COORDENAÇÃO COR</t>
  </si>
  <si>
    <t>QTE</t>
  </si>
  <si>
    <t>Data</t>
  </si>
  <si>
    <t>Alarmes utilizados</t>
  </si>
  <si>
    <t>Ocorrência</t>
  </si>
  <si>
    <t>Equipe</t>
  </si>
  <si>
    <t>Endereço</t>
  </si>
  <si>
    <t>Agência Validadora</t>
  </si>
  <si>
    <t xml:space="preserve">Google Maps </t>
  </si>
  <si>
    <t xml:space="preserve">Enguiço CR </t>
  </si>
  <si>
    <t xml:space="preserve">AC 2 VP </t>
  </si>
  <si>
    <t>Google Maps - Tixxi - Cam 114</t>
  </si>
  <si>
    <t xml:space="preserve">Ricardo / Diego / Felipe </t>
  </si>
  <si>
    <t xml:space="preserve">Matheus / Jackson / Vinícius </t>
  </si>
  <si>
    <t xml:space="preserve">Av. Lúcio Costa - Alt. Ilha 5 - Sent. Recreio dos Bandeirantes - Barra da Tijuca </t>
  </si>
  <si>
    <t xml:space="preserve"> AVENIDA BRASIL - ALT. DA PASSARELA 14- SENT. Z.OESTE. - OLARIA</t>
  </si>
  <si>
    <t>CICC</t>
  </si>
  <si>
    <t>CET-RIO</t>
  </si>
  <si>
    <t xml:space="preserve">Enguiço VP </t>
  </si>
  <si>
    <t xml:space="preserve">Matheus / Jackson / Ricardo </t>
  </si>
  <si>
    <t xml:space="preserve">Av. Borges de Medeiros - Alt. R. Batista da Costa - Sent. Túnel Rebouças - Lagoa </t>
  </si>
  <si>
    <t xml:space="preserve">TIXXI </t>
  </si>
  <si>
    <t>Enguiço VP</t>
  </si>
  <si>
    <t xml:space="preserve">Vinícius / Diego / Felipe </t>
  </si>
  <si>
    <t>LINHA VERMELHA - ALT. KM 10 - SENT. CENTRO - GALEÃO</t>
  </si>
  <si>
    <t>LINHA VERMELHA - ALT. KM 13 - SENT. BAIXADA - CORDOVIL</t>
  </si>
  <si>
    <t>Google Maps - Tixxi - Cam 6586</t>
  </si>
  <si>
    <t xml:space="preserve">AC VP x MT </t>
  </si>
  <si>
    <t>Google Maps / Tixxi - Cam 5811</t>
  </si>
  <si>
    <t xml:space="preserve">Av. Prof. Manoel de Abreu - Alt. R. Maxwell - Sent; Praça da Bandeira - Maracanã </t>
  </si>
  <si>
    <t>Atropelamento MT</t>
  </si>
  <si>
    <t>AVENIDA MERITI - ALT. AV. SÃO FÉLIX - SENT. VILA DA PENHA - VISTA ALEGRE</t>
  </si>
  <si>
    <t xml:space="preserve">Tixxi </t>
  </si>
  <si>
    <t xml:space="preserve">Google maps </t>
  </si>
  <si>
    <t xml:space="preserve">Operação Policial </t>
  </si>
  <si>
    <t>AVENIDA EMBAIXADOR ABELARDO BUENO - ALT. TERMINAL CENTRO OLÍMPICO - SENT. LINHA AMARELA - BARRA DA TIJUCA</t>
  </si>
  <si>
    <t>Google Maps - Tixxi - Cam 3212</t>
  </si>
  <si>
    <t>Google Maps / Tixxi - Cam 4343</t>
  </si>
  <si>
    <t>Manutenção na via (LIGHT)</t>
  </si>
  <si>
    <t xml:space="preserve">Av. Ayrton Senna - Alt. Nº 3419 - Sent. Orla - Barra da Tijuca </t>
  </si>
  <si>
    <t>AVENIDA BRIGADEIRO TROMPOWSKI - DEBAIXO DA LINHA VERMELHA - SENT. FUNDÃO - CIDADE UNIVERSITÁRIA</t>
  </si>
  <si>
    <t xml:space="preserve">TIxxi </t>
  </si>
  <si>
    <t>Google maps - Tixxi / Cam 3212</t>
  </si>
  <si>
    <t>Google Maps - Tixxi - Cam 467</t>
  </si>
  <si>
    <t xml:space="preserve"> AVENIDA AYRTON SENNA - ALT. PONTE SANTOS DUMONT - SENT. ORLA - JACAREPAGUÁ</t>
  </si>
  <si>
    <t xml:space="preserve"> LINHA VERMELHA - ALT. KM 8 - SENT. BAIXADA - GALEÃO</t>
  </si>
  <si>
    <t xml:space="preserve">Av. das Américas - Alt. Est. BRT Riomar - Sent. Recreio dos Bandeirantes - Barra da Tijuca </t>
  </si>
  <si>
    <t>Tixxi</t>
  </si>
  <si>
    <t>Google Maps / Tixxi - Cam 234</t>
  </si>
  <si>
    <t xml:space="preserve"> LINHA VERMELHA - ALT. KM 3 - SENT. BAIXADA - CAJU</t>
  </si>
  <si>
    <t>Google Maps / Tixxi - Cam 138</t>
  </si>
  <si>
    <t>Manutenção na via (CET-RIO)</t>
  </si>
  <si>
    <t xml:space="preserve"> ELEVADO ENGENHEIRO FREYSSINET - SENT. CENTRO - RIO COMPRIDO</t>
  </si>
  <si>
    <t>Google Maps / Tixxi - Cam 589</t>
  </si>
  <si>
    <t xml:space="preserve">AC CM x MT </t>
  </si>
  <si>
    <t>RUA FELIPE CARDOSO - ALT. R. GEN. OLÍMPIO - SENT. AV. BRASIL - SANTA CRUZ</t>
  </si>
  <si>
    <t>Google Maps / Tixxi - Cam 500</t>
  </si>
  <si>
    <t>AC VP x MT</t>
  </si>
  <si>
    <t>AVENIDA CESÁRIO DE MELO - ALT. EST. BRT SÃO JORGE - SENT. CAMPO GRANDE - INHOAÍBA</t>
  </si>
  <si>
    <t xml:space="preserve"> LINHA VERMELHA - ALT. KM 3 - SENT. CENTRO - CAJU</t>
  </si>
  <si>
    <t>Google Maps / Tixxi - Cam 1657</t>
  </si>
  <si>
    <t>AC 3 VP</t>
  </si>
  <si>
    <t>AVENIDA MARACANÃ - CRUZAMENTO COM RUA MATA MACHADO  - SENT. CENTRO - MARACANÃ</t>
  </si>
  <si>
    <t>Google Maps / Tixxi - Cam 482</t>
  </si>
  <si>
    <t>AVENIDA MINISTRO IVAN LINS - ALT. RUA DEODATO DE MORAES - SENT. RECREIO DOS BANDEIRANTES - BARRA DA TIJUCA</t>
  </si>
  <si>
    <t>Google Maps / Tixxi - Cam 169</t>
  </si>
  <si>
    <t xml:space="preserve">Enguiço CM </t>
  </si>
  <si>
    <t>AVENIDA BRASIL - ALT. PASSARELA 2 SENT. CENTRO - VASCO DA GAMA</t>
  </si>
  <si>
    <t xml:space="preserve"> ELEVADO ENGENHEIRO FREYSSINET - SENT. LAGOA - RIO COMPRIDO</t>
  </si>
  <si>
    <t>Google Maps / Tixxi - Cam 92</t>
  </si>
  <si>
    <t xml:space="preserve">Incêndio VP </t>
  </si>
  <si>
    <t>AVENIDA BRASIL - ALT. R. PREF. OLÍMPIO DE MELO - SENT. CENTRO - BENFICA</t>
  </si>
  <si>
    <t>Google Maps / Tixxi - Cam 764</t>
  </si>
  <si>
    <t xml:space="preserve">R. Prefeito Olímpio de Melo - Benfica - Alt. R. Sen. Bernardo </t>
  </si>
  <si>
    <t>Google Maps / Tixxi - Cam 4416</t>
  </si>
  <si>
    <t xml:space="preserve">Queda MT </t>
  </si>
  <si>
    <t xml:space="preserve">Av. Brasil - Alt. Av. Portuária - Sent. Z. Oeste - Manguinhos </t>
  </si>
  <si>
    <t>Google Maps - Tixxi - CAM 464</t>
  </si>
  <si>
    <t xml:space="preserve">Enguiço UT </t>
  </si>
  <si>
    <t xml:space="preserve">Av. Salvador Allende - Alt. Est. BRT Olof Palme - Barra Olímpica - Sent. Curicica </t>
  </si>
  <si>
    <t>Google Maps - Tixxi - CAM 473</t>
  </si>
  <si>
    <t xml:space="preserve">Av. das Américas - Alt. Est. BRT Américas Park - Sent. Recreio dos Bandeirantes - Barra da TIjuca </t>
  </si>
  <si>
    <t>Google Maps - Tixxi - CAM 3212</t>
  </si>
  <si>
    <t>Google Maps - Tixxi - CAM 4597</t>
  </si>
  <si>
    <t xml:space="preserve">AC Envol. VP </t>
  </si>
  <si>
    <t xml:space="preserve">Jackson / Matheus / Vinícius </t>
  </si>
  <si>
    <t xml:space="preserve">Av. Brasil - Alt. Est. BRT Benfica - Sent. Centro - Maré </t>
  </si>
  <si>
    <t xml:space="preserve">Google Maps - Tixxi </t>
  </si>
  <si>
    <t>Maggessi / Leonardo / Hugo</t>
  </si>
  <si>
    <t>TÚNEL ANDRÉ REBOUÇAS - 1ª GALERIA - SENT. CENTRO - COSME VELHO</t>
  </si>
  <si>
    <t>AC ON x MT</t>
  </si>
  <si>
    <t>AVENIDA LÚCIO COSTA - ALT. POSTO 07 - SENT. SÃO CONRADO - BARRA DA TIJUCA</t>
  </si>
  <si>
    <t>CBMERJ</t>
  </si>
  <si>
    <t>Manutenção na via (COMLURB)</t>
  </si>
  <si>
    <t>AVENIDA SALVADOR ALLENDE - ALT. EST. BRT ASA BRANCA - SENT. RECREIO - JACAREPAGUÁ</t>
  </si>
  <si>
    <t>AC UT x MT</t>
  </si>
  <si>
    <t>RUA CÂNDIDO BENÍCIO - ALT. R. PINTO TELES - SENT. TAQUARA - PRAÇA SECA</t>
  </si>
  <si>
    <t>AVENIDA BRASIL - ALT. PASSARELA 20 - SENT. CENTRO - PARADA DE LUCAS</t>
  </si>
  <si>
    <t>Queda MT</t>
  </si>
  <si>
    <t>AVENIDA BRASIL - ALT. EST. BRT VASCO DA GAMA - SENT. Z. OESTE - SÃO CRISTÓVÃO</t>
  </si>
  <si>
    <t>Google Maps / Tixxi - Cam 147</t>
  </si>
  <si>
    <t xml:space="preserve">AC CM x 2 VP </t>
  </si>
  <si>
    <t>AVENIDA BRASIL - ALT. PASSARELA 13 - SENT Z. OESTE. - MARÉ</t>
  </si>
  <si>
    <t>Google Maps / Tixxi - Cam 216</t>
  </si>
  <si>
    <t>AVENIDA BRASIL - ALT. ACESSO PONTE RIO NITERÓI - SENT. NITERÓI - SÃO CRISTÓVÃO</t>
  </si>
  <si>
    <t>ECOPONTE</t>
  </si>
  <si>
    <t>AC 2 VP x MT</t>
  </si>
  <si>
    <t>AVENIDA BRASIL - ALT. EST. BRT BENFICA - SENT. BAIXADA - BENFICA</t>
  </si>
  <si>
    <t>Google Maps / Tixxi - Cam 3212</t>
  </si>
  <si>
    <t>AVENIDA AYRTON SENNA - ALT. PONTE SANTOS DUMONT - SENT. ORLA - BARRA DA TIJUCA</t>
  </si>
  <si>
    <t>Google Maps / Tixxi - Cam 1926</t>
  </si>
  <si>
    <t xml:space="preserve"> RUA DUVIVIER - COPACABANA</t>
  </si>
  <si>
    <t>Google Maps / Tixxi - Cam 59</t>
  </si>
  <si>
    <t>AVENIDA AYRTON SENNA - ALT. EST. BRT AEROPORTO DE JACAREPAGUÁ - SENT. LINHA AMARELA - BARRA DA TIJUCA</t>
  </si>
  <si>
    <t>Google Maps / Tixxi - Cam 100</t>
  </si>
  <si>
    <t>Manutenção na via (SMART LUZ)</t>
  </si>
  <si>
    <t>AVENIDA TRINTA E UM DE MARÇO - SENT. LARANJEIRAS - CATUMBI</t>
  </si>
  <si>
    <t>Maps - Tixxi</t>
  </si>
  <si>
    <t>AC VP X MT</t>
  </si>
  <si>
    <t>Hugo - Vitor - Maggessi</t>
  </si>
  <si>
    <t xml:space="preserve"> AVENIDA DAS AMÉRICAS - ALT. N° 11889 - SENT. RECREIO - BARRA DA TIJUCA</t>
  </si>
  <si>
    <t>INCÊNDIO EM IMÓVEL RESIDENCIAL</t>
  </si>
  <si>
    <t>LARGO DOS LEÕES - ALT. Nº 40 - HUMAITÁ</t>
  </si>
  <si>
    <t xml:space="preserve">ENGUIÇO CM </t>
  </si>
  <si>
    <t>TÚNEL ACÚSTICO RAFAEL MASCARENHAS</t>
  </si>
  <si>
    <t>AC UT X TX X VP</t>
  </si>
  <si>
    <t>AVENIDA AYRTON SENNA - ALT. DESCIDA DA LINHA AMARELA - SENT. ORLA - CIDADE DE DEUS</t>
  </si>
  <si>
    <t>LAMSA - CET-RIO</t>
  </si>
  <si>
    <t>AVENIDA PRESIDENTE VARGAS - ALT. PÇA DA REPÚBLICA - SENT. CANDELÁRIA - CENTRO</t>
  </si>
  <si>
    <t>ENGUIÇO UT</t>
  </si>
  <si>
    <t xml:space="preserve"> AVENIDA FRANCISCO BICALHO - ALT. TREVO DAS FORÇAS ARMADAS - SENT. AV. BRASIL - SANTO CRISTO</t>
  </si>
  <si>
    <t>MAPS</t>
  </si>
  <si>
    <t>AC 2 MT</t>
  </si>
  <si>
    <t>TRANSOLÍMPICA - ALT. EST. BRT PADRE JOÃO CRIBBIN - MAGALHÃES BASTOS</t>
  </si>
  <si>
    <t>VIARIO</t>
  </si>
  <si>
    <t>AC ON X TX</t>
  </si>
  <si>
    <t>AVENIDA BRASIL - ALT. TREVO DAS MISSÕES - SENT. Z. OESTE - CORDOVIL</t>
  </si>
  <si>
    <t>BR T- CET-RIO</t>
  </si>
  <si>
    <t>Enguiço CR</t>
  </si>
  <si>
    <t>Rua Felipe Cardoso, sentido Guaratiba</t>
  </si>
  <si>
    <t xml:space="preserve">Google Maps - Tixxi - CAM 234 </t>
  </si>
  <si>
    <t xml:space="preserve">Linha Vermelha - Alt. KM 3 - Sent. Centro - Caju </t>
  </si>
  <si>
    <t xml:space="preserve">Ocorrência CBMERJ </t>
  </si>
  <si>
    <t xml:space="preserve">Linha Vermelha - Alt. KM 1 - Sent. Centro - São Cristóvão </t>
  </si>
  <si>
    <t>Tixxi - CAM 5395</t>
  </si>
  <si>
    <t xml:space="preserve">AC 2 ON x VP </t>
  </si>
  <si>
    <t xml:space="preserve">Av. Presidente Vargas - Alt. Est. Metrô Cidade Nova - Sent. Praça da Bandeira - Cidade Nova </t>
  </si>
  <si>
    <t>Google Maps - Tixxi - CAM 434</t>
  </si>
  <si>
    <t xml:space="preserve">Av. Brasil - Alt. R. Tiboim - Sent. Centro - Penha </t>
  </si>
  <si>
    <t xml:space="preserve">Google Maps - Tixxi - CAM 434 </t>
  </si>
  <si>
    <t xml:space="preserve">Enguiço ON </t>
  </si>
  <si>
    <t xml:space="preserve">Av. Brasil - Alt. R. do Alpiste - Sent. Z. Oeste - Penha </t>
  </si>
  <si>
    <t>Googles Maps - Tixxi - CAM 259</t>
  </si>
  <si>
    <t xml:space="preserve">Av. Borges de Medeiros - Alt. R. 2 - Sent. Gávea - Lagoa </t>
  </si>
  <si>
    <t>Google Maps - Tixxi - CAM 6610</t>
  </si>
  <si>
    <t xml:space="preserve">R. Manoel Vitorino - Alt. R. Assis Carneiro - Piedade </t>
  </si>
  <si>
    <t>Google Maps - Tixxi - CAM 178</t>
  </si>
  <si>
    <t xml:space="preserve">AC VP x Mureta seguido de capotamento </t>
  </si>
  <si>
    <t xml:space="preserve">Av. Presidente Castelo Branco - Alt. Viaduto Oduvaldo Cozzi - Sent. Méier - Maracanã </t>
  </si>
  <si>
    <t>Google Maps - Tixxi - CAM 715</t>
  </si>
  <si>
    <t xml:space="preserve">Tombamento VP </t>
  </si>
  <si>
    <t xml:space="preserve">Av. Brasil - Alt. Parque Olímpico de Deodoro - Sent. Santa Cruz - Vila Militar </t>
  </si>
  <si>
    <t>Google Maps - Tixxi - CAM 7237</t>
  </si>
  <si>
    <t xml:space="preserve">Ocorrência Policial </t>
  </si>
  <si>
    <t xml:space="preserve">Av. Presidente Vargas - Alt. Sambódromo - Sent. Candelária - Centro </t>
  </si>
  <si>
    <t>Google Maps - Tixxi - CAM 549</t>
  </si>
  <si>
    <t xml:space="preserve">Av. Brasil - Alt. Av. Dra Maria Estrela - Sent. Santa Cruz - Bangu </t>
  </si>
  <si>
    <t>Google Maps</t>
  </si>
  <si>
    <t>ENGUIÇO ON</t>
  </si>
  <si>
    <t>Carlos / Vitor / Maggessi</t>
  </si>
  <si>
    <t xml:space="preserve">RUA TEIXEIRA SOARES - MARACANÃ - ALT. GALETO BANDIERA - SENT. CENTRO </t>
  </si>
  <si>
    <t>Cet-Rio</t>
  </si>
  <si>
    <t>INCÊNDIO EM VP</t>
  </si>
  <si>
    <t xml:space="preserve">LINHA VERMELHA - GALEÃO - ALT. KM 9 - SENT. CENTRO </t>
  </si>
  <si>
    <t>Tixxi - CAM 482</t>
  </si>
  <si>
    <t>OPERAÇÃO POLICIAL</t>
  </si>
  <si>
    <t>AVENIDA MINISTRO IVAN LINS - BARRA DA TIJUCA - ALT. PONTE DA JOATINGA - SENT. RECREIO</t>
  </si>
  <si>
    <t>TRANSOLÍMPICA - TAQUARA - ALT. EST. BRT COLÔNIA - SENT. RECREIO</t>
  </si>
  <si>
    <t>Drone</t>
  </si>
  <si>
    <t>Enguiço ON</t>
  </si>
  <si>
    <t>Av. Padre Leonel Franca sent. Barra da Tijuca</t>
  </si>
  <si>
    <t>Google Maps - Tixxi - CAM 7808</t>
  </si>
  <si>
    <t xml:space="preserve">AC 2 MT </t>
  </si>
  <si>
    <t xml:space="preserve">Matheus /Jackson / Vinícius </t>
  </si>
  <si>
    <t xml:space="preserve">Estr. do Monteiro - Alt. Estr. Iaraquã - Sent. Senador Vasconcelos - Campo Grande </t>
  </si>
  <si>
    <t>Goofle Maps - Tixxi -  CAM 5907</t>
  </si>
  <si>
    <t>ATROPELAMENTO VP</t>
  </si>
  <si>
    <t>Av. Brasil - Alt Cemitério do Caju - Sent. Centro - Caju</t>
  </si>
  <si>
    <t>Cet-rio</t>
  </si>
  <si>
    <t>Google Maps - Tixxi - CAM 114</t>
  </si>
  <si>
    <t xml:space="preserve">AC VP x Árvore </t>
  </si>
  <si>
    <t xml:space="preserve">Av. Lúcio Costa - Alt. Nº 3200 - Sent. Recreio - Barra da Tijuca </t>
  </si>
  <si>
    <t>Google Maps - Tixxi - CAM 2422</t>
  </si>
  <si>
    <t>Enguiço CM</t>
  </si>
  <si>
    <t>AVENIDA SALVADOR ALLENDE - ALT. BRT MINHA PRAIA - SENT. RECREIO - BARRA DA TIJUCA</t>
  </si>
  <si>
    <t xml:space="preserve">Atropelamento MT </t>
  </si>
  <si>
    <t xml:space="preserve">R. Doutor Satamini - Alt. Est. Metrô Afonso Pena - Tijuca </t>
  </si>
  <si>
    <t>Google Maps - Tixxi - CAM 234</t>
  </si>
  <si>
    <t>LINHA VERMELHA - ALT. KM3 - SENT. BAIXADA - CAJU</t>
  </si>
  <si>
    <t>Google Maps - Tixxi - CAM 375</t>
  </si>
  <si>
    <t xml:space="preserve">Av. Dom Hélder Câmara - Alt. Estr. Adhemar Bebiano - Sent. Linha Amarela - Del Castilho </t>
  </si>
  <si>
    <t xml:space="preserve">AC 3 VP </t>
  </si>
  <si>
    <t xml:space="preserve">Elevado Freyssinet - Sent. Centro - Rio Comprido </t>
  </si>
  <si>
    <t>Google Maps - Tixxi - CAM 135</t>
  </si>
  <si>
    <t xml:space="preserve">Av. Ayrton Senna - Alt. Giro do Cebolinha - Sent. Linha Amarela - Gardênia Azul </t>
  </si>
  <si>
    <t>TIXXI</t>
  </si>
  <si>
    <t>Google Maps - Tixxi - CAM 4214</t>
  </si>
  <si>
    <t>AC VP x CR</t>
  </si>
  <si>
    <t xml:space="preserve">Av. Brasil - Alt. R. Eduardo Luís Lopes - Sent. Centro - Caju </t>
  </si>
  <si>
    <t>Google Maps - Tixxi - Alarme HXG</t>
  </si>
  <si>
    <t>Daniel / Leonardo / Vitor</t>
  </si>
  <si>
    <t>ESTRADA DO COLÉGIO - ALT. AV. PASTOR MARTIN LUTHER KING - SENT. IRAJÁ - COLÉGIO</t>
  </si>
  <si>
    <t>Google Maps - Tixxi</t>
  </si>
  <si>
    <t>AC VP x Árvore</t>
  </si>
  <si>
    <t>AVENIDA BRASIL - ALT. PASSARELA 30 - SENT. CENTRO - GUADALUPE</t>
  </si>
  <si>
    <t>AVENIDA TRINTA E UM DE MARÇO - ALT. SAMBÓDROMO - SENT. SANTO CRISTO - SANTO CRISTO</t>
  </si>
  <si>
    <t>RUA DO RUSSEL - ALT. AV. BEIRA MAR - GLÓRIA</t>
  </si>
  <si>
    <t>Alarme HXG - Tixxi</t>
  </si>
  <si>
    <t>ESTRADA DA ÁGUA GRANDE - ALT. R. FLORÂNIA - SENT. CORDOVIL - VISTA ALEGRE</t>
  </si>
  <si>
    <t>AVENIDA EPITÁCIO PESSOA - ALT. Nº 2030 - SENT. COPACABANA - LAGOA</t>
  </si>
  <si>
    <t>ESTRADA DA BARRA DA TIJUCA - ALT. MARINA BARRA CLUBE - SENT. ALTO DA BOA VISTA - BARRA DA TIJUCA</t>
  </si>
  <si>
    <t>AVENIDA DAS AMÉRICAS - ALT. ESTR. BENVINDO DE NOVAES - SENT. BARRA DA TIJUCA - RECREIO DOS BANDEIRANTES</t>
  </si>
  <si>
    <t>RUA VINTE E QUATRO DE MAIO - ALT. R. GREGÓRIO NEVES - ENGENHO NOVO</t>
  </si>
  <si>
    <t>AC ON x VP seguido de incêndio</t>
  </si>
  <si>
    <t>AVENIDA ALFREDO BALTHAZAR DA SILVEIRA - ALT. R. AGENOR RABELLO - RECREIO DOS BANDEIRANTES</t>
  </si>
  <si>
    <t>AVENIDA DOM JOÃO VI - ALT. Nº 753 - SENT. BARRA DA TIJUCA - GUARATIBA</t>
  </si>
  <si>
    <t>ELEVADO ENG. RUFINO DE A. PIZARRO - SENT. TUNEL REBOUÇAS - SÃO CRISTÓVÃO</t>
  </si>
  <si>
    <t>Google Maps - Alarme HXG</t>
  </si>
  <si>
    <t>LINHA AMARELA - ALT. SAÍDA 9A - SENT. BARRA - BONSUCESSO</t>
  </si>
  <si>
    <t>LAMSA</t>
  </si>
  <si>
    <t>AC envolv. MT</t>
  </si>
  <si>
    <t>ESTRADA DO PAU-FERRO - ALT. Nº 647 - SSENT. PECHINCHA - FREGUESIA JACAREPAGUÁ</t>
  </si>
  <si>
    <t>Atropelamento VP</t>
  </si>
  <si>
    <t>TRANSOLÍMPICA - ALT. EST. BRT BOIUNA - SENT. RECREIO - TAQUARA</t>
  </si>
  <si>
    <t>LINHA VERMELHA - ALT. KM 10 - SENT. BAIXADA - GALEÃO</t>
  </si>
  <si>
    <t>LINHA VERMELHA - ALT. KM 8 - SENT. CENTRO - CIDADE UNIVERSITÁRIA</t>
  </si>
  <si>
    <t>Alarme HXG</t>
  </si>
  <si>
    <t>Evento Religioso</t>
  </si>
  <si>
    <t>RUA VISCONDE DE PIRAJÁ - IPANEMA</t>
  </si>
  <si>
    <t>MAPS - CAM 4591</t>
  </si>
  <si>
    <t>AC CM x VP</t>
  </si>
  <si>
    <t>LEO / CARLOS / DANIEL</t>
  </si>
  <si>
    <t>AV. FRANCISCO BICALHO - ALT. R. FRANCISCO EUGÊNIO - SENT. CENTRO</t>
  </si>
  <si>
    <t>MAPS - CAM 3740</t>
  </si>
  <si>
    <t>AC ON x VP</t>
  </si>
  <si>
    <t>AV. FRANCISCO BICALHO - ALT. LINHA FÉRREA  - SENT. CENTRO</t>
  </si>
  <si>
    <t>MAPS - TIXXI - ALARMES</t>
  </si>
  <si>
    <t>ENGUIÇO CM</t>
  </si>
  <si>
    <t>TRANSOLÍPICA - ALT. VILA MILITAR  - SENT. RECREIO</t>
  </si>
  <si>
    <t>TRANSOLÍPICA - ALT. DO TÚNEL  - SENT. RECREIO</t>
  </si>
  <si>
    <t>CONCESSIONÁRIA</t>
  </si>
  <si>
    <t>ESTRADA DO GALEÃO - ALT. ESTR DAS CANÁRIAS - SENT. PORTUGUESA</t>
  </si>
  <si>
    <t>AV AUGUSTO SEVERO - ALT. PRAÇA PARIS - SENT. BOTAFOGO</t>
  </si>
  <si>
    <t xml:space="preserve">MAPS </t>
  </si>
  <si>
    <t>AC VP x 2 MT</t>
  </si>
  <si>
    <t>LINHA AMARELA - ALT. SAÍDA 9A - SENT. BARRA DA TIJUCA - MANGUINHOS</t>
  </si>
  <si>
    <t>AVENIDA BRASIL - ALT. DA PASSARELA 21A- SENT. CENTRO - VIGÁRIO GERAL</t>
  </si>
  <si>
    <t xml:space="preserve">QUEDA MT </t>
  </si>
  <si>
    <t>LINHA AMARELA - ALT. CIDADE DE DEUS - SENT. BARRA - CIDADE DE DEUS</t>
  </si>
  <si>
    <t>Alarme Hexagon</t>
  </si>
  <si>
    <t>Maggessi/Vitor/Carlos</t>
  </si>
  <si>
    <t>ESTRADA MARECHAL ALENCASTRO - ALT. VIADUTO DE SÃO CRISTÓVÃO - SENT. AV. BRASIL - DEODORO</t>
  </si>
  <si>
    <t xml:space="preserve">AC ENVOL. UT </t>
  </si>
  <si>
    <t>AVENIDA AMARO CAVALCANTI - ALT. VIADUTO DE TODOS OS SANTOS - SENT. MEIER - TODOS OS SANTOS</t>
  </si>
  <si>
    <t>Maps</t>
  </si>
  <si>
    <t>AVENIDA MINISTRO EDGARD ROMERO - ALT. Nº 217 - MADUREIRA</t>
  </si>
  <si>
    <t>OCORRÊNCIA CBMERJ</t>
  </si>
  <si>
    <t>ESTRADA DA CAROBA - ALT. Nº 1055 - SENT. AV. BRASIL - CAMPO GRANDE</t>
  </si>
  <si>
    <t>AVENIDA DAS AMÉRICAS - BARRA DA TIJUCA - ALT. EST. BRT BOSQUE MARAPENDI - SENT. SÃO CONRADO</t>
  </si>
  <si>
    <t>AC CR x VP</t>
  </si>
  <si>
    <t>AV. BRASIL - ALT. CPOR - SENT. Z. OESTE</t>
  </si>
  <si>
    <t>MAPS TIXXI</t>
  </si>
  <si>
    <t>QUEDA MT</t>
  </si>
  <si>
    <t>LINHA AMARELA - ALT. TUNEL DA COVANCA - SENT. FUNDÃO</t>
  </si>
  <si>
    <t>LINHA AMARELA - ALT. ACESSO 8 - SENT. FUNDÃO</t>
  </si>
  <si>
    <t>INCÊNDIO VP</t>
  </si>
  <si>
    <t>AV RODRIGO OTÁVIO - ALT PRAÇA SIBELIUS</t>
  </si>
  <si>
    <t>AC UT x TX x  VP</t>
  </si>
  <si>
    <t>AV BRASIL- ALT. INTO - SENT. Z. OESTE</t>
  </si>
  <si>
    <t xml:space="preserve">Linha Vermelha - Alt. KM 5,5 - Sent. Baixada - Cidade universitária </t>
  </si>
  <si>
    <t xml:space="preserve">Transolímpica - Alt. Est. BRT Marechal Fontenelle - Sent. Av. Brasil - Jardim Sulacap </t>
  </si>
  <si>
    <t xml:space="preserve">CCO TRANSOLÍMPICA </t>
  </si>
  <si>
    <t>Google Maps - Tixxi - CAM 58</t>
  </si>
  <si>
    <t xml:space="preserve">Av. Ayrton Senna - Alt. Est. BRT Aeroporto Jacarepaguá - Sent. Linha Amarela - Barra da Tijuca </t>
  </si>
  <si>
    <t xml:space="preserve">AC Envol. MT </t>
  </si>
  <si>
    <t xml:space="preserve">Elevado Eng. Freyssinet - Sent. Praça da Bandeira - Rio Comprido </t>
  </si>
  <si>
    <t>Google Maps - Tixxi - CAM 673</t>
  </si>
  <si>
    <t xml:space="preserve">TÚNEL ANDRÉ REBOUÇAS - ALT. PRIMEIRA GALERIA - SENT. CENTRO - COSME VELHO
</t>
  </si>
  <si>
    <t>Google Maps - Tixxi - CAM 3165</t>
  </si>
  <si>
    <t xml:space="preserve">Av. Embaixador Abelardo Bueno - Alt. Terminal Centro Olímpico - Sent. Av. Salvador Allende - Barra da Tijuca </t>
  </si>
  <si>
    <t>Google Maps - Tixxi - CAM 1400</t>
  </si>
  <si>
    <t xml:space="preserve">Av. das Nações Unidas - Alt. R. Prof. Alfredo Gomes - Sent. Copacabana  - Botafogo </t>
  </si>
  <si>
    <t xml:space="preserve">Av. Brasil - Alt. Viaduto de Deodoro - Sent. Centro - Deodoro </t>
  </si>
  <si>
    <t xml:space="preserve">CET-RIO </t>
  </si>
  <si>
    <t>Google Maps - Tixxi - CAM 4833</t>
  </si>
  <si>
    <t xml:space="preserve">AC UT x Poste </t>
  </si>
  <si>
    <t xml:space="preserve">Rua da América - Alt. Praça Santo Cristo - Santo Cristo </t>
  </si>
  <si>
    <t>Google Maps - Tixxi - CAM 112</t>
  </si>
  <si>
    <t xml:space="preserve">Viaduto Saint Hilaire - Alt. Túnel Rebouças - Sent. Centro - Jardim Botânico </t>
  </si>
  <si>
    <t>Google Maps - Tixxi - CAM 2445</t>
  </si>
  <si>
    <t xml:space="preserve">Transolímpica - Alt. Est. BRT Marechal Fontenelle - Sent. Barra da Tijuca - Jardim Sulacap </t>
  </si>
  <si>
    <t>Waze - Tixxi</t>
  </si>
  <si>
    <t>Magessi / Vitor / Carlos</t>
  </si>
  <si>
    <t>Linha Amarela - Alt. Av dos democráticos - Sent. Fundão</t>
  </si>
  <si>
    <t>Google Maps - Tixxi - CAM 7297</t>
  </si>
  <si>
    <t xml:space="preserve">Matheus / Vinícius </t>
  </si>
  <si>
    <t xml:space="preserve">Autoestrada Eng. Fernando Mac Dowell - Alt. R. Henrique Midosi - Sent, Gávea - São Conrado </t>
  </si>
  <si>
    <t>ENGUIÇO VP</t>
  </si>
  <si>
    <t>AVENIDA AYRTON SENNA - ALT. HOSP. LOURENÇO JORGE - SENT. L. AMARELA - BARRA DA TIJUCA</t>
  </si>
  <si>
    <t>AUTOESTRADA FERNANDO MAC DOWELL - ALT. GOLF VLUB - SENT. LAGOA - SÃO CONRADO</t>
  </si>
  <si>
    <t>Manutenção na via (Concessionária)</t>
  </si>
  <si>
    <t xml:space="preserve">Ponte Rio - Niterói - Alt. Porto - Sent. Niterói - Caju </t>
  </si>
  <si>
    <t xml:space="preserve">CCO ECOPONTE </t>
  </si>
  <si>
    <t>ESTRADA DO PAU-FERRO - ALT. LINHA AMARELA - SENT. ESTR. DOS TRÊS RIOS - FREGUESIA JACAREPAGUÁ</t>
  </si>
  <si>
    <t xml:space="preserve">Linha Amarela - Alt. Saída 9A - Sent. Fundão - Bonsucesso </t>
  </si>
  <si>
    <t xml:space="preserve">LAMSA </t>
  </si>
  <si>
    <t>ESTRADA DO MENDANHA - ALT. WEST SHOPPING - SENT. GUARATIBA - CAMPO GRANDE</t>
  </si>
  <si>
    <t>Google Maps - Tixxi - CAM 3646</t>
  </si>
  <si>
    <t xml:space="preserve">AC VP x Mureta </t>
  </si>
  <si>
    <t>AVENIDA DAS AMÉRICAS - ALT. EST. BRT PEDRA DE ITAÚNA - SENT. Z. OESTE - BARRA DA TIJUCA</t>
  </si>
  <si>
    <t xml:space="preserve">Av. Pastor Martin Luther King Jr - Alt. Estr. Adhemar Bebiano - Sent. Irajá - Engenho da Rainha </t>
  </si>
  <si>
    <t xml:space="preserve">Ac 2 VP </t>
  </si>
  <si>
    <t>AVENIDA DAS AMÉRICAS - ALT. CIDADES DAS ARTES - SENT. SANTA CRUZ - BARRA DA TIJUCA</t>
  </si>
  <si>
    <t>ENGUIÇO CR</t>
  </si>
  <si>
    <t xml:space="preserve">Leonardo / Felipe / Daniel </t>
  </si>
  <si>
    <t>ESTRADA BENVINDO DE NOVAES - ALT. AMÉRICAS SHOPPING - SENT. ORLA - RECREIO DOS BANDEIRANTES</t>
  </si>
  <si>
    <t>SUBTRAN</t>
  </si>
  <si>
    <t xml:space="preserve">AC VP x VTR seguido de capotamento </t>
  </si>
  <si>
    <t xml:space="preserve">L. Vermelha - Alt. KM 2,5 - Sent. Centro - Caju </t>
  </si>
  <si>
    <t>TRANSOLÍMPICA - ALT. EST. BRT LEILA DINIZ - SENT. RECREIO DOS BANDEIRANTES - CURICICA</t>
  </si>
  <si>
    <t>PRAÇA DA BANDEIRA &amp; RUA TEIXEIRA SOARES - SENT. CENTRO - PRAÇA DA BANDEIRA</t>
  </si>
  <si>
    <t xml:space="preserve">Av. Lúcio Costa - Alt. Reserva - Sent. Campo Grande - Recreio dos Bandeirantes </t>
  </si>
  <si>
    <t xml:space="preserve">CICC </t>
  </si>
  <si>
    <t>RUA VOLUNTÁRIOS DA PÁTRIA - ALT. N°402 - BOTAFOGO</t>
  </si>
  <si>
    <t>Google Maps - Tixxi - CAM 5591</t>
  </si>
  <si>
    <t xml:space="preserve">AV. Vinte e Quatro de Maio - Alt. Nº 29 - São Francisco Xavier </t>
  </si>
  <si>
    <t>LINHA AMARELA - ALT. SAÍDA 07 - SENT FUNDÃO - BONSUCESSO</t>
  </si>
  <si>
    <t>TUNEL MARTIM DE SÁ - SENT. CENTRO - CATUMBI</t>
  </si>
  <si>
    <t>Google Maps - Tixxi - CAM 6130</t>
  </si>
  <si>
    <t xml:space="preserve">Av. Pastor Martin Luther King Jr - Alt. Est. Metrô Vicente de Carvalho - Sent. Irajá - Vicente de Carvalho </t>
  </si>
  <si>
    <t xml:space="preserve">Google Maps - Tixxi - CAM 4413 </t>
  </si>
  <si>
    <t>AC 2 VP X MT</t>
  </si>
  <si>
    <t>Diego/Jackson/Vinicíus</t>
  </si>
  <si>
    <t xml:space="preserve">Av. Brasil - Alt. Est. BRT Rubens Vaz - Sent. Z. Oeste - Maré </t>
  </si>
  <si>
    <t xml:space="preserve">AUTOESTRADA FERNANDO MAC DOWELL - SÃO CONRADO - AGULHA DE SAÍDA DA ESTRADA DA GÁVEA </t>
  </si>
  <si>
    <t>Google Maps - Tixxi - CAM 37</t>
  </si>
  <si>
    <t xml:space="preserve">Estr. do Galeão - Alt. Base Aérea - Sent. Linha Vermelha - Galeão </t>
  </si>
  <si>
    <t xml:space="preserve"> PONTE PRESIDENTE COSTA E SILVA - ALT. RETA DO CAIS - SENT. NITEROI - CAJU</t>
  </si>
  <si>
    <t>Google Maps - Tixxi - CAM 45</t>
  </si>
  <si>
    <t xml:space="preserve">Av. Padre Leonel Franca - Alt. R. Prof. Manuel Ferreira - Em ambos os sentidos - Gávea </t>
  </si>
  <si>
    <t>Goofle Maps - Tixxi - CAM 4404</t>
  </si>
  <si>
    <t>AVENIDA BRASIL - ALT. DA PASSARELA 7 - SENT. CENTRO. - BONSUCESSO</t>
  </si>
  <si>
    <t>AVENIDA AYRTON SENNA - ALT. Nº3383 - SENT. ORLA - BARRA DA TIJUCA</t>
  </si>
  <si>
    <t>Goofle Maps - Tixxi - CAM 4416</t>
  </si>
  <si>
    <t>AVENIDA MINISTRO IVAN LINS - ALT. R. ARMANDO COELHO DE FREITAS - SENT. SÃO CONRADO - BARRA DA TIJUCA</t>
  </si>
  <si>
    <t>PONTE PRESIDENTE COSTA E SILVA - ALT. RETA DO CAIS - SENT. NITEROI - CAJU</t>
  </si>
  <si>
    <t>Google Maps - Alarme HXG - Tixxi - Cam 1381</t>
  </si>
  <si>
    <t>Diego/Jackson/Vinícius</t>
  </si>
  <si>
    <t xml:space="preserve"> AVENIDA MINISTRO IVAN LINS - ALT. R. ARMANDO COELHO DE FREITAS - SENT. SÃO CONRADO - BARRA DA TIJUCA</t>
  </si>
  <si>
    <t>Google Maps - Alarme HXG - Tixxi - Cam1016</t>
  </si>
  <si>
    <t>Leonardo/Jackson/Vinicíus</t>
  </si>
  <si>
    <t>RUA PROFESSOR ARLINDO RODRIGUES - ALT. CIDADE DO SAMBA - SENT. CENTRO - SANTO CRISTO</t>
  </si>
  <si>
    <t>Google Maps - Alarme HXG - Tixxi - Cam 5592</t>
  </si>
  <si>
    <t xml:space="preserve">Daniel / Leonardo / Felipe </t>
  </si>
  <si>
    <t>RUA VINTE E QUATRO DE MAIO - ALT. R. GEN. RODRIGUES - ROCHA</t>
  </si>
  <si>
    <t>Diego/Jackson/Alex</t>
  </si>
  <si>
    <t>ESTRADA DA PEDRA - ALT Nº 2243 - SENT. GUARATIBA - SANTA CRUZ</t>
  </si>
  <si>
    <t>AC VP X POSTE</t>
  </si>
  <si>
    <t>Diego/Leonardo/Jackson/Alex</t>
  </si>
  <si>
    <t xml:space="preserve">AVENIDA PASTOR MARTIN LUTHER KING JÚNIOR - INHAÚMA - ALT. R. FRANCISCO SIQUEIRA - SENT. PAVUNA </t>
  </si>
  <si>
    <t>Google Maps - Alarme HXG - CAM 184</t>
  </si>
  <si>
    <t>AC CM X UT</t>
  </si>
  <si>
    <t>AVENIDA VICENTE DE CARVALHO - ALT. PRAÇA MARCO AURÉLIO -SENT. PENHA - PENHA CIRCULAR</t>
  </si>
  <si>
    <t>AC 2 VP X POSTE</t>
  </si>
  <si>
    <t>RUA MÁRIO RIBEIRO - ALT. Nº 410 - SENT. SÃO CONRADO - LAGOA</t>
  </si>
  <si>
    <t>Google Maps - Alarme HXG - CAM 377</t>
  </si>
  <si>
    <t>Vitor/Carlos /Maggessi</t>
  </si>
  <si>
    <t>AVENIDA MARECHAL RONDON - ALT. R. ANTUNES GARCIA - SAMPAIO</t>
  </si>
  <si>
    <t>TRANSOLÍMPICA - ALT. EST. BRT PADRE JOÃO CRIBBIN - SENT. RECREIO - MAGALHÃES BASTOS</t>
  </si>
  <si>
    <t>Concessionária</t>
  </si>
  <si>
    <t>ESTRADA RIO DO A - ALT. R. CAMPOS ELÍSIOS - SENT. GUARATIBA - CAMPO GRANDE</t>
  </si>
  <si>
    <t>Google Maps - Alarme HXG - CAM 607</t>
  </si>
  <si>
    <t>AC ENVOL. CM</t>
  </si>
  <si>
    <t>AVENIDA MINISTRO IVAN LINS - ALT. DO LIMITADOR - SENT. SÃO CONRADO - BARRA DA TIJUCA</t>
  </si>
  <si>
    <t>Google Maps- CAM 660</t>
  </si>
  <si>
    <t>Enguiço UT</t>
  </si>
  <si>
    <t>TUNEL ANTÔNIO REBOUÇAS - 1º GALERIA - SENT. CENTRO - RIO COMPRIDO</t>
  </si>
  <si>
    <t>Tixxi - Cam 002</t>
  </si>
  <si>
    <t>IÇAMENTO DE MATERIAL</t>
  </si>
  <si>
    <t>AVENIDA PRESIDENTE VARGAS - ALT. CANDELÁRIA - SENT. PRAÇA DA BANDEIRA - CENTRO</t>
  </si>
  <si>
    <t>Google Maps - Alarme HXG - CAM 298</t>
  </si>
  <si>
    <t xml:space="preserve">AC TX x VP </t>
  </si>
  <si>
    <t xml:space="preserve">Matheus/Ricardo /Alex </t>
  </si>
  <si>
    <t xml:space="preserve">Av. Epitácio Pessoa - Alt. R Vinícius de Moraes - Sent. Gávea - Lagoa </t>
  </si>
  <si>
    <t xml:space="preserve">Google Maps - Alarme HXG - CAM 2412 </t>
  </si>
  <si>
    <t xml:space="preserve">Av. Salvador Allende - Alt. Est. BRT Riocentro - Sent. Transolímpica - Barra da Tijuca </t>
  </si>
  <si>
    <t xml:space="preserve">Google Maps - Alarme HXG </t>
  </si>
  <si>
    <t xml:space="preserve">Linha Vermelha - Alt. KM 12- Sent. Baixada - Cordovil </t>
  </si>
  <si>
    <t>Google Maps - Alarme HXG - CAM 6696</t>
  </si>
  <si>
    <t xml:space="preserve">R. Humaitá - Alt. R. Vitório da Costa - Sent. Túnel Rebouças - Humaitá </t>
  </si>
  <si>
    <t>Google Maps - Alarme HXG - CAM 894</t>
  </si>
  <si>
    <t xml:space="preserve">Av. das Américas - Alt. Est. BRT Recanto das Garças - Sent. Barra da Tijuca - Recreio dos Bandeirantes </t>
  </si>
  <si>
    <t>Google Maps - Alarme HXG - CAM 6852</t>
  </si>
  <si>
    <t xml:space="preserve">R. Teodoro da Silva - Alt. R. Barão de São Francisco - Vila Isabel </t>
  </si>
  <si>
    <t xml:space="preserve">Google Maps - Alarme HXG - CAM 21 </t>
  </si>
  <si>
    <t xml:space="preserve">Av. Osvaldo Aranha - Alt. R. Joaquim Palhares - Sent. Maracanã - Praça da Bandeira </t>
  </si>
  <si>
    <t>Google Maps - Alarme HXG - CAM 7314</t>
  </si>
  <si>
    <t xml:space="preserve">Estr. Intendente Magalhães - Alt. R. Aladim - Em ambos os sentidos - Bento Ribeiro </t>
  </si>
  <si>
    <t>Google Maps - Alarme HXG - CAM 892</t>
  </si>
  <si>
    <t xml:space="preserve">Av. das Américas - Alt. Estr. Benvindo de Novaes - Sent. Barra da Tijuca - Recreio dos Bandeirantes </t>
  </si>
  <si>
    <t>Google Maps - Alarme HXG - CAM 3344</t>
  </si>
  <si>
    <t xml:space="preserve">Operação policial </t>
  </si>
  <si>
    <t xml:space="preserve">Matheus/Ricardo/Alex </t>
  </si>
  <si>
    <t xml:space="preserve">Estr. do Galeão - Alt. Nº 201 - Em ambos os sentidos - Portuguesa </t>
  </si>
  <si>
    <t>Google Maps - Alarme HXG - CAM 7825</t>
  </si>
  <si>
    <t xml:space="preserve">R. Conselheiro Galvão - Alt. Viaduto Pref. Negrão de Lima - Sent. Praça Seca - Madureira </t>
  </si>
  <si>
    <t>Google Maps - Alarme HXG - CAM 756</t>
  </si>
  <si>
    <t xml:space="preserve">Linha Amarela - Alt. Av. dos Democráticos - Sent. Fundão - Bonsucesso </t>
  </si>
  <si>
    <t>Google Maps - Alarme HXG - CAM 4413</t>
  </si>
  <si>
    <t>Manutenção na via (RIOLUZ)</t>
  </si>
  <si>
    <t>Google Maps - Alarme HXG - CAM 5603</t>
  </si>
  <si>
    <t xml:space="preserve">R. Vinte e Quatro de Maio - Alt. Vitor Meireles - Riachuelo </t>
  </si>
  <si>
    <t>Google Maps - Alarme HXG - CAM 3652</t>
  </si>
  <si>
    <t>Matheus/Vitor/Ricardo</t>
  </si>
  <si>
    <t xml:space="preserve">Av. Pastor Martin Luther King Jr - Alt. Est. Metrô Irajá - Sent. Vicente de Carvalho - Irajá </t>
  </si>
  <si>
    <t>Incêndio VP</t>
  </si>
  <si>
    <t>Daniel/Carlos /Vitor</t>
  </si>
  <si>
    <t>Externo - Tixxi</t>
  </si>
  <si>
    <t>ESTRADA DO PAU-FERRO - ALT. R. SIMPLÍCIO DE SÁ - SENT. PECHINCHA - FREGUESIA JACAREPAGUÁ</t>
  </si>
  <si>
    <t>Externo</t>
  </si>
  <si>
    <t>INCÊNDIO ON</t>
  </si>
  <si>
    <t>AVENIDA PARANAPUÃ - ALT. RUA DOUTOR MANOEL MARREIROS - TAUÁ</t>
  </si>
  <si>
    <t>Subprefeitura</t>
  </si>
  <si>
    <t>Google maps</t>
  </si>
  <si>
    <t>LINHA VERMELHA - ALT. KM 4,5 - SENT. CENTRO - MARÉ</t>
  </si>
  <si>
    <t>Google Maps - CAM  2337</t>
  </si>
  <si>
    <t xml:space="preserve">Matheus/Ricardo/Vinícius </t>
  </si>
  <si>
    <t xml:space="preserve">Av. das Américas - Alt. Est. BRT Pontões/Barrasul - Sent. Recreio dos Bandeirantes - Barra da Tijuca </t>
  </si>
  <si>
    <t>Google Maps - CAM 4428</t>
  </si>
  <si>
    <t xml:space="preserve">Av. Brasil - Alt. Est. BRT Irajá - Sent. Centro - Irajá </t>
  </si>
  <si>
    <t>Google Maps - CAM 2170</t>
  </si>
  <si>
    <t xml:space="preserve">Av. Ayrton Senna - Alt. Est. BRT Aeroporto de Jacarepaguá - Sent. Linha Amarela - Barra da Tijuca </t>
  </si>
  <si>
    <t xml:space="preserve">TIXXi </t>
  </si>
  <si>
    <t>Google Maps - CAM 5907</t>
  </si>
  <si>
    <t xml:space="preserve">Av. Brasil - Alt. Descida da Ponte - Sent. Z. Oeste - Caju </t>
  </si>
  <si>
    <t xml:space="preserve">Av. das Américas - Alt. Est. BRT Santa Mônica Jardins - Sent. São Conrado - Barra da Tijuca </t>
  </si>
  <si>
    <t xml:space="preserve">Linha Vermelha - Alt. KM 10 - Sent. Centro - Galeão </t>
  </si>
  <si>
    <t xml:space="preserve">Av. Lúcioo Costa - Alt. Posto 8 - Em ambos os sentidos - Barra da Tijuca </t>
  </si>
  <si>
    <t>Google Maps - CAM 196</t>
  </si>
  <si>
    <t xml:space="preserve">Estr. dos Bandeirantes - Alt. R. André Rocha - Sent. Curicica - Taquara </t>
  </si>
  <si>
    <t>Google Maps - CAM 724</t>
  </si>
  <si>
    <t xml:space="preserve">Av. Brasil - Alt. R. Marcos de Macedo - Sent. Z. Oeste - Guadalupe </t>
  </si>
  <si>
    <t>Google Maps - CAM 636</t>
  </si>
  <si>
    <t xml:space="preserve">AC CR x MT </t>
  </si>
  <si>
    <t xml:space="preserve">Av. Brasil - Alt. Est. BRT Guadalupe - Sent. Centro - Guadalupe </t>
  </si>
  <si>
    <t>Leonardo / Felipe / Daniel</t>
  </si>
  <si>
    <t>AVENIDA AYRTON SENNA - ALT. PONTE SANTOS DUMONT - SENT. ORLA - GARDÊNIA AZUL</t>
  </si>
  <si>
    <t>Semáforo apagado</t>
  </si>
  <si>
    <t>RUA VINTE E QUATRO DE MAIO - ALT. R. SILVA FREIRE - ENGENHO NOVO</t>
  </si>
  <si>
    <t>Alarme HXG - Google Maps</t>
  </si>
  <si>
    <t>PONTE RIO - NITERÓI - ALT. PÓRTICO 6,5 - SENT. NITERÓI - CAJU</t>
  </si>
  <si>
    <t>AVENIDA AYRTON SENNA - ALT. VILA DO PAN - SENT. ORLA - JACAREPAGUÁ</t>
  </si>
  <si>
    <t>Alarme HXG - Google Maps - Tixxi</t>
  </si>
  <si>
    <t>ESTRADA DOS BANDEIRANTES - ALT. EST. BRT MERCK - SENT. TANQUE - TAQUARA</t>
  </si>
  <si>
    <t>RUA TEODORO DA SILVA - ALT. AV. PROF. MANOEL DE ABREU - VILA ISABEL</t>
  </si>
  <si>
    <t>TÚNEL ACÚSTICO RAFAEL MASCARENHAS - SENT. SÃO CONRADO - GÁVEA</t>
  </si>
  <si>
    <t>Queda de Poste na via</t>
  </si>
  <si>
    <t>AVENIDA GILKA MACHADO - AVENIDA GENARO DE CARVALHO - RECREIO DOS BANDEIRANTES</t>
  </si>
  <si>
    <t>AVENIDA JUAN MANUEL FANGIO - ALT. VIA PARQUE - SENT. LINHA AMARELA - BARRA DA TIJUCA</t>
  </si>
  <si>
    <t>AUTOESTRADA FERNANDO MAC DOWELL - ALT. TÚNEL ZUZU ANGEL - SENT. LAGOA - SÃO CONRADO</t>
  </si>
  <si>
    <t>AVENIDA BRASIL - ALT. DA PASSARELA  2 - SENT. Z.OESTE. - SÃO CRISTÓVÃO</t>
  </si>
  <si>
    <t>AVENIDA BRASIL - ALT. PASSARELA 18 - SENT. CENTRO - BRÁS DE PINA</t>
  </si>
  <si>
    <t>LINHA AMARELA - ALT. ACESSO 05, SENT. FUNDÃO - DEL CASTILHO</t>
  </si>
  <si>
    <t>AC 2 VP seguido de capotamento</t>
  </si>
  <si>
    <t>PONTE RIO - NITERÓI  - ALT. PÓRTICO 2 - SENT. NITERÓI - CAJU</t>
  </si>
  <si>
    <t>RUA CONDE DE BONFIM - ALT. R. JOSÉ HIGINO - SENT. USINA - TIJUCA</t>
  </si>
  <si>
    <t>TUNEL ANTÔNIO REBOUÇAS - ALT. 2° GALERIA - SENT. CENTRO - RIO COMPRIDO</t>
  </si>
  <si>
    <t>GMSUBTRAN</t>
  </si>
  <si>
    <t>AVENIDA REI PELÉ - ALT. R. SÃO FRANCISCO XAVIER - SENT. MÉIER - MARACANÃ</t>
  </si>
  <si>
    <t>RUA DIAS DA CRUZ - ALT. R. ANA BARBOSA - SENT. ENGENHO DE DENTRO - MÉIER</t>
  </si>
  <si>
    <t>LINHA VERMELHA - ALT. LINHA AMARELA - SENT. CENTRO - MARÉ</t>
  </si>
  <si>
    <t>AVENIDA BRASIL - ALT. STAND DE TIRO SENT CENTRO - VILA MILITAR</t>
  </si>
  <si>
    <t>AVENIDA AYRTON SENNA - PONTE SANTOS DUMONT - SENT. LINHA AMARELA - BARRA DA TIJUCA</t>
  </si>
  <si>
    <t>Incêndio em imóvel comercial</t>
  </si>
  <si>
    <t>RUA ÁLVARO RAMOS - ALT. N° 499 - BOTAFOGO</t>
  </si>
  <si>
    <t>AC ON x UT</t>
  </si>
  <si>
    <t>AVENIDA ARMANDO LOMBARDI - ALT. AV. DAS AMÉRICAS - SENT. RECREIO - BARRA DA TIJUCA</t>
  </si>
  <si>
    <t>AVENIDA AYRTON SENNA - ALT. VIA PARQUE - SENT. ORLA - BARRA DA TIJUCA</t>
  </si>
  <si>
    <t>Incêndio em vegetação</t>
  </si>
  <si>
    <t>AVENIDA BRASIL - ALT. ESTRADA DO PEDREGOSO - SENT. CENTRO - CAMPO GRANDE</t>
  </si>
  <si>
    <t>Manifestação</t>
  </si>
  <si>
    <t>AVENIDA ATLÂNTICA - ALT. R. MIGUEL LEMOS - SENT. LEME - COPACABANA</t>
  </si>
  <si>
    <t>AVENIDA MERITI - ALT. LARGO DO BICÃO - SENT. CORDOVIL - BRÁS DE PINA</t>
  </si>
  <si>
    <t>TRANSOLÍMPICA - ALT. EST. BRT OUTEIRO SANTO - SENT. DEODORO - TAQUARA</t>
  </si>
  <si>
    <t>Diego / Jackson / Vinícius</t>
  </si>
  <si>
    <t>Google Maps Alarme HXG</t>
  </si>
  <si>
    <t>PONTE PRESIDENTE COSTA E SILVA - ALT. GRANDE RETA - SENT. NITEROI - SAÚDE</t>
  </si>
  <si>
    <t>Alarme HXG - Google Maps - Tixxi / Cam 778</t>
  </si>
  <si>
    <t xml:space="preserve">AC CM x VP </t>
  </si>
  <si>
    <t xml:space="preserve">Maggessi / Leonardo / Felipe </t>
  </si>
  <si>
    <t>AVENIDA FRANCISCO BICALHO - ALT DETRAN RJ - SENT. CENTRO - SANTO CRISTO</t>
  </si>
  <si>
    <t xml:space="preserve">Alarme HXG - Google Maps </t>
  </si>
  <si>
    <t xml:space="preserve">AC UT x VP </t>
  </si>
  <si>
    <t>LINHA AMARELA - ALT. SAIDA 3 - SENT. BARRA - ENGENHO DE DENTRO</t>
  </si>
  <si>
    <t>Alarme HXG - Google Maps - Tixxi / Cam 7592</t>
  </si>
  <si>
    <t>ESTRADA DO CAMPINHO - ALT. R. ITAÚNAS - SENT. BRASIL - INHOAÍBA</t>
  </si>
  <si>
    <t>Alarme HXG - Google Maps - Tixxi / Cam 7256</t>
  </si>
  <si>
    <t>RUA GETÚLIO - ALT. R. CIRNE MAIA - TODOS OS SANTOS</t>
  </si>
  <si>
    <t>Alarme HXG - Google Maps - Tixxi / Cam 761</t>
  </si>
  <si>
    <t>Diego / Jackson / Alex</t>
  </si>
  <si>
    <t>R. 24 de Maio, 161 - Rocha</t>
  </si>
  <si>
    <t>Alarme HXG - Google Maps - Tixxi / Cam 45</t>
  </si>
  <si>
    <t>RUA MÁRIO RIBEIRO - Alt. Prç. Sibélius - Sent. Lagoa</t>
  </si>
  <si>
    <t>Alarme HXG - Google Maps - Tixxi / Cam 668</t>
  </si>
  <si>
    <t>Túnel André Rebouças - Galeria 1 - Sent. Centro</t>
  </si>
  <si>
    <t>Google Maps - Alarme HXG - Tixxi -Cam 167</t>
  </si>
  <si>
    <t>LINHA VERMELHA - ALT. KM 12 - SENT. CENTRO - PAVUNA</t>
  </si>
  <si>
    <t>Alarme HXG - Google Maps - Tixxi / Cam 667</t>
  </si>
  <si>
    <t xml:space="preserve"> TÚNEL ANDRÉ REBOUÇAS - GAL. 1 - SENT. CENTRO - COSME VELHO</t>
  </si>
  <si>
    <t>AC 2 VP</t>
  </si>
  <si>
    <t>VOLUNTÁRIOS DA PÁTRIA - CRUZAMENTO COM RUA REAL GRANDEZA - BOTAFOGO</t>
  </si>
  <si>
    <t xml:space="preserve"> ENGUIÇO VP</t>
  </si>
  <si>
    <t>Maggessi/Carlos/Vitor</t>
  </si>
  <si>
    <t xml:space="preserve">TRANSOLÍMPICA - ALT. EST. BRT MAGALHÃES BASTOS - SENT. RECREIO - MAGALHÃES BASTOS
</t>
  </si>
  <si>
    <t>CAPOTAMENTO VP</t>
  </si>
  <si>
    <t>AVENIDA BRASIL - ALT. TRANSOLÍMPICA - SENT. SANTA C RUZ - VILA MILITAR</t>
  </si>
  <si>
    <t>Globocop</t>
  </si>
  <si>
    <t>Ocorrência Policial</t>
  </si>
  <si>
    <t>LINHA VERMELHA - ALT. KM 12 - SENT. BAIXADA - GALEÃO</t>
  </si>
  <si>
    <t>INCÊNDIO EM IMÓVEL</t>
  </si>
  <si>
    <t>RUA BARATA RIBEIRO - ALT. R. SIQUEIRA CAMPOS - COPACABANA</t>
  </si>
  <si>
    <t>CBMERJ - Tixxi</t>
  </si>
  <si>
    <t>AC 2VP</t>
  </si>
  <si>
    <t>AVENIDA AYRTON SENNA - ALT. GIRO DO CEBOLINHA - SENT. ORLA - JACAREPAGUÁ</t>
  </si>
  <si>
    <t>RUA UBERABA - ALT. Nº 46 - GRAJAÚ</t>
  </si>
  <si>
    <t>GM</t>
  </si>
  <si>
    <t>Google Maps - Tixxi - Cam 135</t>
  </si>
  <si>
    <t>Google Maps - Tixxi - Cam 65</t>
  </si>
  <si>
    <t xml:space="preserve"> AVENIDA DAS AMÉRICAS - ALT. EST. BRT BOSQUE MARAPENDI - SENT. RECREIO - BARRA DA TIJUCA</t>
  </si>
  <si>
    <t>Google Maps - Tixxi - Cam 7993</t>
  </si>
  <si>
    <t xml:space="preserve">Trevo das Margaridas - Alt. Av. Brasil - Sent. Centro - Irajá </t>
  </si>
  <si>
    <t>Google Maps - Tixxi - Cam 4416</t>
  </si>
  <si>
    <t xml:space="preserve">Av. Brasil - Alt. Av. Portuária - Sent. Z. Oeste - Maré </t>
  </si>
  <si>
    <t xml:space="preserve">Google Maps - Tixxi - Cam 3133 </t>
  </si>
  <si>
    <t xml:space="preserve">Av. Armando Lombardi - Alt. Terminal Jardim Oceânico - Sent. Recreio dos Bandeirantes - Barra da Tijuca </t>
  </si>
  <si>
    <t xml:space="preserve">Linha Vermelha - Alt. KM 12 - Sent. Centro - Cordovil </t>
  </si>
  <si>
    <t>Google Maps - Tixxi - CAM 4428</t>
  </si>
  <si>
    <t>Tombamento CR</t>
  </si>
  <si>
    <t xml:space="preserve">Av. Brasil - Alt. Trevo das Margaridas - Sent. Z. Oeste - Irajá </t>
  </si>
  <si>
    <t>Google Maps - Tixxi - CAM 147</t>
  </si>
  <si>
    <t xml:space="preserve">Av. Brasil - Alt. Av. Brigadeiro Trompowski - Sent. Centro - Maré </t>
  </si>
  <si>
    <t>Google Maps - Tixxi - CAM 432</t>
  </si>
  <si>
    <t>Leonardo / Carlos / Daniel</t>
  </si>
  <si>
    <t>AVENIDA BRASIL - ALT. PASSARELA 6 - SENT. CENTRO - MARÉ</t>
  </si>
  <si>
    <t>Manutenção na via (SECONSERVA)</t>
  </si>
  <si>
    <t>AVENIDA BRASIL - ALT. PASSARELA 32 - SENT. Z. OESTE - GUADALUPE</t>
  </si>
  <si>
    <t>AVENIDA GENERAL JUSTO - ALT. TREVO DOS ESTUDANTES - SENT. BOTAFOGO - CENTRO</t>
  </si>
  <si>
    <t>PRAIA DE BOTAFOGO - ALT. VIADUTO SAN TIAGO DANTAS - SENT. CENTRO - BOTAFOGO</t>
  </si>
  <si>
    <t>Operação Policial</t>
  </si>
  <si>
    <t>AVENIDA PASTOR MARTIN LUTHER KING JÚNIOR - ALT. LINHA AMARELA - SENT. PAVUNA - INHAÚMA</t>
  </si>
  <si>
    <t>AVENIDA BRASIL - ALT. PASSARELA 25 - SENT. Z. OESTE - IRAJÁ</t>
  </si>
  <si>
    <t>Google Maps - Tixxi - CAM 2</t>
  </si>
  <si>
    <t>Google Maps - Tixxi - CAM 4585</t>
  </si>
  <si>
    <t xml:space="preserve">Av. Presidente Vargas - Alt. Av. Rio Branco - Sent. Candelária - Centro </t>
  </si>
  <si>
    <t xml:space="preserve">Av. Francisco Bicalho - Alt. G.R.E.S. Unidos da Tijuca - Sent. Rodoviária - Santo Cristo </t>
  </si>
  <si>
    <t>Google Maps - Tixxi - CAM 3173</t>
  </si>
  <si>
    <t xml:space="preserve">Enguiço MT </t>
  </si>
  <si>
    <t>Google Maps - Tixxi - CAM 756</t>
  </si>
  <si>
    <t>Google Maps - Tixxi - CAM 4516</t>
  </si>
  <si>
    <t xml:space="preserve">Google Maps - Tixxi - CAM 3212 </t>
  </si>
  <si>
    <t>Google Maps - Tixxi - CAM 138</t>
  </si>
  <si>
    <t>Operação policial</t>
  </si>
  <si>
    <t xml:space="preserve">Elevado Eng. Freyssinet - Alt. R. João Paulo I - Sent. Lagoa - Rio Comprido </t>
  </si>
  <si>
    <t xml:space="preserve">Av. Salvador Allende - Alt. Est. BRT Ilha Pura - Sent. Recreio dos Bandeirantes - Barra da Tijuca </t>
  </si>
  <si>
    <t>Capotamento VP</t>
  </si>
  <si>
    <t xml:space="preserve">Linha Vermelha - Alt. KM 6.5 - Sent. Centro - Galeão </t>
  </si>
  <si>
    <t xml:space="preserve">Transolímpica - Alt. Est. BRT Ventura - Sent. Recreio dos Bandeirantes - Curicica </t>
  </si>
  <si>
    <t>Alarme HXG - Google Maps - Tixxi / Cam 167</t>
  </si>
  <si>
    <t xml:space="preserve"> LINHA VERMELHA - ALT. KM 14 - SENT. CENTRO - CORDOVIL</t>
  </si>
  <si>
    <t>Google Maps - Tixxi - CAM 353</t>
  </si>
  <si>
    <t xml:space="preserve">R. Gonzaga Bastos - Alt. R. Teodoro da Silva - Vila Isabel </t>
  </si>
  <si>
    <t>Alarme HXG - Google Maps - Tixxi / Cam 4348</t>
  </si>
  <si>
    <t>AVENIDA BRASIL - ALT. PASSARELA 3 - SENT. CENTRO - SÃO CRISTÓVÃO</t>
  </si>
  <si>
    <t>Manutenção na via (CONCESSIONÁRIA)</t>
  </si>
  <si>
    <t xml:space="preserve">Av. Padre Leonel Franca - Alt. Av. Visc. de Albuquerque - Sent. Lagoa - Gávea </t>
  </si>
  <si>
    <t>AVENIDA BRASIL - ALT. VDT DEODORO – Z. OESTE - DEODORO</t>
  </si>
  <si>
    <t>Google Maps - Tixxi - CAM 3208</t>
  </si>
  <si>
    <t>Alarme HXG - Google Maps - Tixxi / Cam 4049</t>
  </si>
  <si>
    <t xml:space="preserve">AC CR x VP </t>
  </si>
  <si>
    <t xml:space="preserve">Av. das Américas - Alt. Est. BRT Golfe Olímpico - Sent. São Conrado - Barra da Tijuca </t>
  </si>
  <si>
    <t>ESTRADA DO MONTEIRO - ALT. ESTR. IARAQUÃ - SENT. AV. BRASIL - CAMPO GRANDE</t>
  </si>
  <si>
    <t>RUA CÂNDIDO BENÍCIO - ALT. VILA OLIMPICA DO MATO ALTO - SENT. TAQUARA - PRAÇA SECA</t>
  </si>
  <si>
    <t xml:space="preserve">CBMERJ </t>
  </si>
  <si>
    <t xml:space="preserve">Av. Brigadeiro Trompowski - Alt. Acesso à Ponte Nova - Sent. Ilha - Maré </t>
  </si>
  <si>
    <t>Alarme HXG - Google Maps - Tixxi / Cam 3212</t>
  </si>
  <si>
    <t>Alarme HXG - Google Maps - Tixxi / Cam 219</t>
  </si>
  <si>
    <t>Manuenção na via (LIGHT)</t>
  </si>
  <si>
    <t>AVENIDA PRESIDENTE VARGAS - ALT. CEDAE - SENT. PRAÇA DA BANDEIRA - CENTRO</t>
  </si>
  <si>
    <t>Alarme HXG - Google Maps - Tixxi / Cam 724</t>
  </si>
  <si>
    <t xml:space="preserve">EnguiçoVP </t>
  </si>
  <si>
    <t>AVENIDA BRASIL - ALT. ATACADÃO - SENT. Z. OESTE - GUADALUPE</t>
  </si>
  <si>
    <t xml:space="preserve"> LINHA VERMELHA - ALT. KM 4 - SENT. BAIXADA - MARÉ</t>
  </si>
  <si>
    <t>EnguiçoCM</t>
  </si>
  <si>
    <t>Alarme HXG - Google Maps - Tixxi / Cam 3737</t>
  </si>
  <si>
    <t>RUA CÂNDIDO BENÍCIO - ALT. R. ANA TELES - SENT. TANQUE - CAMPINHO</t>
  </si>
  <si>
    <t>BRT TRANSOLÍMPICA - ALT. CEFAP - SENT. DEODORO - JARDIM SULACAP</t>
  </si>
  <si>
    <t xml:space="preserve">OPVIA </t>
  </si>
  <si>
    <t>Alarme HXG - Google Maps - Tixxi / Cam 26</t>
  </si>
  <si>
    <t>AC CM x MT</t>
  </si>
  <si>
    <t>RUA FIGUEIREDO DE MAGALHÃES - ALT. R. DOMINGOS FERREIRA - COPACABANA</t>
  </si>
  <si>
    <t>Alarme HXG - Google Maps - Tixxi / Cam 4397</t>
  </si>
  <si>
    <t>AVENIDA BRASIL - ALT. PASSARELA 14 - SENT. Z. OESTE - OLARIA</t>
  </si>
  <si>
    <t>Alarme HXG - Google Maps - Tixxi / Cam 136</t>
  </si>
  <si>
    <t>AVENIDA AYRTON SENNA - ALT. VILA DO PAN - SENT. LINHA AMARELA - JACAREPAGUÁ</t>
  </si>
  <si>
    <t>LINHA VERMELHA - ALT. KM9 - SENT. BAIXADA - GALEÃO</t>
  </si>
  <si>
    <t>Vinicius / Diego / Jackson</t>
  </si>
  <si>
    <t>LINHA AMARELA - TÚNEL DA COVANVA - SENT. BARRA</t>
  </si>
  <si>
    <t>LINHA AMARELA - BONSUCESSO - SENT. BARRA</t>
  </si>
  <si>
    <t>AC 4 VP</t>
  </si>
  <si>
    <t xml:space="preserve"> LINHA VERMELHA - ALT. KM3 - SENT. CENTRO - CAJU</t>
  </si>
  <si>
    <t>Google Maps - Tixxi - CAM 8061</t>
  </si>
  <si>
    <t>AC ENVOLV. VP</t>
  </si>
  <si>
    <t>AVENIDA BRASIL - ALT BRT LOBO JR. - SENT. CENTRO - PENHA</t>
  </si>
  <si>
    <t>ELEVADO ENGENHEIRO FREYSSINET - SENT. LAGOA - RIO COMPRIDO</t>
  </si>
  <si>
    <t>ELEVADO ENG. RUFINO DE A. PIZARRO - SENT. LAGOA - PRAÇA DA BANDEIRA</t>
  </si>
  <si>
    <t>Google Maps - Tixxi - CAM 4395</t>
  </si>
  <si>
    <t>Evento - Prova EFOMM</t>
  </si>
  <si>
    <t>AVENIDA BRASIL - ALT. PASSARELA 15 - SENT. Z. OESTE - PENHA</t>
  </si>
  <si>
    <t>Google Maps - Tixxi - CAM 867</t>
  </si>
  <si>
    <t xml:space="preserve">Poda de Árvore </t>
  </si>
  <si>
    <t>AUTOESTRADA FERNANDO MAC DOWELL - ALT. N°56 - SENT. LAGOA - SÃO CONRADO</t>
  </si>
  <si>
    <t>AC CR x UT x VP</t>
  </si>
  <si>
    <t>AVENIDA BRASIL - ALT. DA PASSARELA 2- SENT. CENTRO. - VASCO DA GAMA</t>
  </si>
  <si>
    <t>AVENIDA BRASIL - ALT. PASSARELA 10 - SENT. Z. OESTE. - MARÉ</t>
  </si>
  <si>
    <t>AVENIDA BRASIL - ALT. DA PASSARELA 31- SENT. CENTRO. - GUADALUPE</t>
  </si>
  <si>
    <t>LINHA AMARELA - ALT. SAÍDA 06 - SENT. BARRA DA TIJUCA - HIGIENÓPOLIS</t>
  </si>
  <si>
    <t>AVENIDA AYRTON SENNA - ALT. AVENIDA JORGE CURI - SENT. ORLA - BARRA DA TIJUCA</t>
  </si>
  <si>
    <t>AVENIDA PASTOR MARTIN LUTHER KING JÚNIOR - ALT. ESTR. ADHEMAR BEBIANO - SENT. PAVUNA - ENGENHO DA RAINHA</t>
  </si>
  <si>
    <t>AUTOESTRADA FERNANDO MAC DOWELL - ALT. GOLF CLUBE  - SENT. LAGOA - SÃO CONRADO</t>
  </si>
  <si>
    <t>AVENIDA BRASIL - ALT. PASSARELA 9 - SENT. Z. OESTE - BONSUCESSO</t>
  </si>
  <si>
    <t>AVENIDA BRASIL - ALT. PASSARELA 14 - SENT. Z. OESTE. - OLARIA</t>
  </si>
  <si>
    <t>ESTRADA DA ÁGUA GRANDE - ALT. R. HANNIBAL PORTO - SENT. CORDOVIL - IRAJÁ</t>
  </si>
  <si>
    <t>Google Maps - Tixxi - CAM2360</t>
  </si>
  <si>
    <t>Alex / Diego / Jackson</t>
  </si>
  <si>
    <t xml:space="preserve">AVENIDA DAS AMÉRICAS - RECREIO DOS BANDEIRANTES - ALT. BRT GILKA MACHADO - SENT. GUARATIBA </t>
  </si>
  <si>
    <t>TÚNEL ANDRÉ REBOUÇAS - ALT. PRIMEIRA GALERIA - SENT. CENTRO - COSME VELHO</t>
  </si>
  <si>
    <t>Google Maps - Tixxi - CAM 4368</t>
  </si>
  <si>
    <t>AVENIDA BRASIL - ALT. PASSARELA 06 - SENT. CENTRO - MANGUINHOS</t>
  </si>
  <si>
    <t>Google Maps - Tixxi - CAM 666</t>
  </si>
  <si>
    <t>Google Maps - Alarme HXG - Tixxi - CAM 341</t>
  </si>
  <si>
    <t>AC Envol. MT</t>
  </si>
  <si>
    <t>RUA HADDOCK LOBO - ALT. R. AFONSO PENA - TIJUCA</t>
  </si>
  <si>
    <t>Google Maps - Alarme HXG - Tixxi - CAM 472</t>
  </si>
  <si>
    <t>AC ON (BRT) x MT</t>
  </si>
  <si>
    <t>Av. Das Américas - Alt. BRT Notre Dame - Sent. Santa Cruz</t>
  </si>
  <si>
    <t>Google Maps - Alarme HXG - Tixxi - CAM 4099</t>
  </si>
  <si>
    <t xml:space="preserve">End.: AVENIDA AYRTON SENNA - ALT. ESPAÇO HALL - SENT. ORLA </t>
  </si>
  <si>
    <t>Google Maps - Alarme HXG - Tixxi - CAM 3330</t>
  </si>
  <si>
    <t>AC UT X VP</t>
  </si>
  <si>
    <t>ESTRADA DA CACUIA - ALT. ESTRADA DO GALEÃO - SENT. COCOTÁ - CACUIA</t>
  </si>
  <si>
    <t>Google Maps - Tixxi - CAM 3285</t>
  </si>
  <si>
    <t xml:space="preserve">Matheus/Alex/Ricardo </t>
  </si>
  <si>
    <t xml:space="preserve">Estr. do Galeão - Alt. Nº 4365 - Em ambos os sentidos - Galeão </t>
  </si>
  <si>
    <t>Google Maps - Tixxi - CAM 4099</t>
  </si>
  <si>
    <t xml:space="preserve">Av. Ayrton Senna - Alt. Espaço Hall - Sent. Orla - Gardênia Azul </t>
  </si>
  <si>
    <t>Google Maps - Tixxi - CAM 164</t>
  </si>
  <si>
    <t xml:space="preserve">Linha Vermelha - Alt. Linha Amarela - Sent. Ilha - Cidade Universitária </t>
  </si>
  <si>
    <t>Google Maps - Tixxi - CAM 7026</t>
  </si>
  <si>
    <t xml:space="preserve">Av. Cesário de Melo - Alt. R. Canpo Grande - Sent. Estr. da Caroba - Campo Grande </t>
  </si>
  <si>
    <t>Google Maps - Tixxi - CAM 1410</t>
  </si>
  <si>
    <t xml:space="preserve">Manutenção na via (CONCESSIONÁRIA) </t>
  </si>
  <si>
    <t xml:space="preserve">Av. Padre Leonel Franca - Alt. Túnel Acústico Rafael Mascarenhas - Sent. Barra da Tijuca - Gávea </t>
  </si>
  <si>
    <t>Google Maps - Tixxi - CAM 65</t>
  </si>
  <si>
    <t>Matheus/Vinícius/Ricardo</t>
  </si>
  <si>
    <t xml:space="preserve">Av. das Américas - Alt. Est. BRT Bosque Marapendi - Sent. Recreio dos Bandeirantes - Barra da Tijuca </t>
  </si>
  <si>
    <t xml:space="preserve">L. Amarela - Alt. Av. Pastor Martin Luther King Jr - Sent. Barra da Tijuca - Inhaúma </t>
  </si>
  <si>
    <t xml:space="preserve">AC VP x 2 MT </t>
  </si>
  <si>
    <t xml:space="preserve">L. Vermelha - Alt. KM 10 - Sent. Baixada - Galeão </t>
  </si>
  <si>
    <t>Google Maps - Tixxi - CAM 3179</t>
  </si>
  <si>
    <t xml:space="preserve">Av. Dom João VI - Alt. Terminal BRT Mato Alto - Sent. Campo Grande - Guaratiba </t>
  </si>
  <si>
    <t xml:space="preserve">Av. Salvador Allende - Alt. Est. BRT Tapebuias - Sent. Santa Cruz - Recreio dos Bandeirantes </t>
  </si>
  <si>
    <t>Google Maps - Tixxi - CAM 237</t>
  </si>
  <si>
    <t xml:space="preserve">R. Equador - Alt. Rodoviária Novo RIo - Sent. Av. Brasil - Santo Cristo </t>
  </si>
  <si>
    <t>Google Maps - Tixxi - CAM 405</t>
  </si>
  <si>
    <t xml:space="preserve">Av. Brasil - Alt. Passarela 11 - Sent. Z. Oeste - Maré </t>
  </si>
  <si>
    <t>Google Maps - Tixxi - CAM 648</t>
  </si>
  <si>
    <t xml:space="preserve">Av. Ayrton Senna - Alt. Terminal Alvorada - Sent. São Conrado - Barra da Tijuca </t>
  </si>
  <si>
    <t>Google Maps - Tixxi - CAM 329</t>
  </si>
  <si>
    <t xml:space="preserve">Autoestrada Eng. Fernando Mac Dowell - Alt. R. Herbert Moses - Sent. Gávea - São Conrado </t>
  </si>
  <si>
    <t>Google Maps - Tixxi - CAM 331</t>
  </si>
  <si>
    <t>Av. Epitácio Pessoa - Alt. Nº 3872 - Em ambos os sentidos - Lagoa</t>
  </si>
  <si>
    <t>Google Maps - Tixxi - CAM 7480</t>
  </si>
  <si>
    <t xml:space="preserve">AC ON x VP </t>
  </si>
  <si>
    <t xml:space="preserve">Matheus/Vinícius/Ricardo </t>
  </si>
  <si>
    <t xml:space="preserve">Av. Geremário Dantas - Alt. R. Edgar Werneck - Sent. Tanque - Pechincha </t>
  </si>
  <si>
    <t>Google Maps - Tixxi - CAM 7533</t>
  </si>
  <si>
    <t xml:space="preserve">Av. das Américas - Alt. Av. Luís Carlos Prestes - Sent. Recreio dos Bandeirantes - Barra da Tijuca </t>
  </si>
  <si>
    <t>Google Maps - Tixxi - CAM 430</t>
  </si>
  <si>
    <t xml:space="preserve">Av. Brasil - Alt. Est. BRT Marinha Mercante - Sent. Centro - Olaria </t>
  </si>
  <si>
    <t xml:space="preserve">AC UT X VP </t>
  </si>
  <si>
    <t xml:space="preserve">Av. Brasil - Alt. Nº 42301 - Sent. Centro - Campo Grande </t>
  </si>
  <si>
    <t xml:space="preserve">AC TX v MT </t>
  </si>
  <si>
    <t xml:space="preserve">Elevado Eng. Freyssinet - Sent. Lagoa - Rio Comprido </t>
  </si>
  <si>
    <t xml:space="preserve">Magessi / Leonardo / Felipe </t>
  </si>
  <si>
    <t>AVENIDA BRASIL - BRT MARINHA MERCANTE - SENT. Z OESTE - OLARIA</t>
  </si>
  <si>
    <t>Alarme HXG - Google Maps - Tixxi / Cam 420</t>
  </si>
  <si>
    <t>AC Envol. VP</t>
  </si>
  <si>
    <t>RUA BENTO CARDOSO - ALT. R. IRITUIA - BRÁS DE PINA</t>
  </si>
  <si>
    <t>RUA EDGARD WERNECK - ALT. R. DOS EVANGELHOS - SENT. BARRA DA TIJUCA - CIDADE DE DEUS</t>
  </si>
  <si>
    <t>LINHA VERMELHA - ALT. KM12 - SENT. BAIXADA - CORDOVIL</t>
  </si>
  <si>
    <t>Alarme HXG - Google Maps - Tixxi / Cam 149</t>
  </si>
  <si>
    <t xml:space="preserve"> AVENIDA BRASIL - PASSARELA 19 - SENT; CENTRO - CORDOVIL</t>
  </si>
  <si>
    <t xml:space="preserve">ESTRADA DO QUITUNGO - BRÁS DE PINA - ALT. AV. MERITI - SENT. IRAJÁ </t>
  </si>
  <si>
    <t xml:space="preserve">Manutenção na via </t>
  </si>
  <si>
    <t>AVENIDA BRASIL - ST. CENTRO - SÃO CRISTÓVÃO</t>
  </si>
  <si>
    <t>Alarme HXG - Google Maps - Tixxi / Cam 5447</t>
  </si>
  <si>
    <t>AC VP x Poste</t>
  </si>
  <si>
    <t>AUTOESTRADA GRAJAÚ-JACAREPAGUÁ - ALT. R. RUGENDAS - SENT. JACAREPAGUÁ - JACAREPAGUÁ</t>
  </si>
  <si>
    <t>Alarme HXG - Google Maps - Tixxi / Cam 432</t>
  </si>
  <si>
    <t>PONTE RIO - NITERÓI - ALT. PÓRTICO 15 - SENT. NITERÓI - CAJU</t>
  </si>
  <si>
    <t>ECOVIAS</t>
  </si>
  <si>
    <t xml:space="preserve">Enguilo CM </t>
  </si>
  <si>
    <t>LINHA VERMELHA - ALT. KM 9 - SENT. BAIXADA - GALEÃO</t>
  </si>
  <si>
    <t>LINHA AMARELA - ALT. ACESSO 8 - SENT. BARRA DA TIJUCA - MANGUINHOS</t>
  </si>
  <si>
    <t>LINHA VERMELHA - ALT. KM 12 - SENT. CENTRO - CORDOVIL</t>
  </si>
  <si>
    <t>AVENIDA AYRTON SENNA - ALT. UPTOWN - SENT. LINHA AMARELA - JACAREPAGUÁ</t>
  </si>
  <si>
    <t xml:space="preserve">AC 2 UT X 2 VP </t>
  </si>
  <si>
    <t>AVENIDA BRASIL - ALT. TRANSOLIMPIA SENT. ZONA OESTE - VILA MILITAR</t>
  </si>
  <si>
    <t>Google Maps - Tixxi - CAM 785</t>
  </si>
  <si>
    <t>Alarme HXG - Google Maps - Tixxi / Cam 1831</t>
  </si>
  <si>
    <t>AVENIDA RODRIGUES ALVES - ALT. ARMAZÉM 9 - SENT. RODOVIÁRIA - SANTO CRISTO</t>
  </si>
  <si>
    <t>ESTRADA DAS FURNAS - ALT. ESTRADA CAPITÃO CAMPOS - SENT. TIJUCA - ALTO DA BOA VISTA</t>
  </si>
  <si>
    <t>Unusual - Google Maps - Tixxi / CAM 4203</t>
  </si>
  <si>
    <t>Google Maps - Tixxi - CAM 145</t>
  </si>
  <si>
    <t>AVENIDA DOM HELDER CÂMARA - ALT. R. CERQUEIRA DALTRO - SENT. MADUREIRA - CASCADURA</t>
  </si>
  <si>
    <t>AVENIDA BRASIL - ALT. PASSARELA 5 - SENT. Z.OESTE - BENFICA</t>
  </si>
  <si>
    <t>Unusual - Google Maps - Tixxi / CAM 83</t>
  </si>
  <si>
    <t>RUA GOIÁS - ALT. R. JOSÉ DOS REIS - ENGENHO DE DENTRO</t>
  </si>
  <si>
    <t>Google Maps - Tixxi / CAM 99</t>
  </si>
  <si>
    <t>Enguiço TX</t>
  </si>
  <si>
    <t>AVENIDA TRINTA E UM DE MARÇO - ALT. R. DOUTOR LADGEN - SENT. LARANJEIRAS - CATUMBI</t>
  </si>
  <si>
    <t>Alarme HXG - Google Maps - Tixxi / Cam 5586</t>
  </si>
  <si>
    <t>RUA SÃO FRANCISCO XAVIER - ALT. R. SOUSA DANTAS - SENT. MÉIER - SÃO FRANCISCO XAVIER</t>
  </si>
  <si>
    <t>Alarme HXG - Google Maps - Tixxi / Cam 5864</t>
  </si>
  <si>
    <t>ESTRADA DA ÁGUA GRANDE - ALT. AV. MONSENHOR FÉLIX - SENT. ROCHA MIRANDA - IRAJÁ</t>
  </si>
  <si>
    <t>Unusual - Tixxi / CAM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</si>
</sst>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scheme val="minor"/>
    </font>
    <font>
      <sz val="8"/>
      <color theme="1"/>
      <name val="Aptos Narrow"/>
    </font>
    <font>
      <b/>
      <sz val="14"/>
      <color theme="0"/>
      <name val="Aptos Narrow"/>
    </font>
    <font>
      <sz val="11"/>
      <name val="Aptos Narrow"/>
    </font>
    <font>
      <sz val="8"/>
      <color theme="0"/>
      <name val="Aptos Narrow"/>
    </font>
    <font>
      <sz val="8"/>
      <color theme="1"/>
      <name val="Arial"/>
    </font>
    <font>
      <sz val="11"/>
      <color theme="1"/>
      <name val="Aptos Narrow"/>
    </font>
    <font>
      <sz val="9"/>
      <color theme="1"/>
      <name val="Arial"/>
    </font>
    <font>
      <sz val="9"/>
      <color theme="1"/>
      <name val="Aptos Narrow"/>
    </font>
    <font>
      <sz val="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4F6A"/>
        <bgColor rgb="FF074F6A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4" fillId="3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0" fontId="5" fillId="0" borderId="0" xfId="0" applyFont="1" applyAlignment="1"/>
    <xf numFmtId="0" fontId="5" fillId="0" borderId="11" xfId="0" applyFont="1" applyBorder="1" applyAlignment="1"/>
    <xf numFmtId="0" fontId="5" fillId="0" borderId="11" xfId="0" applyFont="1" applyBorder="1" applyAlignment="1"/>
    <xf numFmtId="0" fontId="1" fillId="0" borderId="11" xfId="0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/>
    <xf numFmtId="0" fontId="5" fillId="0" borderId="0" xfId="0" applyFont="1" applyAlignment="1"/>
    <xf numFmtId="0" fontId="6" fillId="0" borderId="11" xfId="0" applyFont="1" applyBorder="1" applyAlignment="1"/>
    <xf numFmtId="0" fontId="5" fillId="0" borderId="11" xfId="0" applyFont="1" applyBorder="1"/>
    <xf numFmtId="0" fontId="5" fillId="0" borderId="11" xfId="0" applyFont="1" applyBorder="1" applyAlignment="1"/>
    <xf numFmtId="0" fontId="1" fillId="0" borderId="11" xfId="0" applyFont="1" applyBorder="1" applyAlignment="1"/>
    <xf numFmtId="16" fontId="7" fillId="0" borderId="10" xfId="0" applyNumberFormat="1" applyFont="1" applyBorder="1" applyAlignment="1">
      <alignment horizontal="center"/>
    </xf>
    <xf numFmtId="0" fontId="7" fillId="0" borderId="0" xfId="0" applyFont="1" applyAlignment="1"/>
    <xf numFmtId="0" fontId="7" fillId="0" borderId="11" xfId="0" applyFont="1" applyBorder="1" applyAlignment="1"/>
    <xf numFmtId="0" fontId="1" fillId="0" borderId="11" xfId="0" applyFont="1" applyBorder="1"/>
    <xf numFmtId="16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/>
    <xf numFmtId="0" fontId="9" fillId="0" borderId="0" xfId="0" applyFont="1" applyAlignment="1"/>
    <xf numFmtId="0" fontId="1" fillId="0" borderId="0" xfId="0" applyFont="1" applyAlignment="1"/>
    <xf numFmtId="16" fontId="5" fillId="0" borderId="10" xfId="0" applyNumberFormat="1" applyFont="1" applyBorder="1" applyAlignment="1">
      <alignment horizontal="center"/>
    </xf>
    <xf numFmtId="0" fontId="6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00"/>
  <sheetViews>
    <sheetView tabSelected="1" workbookViewId="0">
      <selection activeCell="D376" sqref="D376"/>
    </sheetView>
  </sheetViews>
  <sheetFormatPr defaultColWidth="12.59765625" defaultRowHeight="15" customHeight="1"/>
  <cols>
    <col min="1" max="3" width="10.69921875" customWidth="1"/>
    <col min="4" max="4" width="38.69921875" customWidth="1"/>
    <col min="5" max="5" width="18.3984375" customWidth="1"/>
    <col min="6" max="6" width="29.69921875" customWidth="1"/>
    <col min="7" max="7" width="70.69921875" customWidth="1"/>
    <col min="8" max="8" width="20.69921875" customWidth="1"/>
    <col min="9" max="18" width="10.69921875" customWidth="1"/>
    <col min="19" max="26" width="8.59765625" customWidth="1"/>
  </cols>
  <sheetData>
    <row r="1" spans="2:23" ht="9.75" customHeight="1"/>
    <row r="2" spans="2:23" ht="9.75" customHeight="1"/>
    <row r="3" spans="2:23" ht="9.75" customHeight="1"/>
    <row r="4" spans="2:23" ht="9.75" customHeight="1">
      <c r="B4" s="26" t="s">
        <v>0</v>
      </c>
      <c r="C4" s="27"/>
      <c r="D4" s="27"/>
      <c r="E4" s="27"/>
      <c r="F4" s="27"/>
      <c r="G4" s="27"/>
      <c r="H4" s="28"/>
    </row>
    <row r="5" spans="2:23" ht="9.75" customHeight="1">
      <c r="B5" s="29"/>
      <c r="C5" s="30"/>
      <c r="D5" s="30"/>
      <c r="E5" s="30"/>
      <c r="F5" s="30"/>
      <c r="G5" s="30"/>
      <c r="H5" s="31"/>
    </row>
    <row r="6" spans="2:23" ht="9.75" customHeight="1">
      <c r="B6" s="32"/>
      <c r="C6" s="33"/>
      <c r="D6" s="33"/>
      <c r="E6" s="33"/>
      <c r="F6" s="33"/>
      <c r="G6" s="33"/>
      <c r="H6" s="34"/>
    </row>
    <row r="7" spans="2:23" ht="9.75" customHeight="1"/>
    <row r="8" spans="2:23" ht="9.75" customHeight="1"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</row>
    <row r="9" spans="2:23" ht="9.75" customHeight="1">
      <c r="B9" s="3">
        <v>1</v>
      </c>
      <c r="C9" s="4">
        <v>46204</v>
      </c>
      <c r="D9" s="5" t="s">
        <v>8</v>
      </c>
      <c r="E9" s="6" t="s">
        <v>9</v>
      </c>
      <c r="F9" s="6" t="s">
        <v>12</v>
      </c>
      <c r="G9" s="6" t="s">
        <v>15</v>
      </c>
      <c r="H9" s="6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ht="9.75" customHeight="1">
      <c r="B10" s="8">
        <f t="shared" ref="B10:B108" si="0">B9+1</f>
        <v>2</v>
      </c>
      <c r="C10" s="9">
        <f>C9</f>
        <v>46204</v>
      </c>
      <c r="D10" s="6" t="s">
        <v>8</v>
      </c>
      <c r="E10" s="6" t="s">
        <v>18</v>
      </c>
      <c r="F10" s="6" t="s">
        <v>12</v>
      </c>
      <c r="G10" s="6" t="s">
        <v>25</v>
      </c>
      <c r="H10" s="6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ht="9.75" customHeight="1">
      <c r="B11" s="8">
        <f t="shared" si="0"/>
        <v>3</v>
      </c>
      <c r="C11" s="9">
        <f>C10</f>
        <v>46204</v>
      </c>
      <c r="D11" s="6" t="s">
        <v>33</v>
      </c>
      <c r="E11" s="6" t="s">
        <v>34</v>
      </c>
      <c r="F11" s="6" t="s">
        <v>12</v>
      </c>
      <c r="G11" s="6" t="s">
        <v>35</v>
      </c>
      <c r="H11" s="6" t="s"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9.75" customHeight="1">
      <c r="B12" s="8">
        <f t="shared" si="0"/>
        <v>4</v>
      </c>
      <c r="C12" s="9">
        <f>C11</f>
        <v>46204</v>
      </c>
      <c r="D12" s="6" t="s">
        <v>42</v>
      </c>
      <c r="E12" s="6" t="s">
        <v>34</v>
      </c>
      <c r="F12" s="6" t="s">
        <v>12</v>
      </c>
      <c r="G12" s="6" t="s">
        <v>44</v>
      </c>
      <c r="H12" s="6" t="s">
        <v>47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ht="9.75" customHeight="1">
      <c r="B13" s="8">
        <f t="shared" si="0"/>
        <v>5</v>
      </c>
      <c r="C13" s="4">
        <v>46205</v>
      </c>
      <c r="D13" s="11" t="s">
        <v>26</v>
      </c>
      <c r="E13" s="6" t="s">
        <v>27</v>
      </c>
      <c r="F13" s="6" t="s">
        <v>19</v>
      </c>
      <c r="G13" s="6" t="s">
        <v>29</v>
      </c>
      <c r="H13" s="6" t="s">
        <v>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ht="9.75" customHeight="1">
      <c r="B14" s="8">
        <f t="shared" si="0"/>
        <v>6</v>
      </c>
      <c r="C14" s="9">
        <f>C13</f>
        <v>46205</v>
      </c>
      <c r="D14" s="7" t="s">
        <v>36</v>
      </c>
      <c r="E14" s="6" t="s">
        <v>34</v>
      </c>
      <c r="F14" s="6" t="s">
        <v>19</v>
      </c>
      <c r="G14" s="6" t="s">
        <v>39</v>
      </c>
      <c r="H14" s="6" t="s">
        <v>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ht="9.75" customHeight="1">
      <c r="B15" s="8">
        <f t="shared" si="0"/>
        <v>7</v>
      </c>
      <c r="C15" s="9">
        <f>C14</f>
        <v>46205</v>
      </c>
      <c r="D15" s="6" t="s">
        <v>43</v>
      </c>
      <c r="E15" s="6" t="s">
        <v>34</v>
      </c>
      <c r="F15" s="6" t="s">
        <v>19</v>
      </c>
      <c r="G15" s="6" t="s">
        <v>46</v>
      </c>
      <c r="H15" s="6" t="s">
        <v>21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ht="9.75" customHeight="1">
      <c r="B16" s="8">
        <f t="shared" si="0"/>
        <v>8</v>
      </c>
      <c r="C16" s="4">
        <v>46206</v>
      </c>
      <c r="D16" s="7" t="s">
        <v>11</v>
      </c>
      <c r="E16" s="6" t="s">
        <v>18</v>
      </c>
      <c r="F16" s="6" t="s">
        <v>19</v>
      </c>
      <c r="G16" s="6" t="s">
        <v>20</v>
      </c>
      <c r="H16" s="6" t="s">
        <v>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ht="9.75" customHeight="1">
      <c r="B17" s="8">
        <f t="shared" si="0"/>
        <v>9</v>
      </c>
      <c r="C17" s="4">
        <v>46207</v>
      </c>
      <c r="D17" s="6" t="s">
        <v>8</v>
      </c>
      <c r="E17" s="6" t="s">
        <v>10</v>
      </c>
      <c r="F17" s="6" t="s">
        <v>13</v>
      </c>
      <c r="G17" s="6" t="s">
        <v>14</v>
      </c>
      <c r="H17" s="6" t="s">
        <v>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9.75" customHeight="1">
      <c r="B18" s="8">
        <f t="shared" si="0"/>
        <v>10</v>
      </c>
      <c r="C18" s="9">
        <f t="shared" ref="C18:C24" si="1">C17</f>
        <v>46207</v>
      </c>
      <c r="D18" s="6" t="s">
        <v>8</v>
      </c>
      <c r="E18" s="6" t="s">
        <v>22</v>
      </c>
      <c r="F18" s="6" t="s">
        <v>23</v>
      </c>
      <c r="G18" s="10" t="s">
        <v>24</v>
      </c>
      <c r="H18" s="6" t="s">
        <v>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9.75" customHeight="1">
      <c r="B19" s="8">
        <f t="shared" si="0"/>
        <v>11</v>
      </c>
      <c r="C19" s="9">
        <f t="shared" si="1"/>
        <v>46207</v>
      </c>
      <c r="D19" s="6" t="s">
        <v>28</v>
      </c>
      <c r="E19" s="6" t="s">
        <v>30</v>
      </c>
      <c r="F19" s="6" t="s">
        <v>23</v>
      </c>
      <c r="G19" s="10" t="s">
        <v>31</v>
      </c>
      <c r="H19" s="6" t="s">
        <v>32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9.75" customHeight="1">
      <c r="B20" s="8">
        <f t="shared" si="0"/>
        <v>12</v>
      </c>
      <c r="C20" s="9">
        <f t="shared" si="1"/>
        <v>46207</v>
      </c>
      <c r="D20" s="6" t="s">
        <v>37</v>
      </c>
      <c r="E20" s="6" t="s">
        <v>38</v>
      </c>
      <c r="F20" s="6" t="s">
        <v>23</v>
      </c>
      <c r="G20" s="10" t="s">
        <v>40</v>
      </c>
      <c r="H20" s="6" t="s">
        <v>41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ht="9.75" customHeight="1">
      <c r="B21" s="8">
        <f t="shared" si="0"/>
        <v>13</v>
      </c>
      <c r="C21" s="9">
        <f t="shared" si="1"/>
        <v>46207</v>
      </c>
      <c r="D21" s="6" t="s">
        <v>8</v>
      </c>
      <c r="E21" s="6" t="s">
        <v>22</v>
      </c>
      <c r="F21" s="6" t="s">
        <v>23</v>
      </c>
      <c r="G21" s="10" t="s">
        <v>45</v>
      </c>
      <c r="H21" s="6" t="s">
        <v>17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ht="9.75" customHeight="1">
      <c r="B22" s="8">
        <f t="shared" si="0"/>
        <v>14</v>
      </c>
      <c r="C22" s="9">
        <f t="shared" si="1"/>
        <v>46207</v>
      </c>
      <c r="D22" s="6" t="s">
        <v>48</v>
      </c>
      <c r="E22" s="6" t="s">
        <v>34</v>
      </c>
      <c r="F22" s="6" t="s">
        <v>23</v>
      </c>
      <c r="G22" s="6" t="s">
        <v>49</v>
      </c>
      <c r="H22" s="6" t="s">
        <v>41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ht="9.75" customHeight="1">
      <c r="B23" s="8">
        <f t="shared" si="0"/>
        <v>15</v>
      </c>
      <c r="C23" s="9">
        <f t="shared" si="1"/>
        <v>46207</v>
      </c>
      <c r="D23" s="6" t="s">
        <v>50</v>
      </c>
      <c r="E23" s="6" t="s">
        <v>51</v>
      </c>
      <c r="F23" s="6" t="s">
        <v>23</v>
      </c>
      <c r="G23" s="10" t="s">
        <v>52</v>
      </c>
      <c r="H23" s="6" t="s">
        <v>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ht="9.75" customHeight="1">
      <c r="B24" s="8">
        <f t="shared" si="0"/>
        <v>16</v>
      </c>
      <c r="C24" s="9">
        <f t="shared" si="1"/>
        <v>46207</v>
      </c>
      <c r="D24" s="6" t="s">
        <v>53</v>
      </c>
      <c r="E24" s="6" t="s">
        <v>54</v>
      </c>
      <c r="F24" s="6" t="s">
        <v>23</v>
      </c>
      <c r="G24" s="10" t="s">
        <v>55</v>
      </c>
      <c r="H24" s="6" t="s">
        <v>16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ht="9.75" customHeight="1">
      <c r="B25" s="8">
        <f t="shared" si="0"/>
        <v>17</v>
      </c>
      <c r="C25" s="16">
        <v>46208</v>
      </c>
      <c r="D25" s="17" t="s">
        <v>56</v>
      </c>
      <c r="E25" s="18" t="s">
        <v>57</v>
      </c>
      <c r="F25" s="18" t="s">
        <v>12</v>
      </c>
      <c r="G25" s="18" t="s">
        <v>58</v>
      </c>
      <c r="H25" s="18" t="s">
        <v>47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ht="9.75" customHeight="1">
      <c r="B26" s="8">
        <f t="shared" si="0"/>
        <v>18</v>
      </c>
      <c r="C26" s="20">
        <f>C25</f>
        <v>46208</v>
      </c>
      <c r="D26" s="17" t="s">
        <v>48</v>
      </c>
      <c r="E26" s="18" t="s">
        <v>34</v>
      </c>
      <c r="F26" s="18" t="s">
        <v>12</v>
      </c>
      <c r="G26" s="18" t="s">
        <v>59</v>
      </c>
      <c r="H26" s="18" t="s">
        <v>47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ht="9.75" customHeight="1">
      <c r="B27" s="8">
        <f t="shared" si="0"/>
        <v>19</v>
      </c>
      <c r="C27" s="20">
        <f>C26</f>
        <v>46208</v>
      </c>
      <c r="D27" s="17" t="s">
        <v>60</v>
      </c>
      <c r="E27" s="18" t="s">
        <v>61</v>
      </c>
      <c r="F27" s="18" t="s">
        <v>12</v>
      </c>
      <c r="G27" s="18" t="s">
        <v>62</v>
      </c>
      <c r="H27" s="18" t="s">
        <v>47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ht="9.75" customHeight="1">
      <c r="B28" s="8">
        <f t="shared" si="0"/>
        <v>20</v>
      </c>
      <c r="C28" s="20">
        <f>C27</f>
        <v>46208</v>
      </c>
      <c r="D28" s="17" t="s">
        <v>63</v>
      </c>
      <c r="E28" s="18" t="s">
        <v>34</v>
      </c>
      <c r="F28" s="18" t="s">
        <v>12</v>
      </c>
      <c r="G28" s="18" t="s">
        <v>64</v>
      </c>
      <c r="H28" s="18" t="s">
        <v>47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9.75" customHeight="1">
      <c r="B29" s="8">
        <f t="shared" si="0"/>
        <v>21</v>
      </c>
      <c r="C29" s="20">
        <f>C28</f>
        <v>46208</v>
      </c>
      <c r="D29" s="17" t="s">
        <v>65</v>
      </c>
      <c r="E29" s="18" t="s">
        <v>66</v>
      </c>
      <c r="F29" s="18" t="s">
        <v>12</v>
      </c>
      <c r="G29" s="21" t="s">
        <v>67</v>
      </c>
      <c r="H29" s="18" t="s">
        <v>17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9.75" customHeight="1">
      <c r="B30" s="8">
        <f t="shared" si="0"/>
        <v>22</v>
      </c>
      <c r="C30" s="20">
        <f>C29</f>
        <v>46208</v>
      </c>
      <c r="D30" s="17" t="s">
        <v>50</v>
      </c>
      <c r="E30" s="18" t="s">
        <v>34</v>
      </c>
      <c r="F30" s="18" t="s">
        <v>12</v>
      </c>
      <c r="G30" s="21" t="s">
        <v>68</v>
      </c>
      <c r="H30" s="18" t="s">
        <v>47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ht="9.75" customHeight="1">
      <c r="B31" s="8">
        <f t="shared" si="0"/>
        <v>23</v>
      </c>
      <c r="C31" s="4">
        <v>46209</v>
      </c>
      <c r="D31" s="11" t="s">
        <v>69</v>
      </c>
      <c r="E31" s="6" t="s">
        <v>70</v>
      </c>
      <c r="F31" s="18" t="s">
        <v>12</v>
      </c>
      <c r="G31" s="10" t="s">
        <v>71</v>
      </c>
      <c r="H31" s="6" t="s">
        <v>47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9.75" customHeight="1">
      <c r="B32" s="8">
        <f t="shared" si="0"/>
        <v>24</v>
      </c>
      <c r="C32" s="9">
        <f>C31</f>
        <v>46209</v>
      </c>
      <c r="D32" s="6" t="s">
        <v>72</v>
      </c>
      <c r="E32" s="6" t="s">
        <v>57</v>
      </c>
      <c r="F32" s="6" t="s">
        <v>19</v>
      </c>
      <c r="G32" s="6" t="s">
        <v>73</v>
      </c>
      <c r="H32" s="6" t="s">
        <v>21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9.75" customHeight="1">
      <c r="B33" s="8">
        <f t="shared" si="0"/>
        <v>25</v>
      </c>
      <c r="C33" s="9">
        <f>C32</f>
        <v>46209</v>
      </c>
      <c r="D33" s="6" t="s">
        <v>74</v>
      </c>
      <c r="E33" s="6" t="s">
        <v>75</v>
      </c>
      <c r="F33" s="6" t="s">
        <v>19</v>
      </c>
      <c r="G33" s="6" t="s">
        <v>76</v>
      </c>
      <c r="H33" s="6" t="s">
        <v>21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ht="9.75" customHeight="1">
      <c r="B34" s="8">
        <f t="shared" si="0"/>
        <v>26</v>
      </c>
      <c r="C34" s="4">
        <v>46210</v>
      </c>
      <c r="D34" s="7" t="s">
        <v>77</v>
      </c>
      <c r="E34" s="6" t="s">
        <v>78</v>
      </c>
      <c r="F34" s="6" t="s">
        <v>13</v>
      </c>
      <c r="G34" s="6" t="s">
        <v>79</v>
      </c>
      <c r="H34" s="6" t="s">
        <v>21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ht="9.75" customHeight="1">
      <c r="B35" s="8">
        <f t="shared" si="0"/>
        <v>27</v>
      </c>
      <c r="C35" s="9">
        <f>C34</f>
        <v>46210</v>
      </c>
      <c r="D35" s="7" t="s">
        <v>80</v>
      </c>
      <c r="E35" s="6" t="s">
        <v>22</v>
      </c>
      <c r="F35" s="6" t="s">
        <v>13</v>
      </c>
      <c r="G35" s="6" t="s">
        <v>81</v>
      </c>
      <c r="H35" s="6" t="s">
        <v>21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ht="9.75" customHeight="1">
      <c r="B36" s="8">
        <f t="shared" si="0"/>
        <v>28</v>
      </c>
      <c r="C36" s="9">
        <f>C35</f>
        <v>46210</v>
      </c>
      <c r="D36" s="6" t="s">
        <v>82</v>
      </c>
      <c r="E36" s="6" t="s">
        <v>34</v>
      </c>
      <c r="F36" s="6" t="s">
        <v>13</v>
      </c>
      <c r="G36" s="6" t="s">
        <v>39</v>
      </c>
      <c r="H36" s="6" t="s">
        <v>21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ht="9.75" customHeight="1">
      <c r="B37" s="8">
        <f t="shared" si="0"/>
        <v>29</v>
      </c>
      <c r="C37" s="4">
        <v>46211</v>
      </c>
      <c r="D37" s="18" t="s">
        <v>83</v>
      </c>
      <c r="E37" s="18" t="s">
        <v>84</v>
      </c>
      <c r="F37" s="18" t="s">
        <v>85</v>
      </c>
      <c r="G37" s="18" t="s">
        <v>86</v>
      </c>
      <c r="H37" s="18" t="s">
        <v>21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9.75" customHeight="1">
      <c r="B38" s="8">
        <f t="shared" si="0"/>
        <v>30</v>
      </c>
      <c r="C38" s="9">
        <f t="shared" ref="C38:C43" si="2">C37</f>
        <v>46211</v>
      </c>
      <c r="D38" s="18" t="s">
        <v>87</v>
      </c>
      <c r="E38" s="18" t="s">
        <v>22</v>
      </c>
      <c r="F38" s="18" t="s">
        <v>88</v>
      </c>
      <c r="G38" s="18" t="s">
        <v>89</v>
      </c>
      <c r="H38" s="18" t="s">
        <v>21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9.75" customHeight="1">
      <c r="B39" s="8">
        <f t="shared" si="0"/>
        <v>31</v>
      </c>
      <c r="C39" s="9">
        <f t="shared" si="2"/>
        <v>46211</v>
      </c>
      <c r="D39" s="18" t="s">
        <v>87</v>
      </c>
      <c r="E39" s="18" t="s">
        <v>90</v>
      </c>
      <c r="F39" s="18" t="s">
        <v>88</v>
      </c>
      <c r="G39" s="18" t="s">
        <v>91</v>
      </c>
      <c r="H39" s="18" t="s">
        <v>92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9.75" customHeight="1">
      <c r="B40" s="8">
        <f t="shared" si="0"/>
        <v>32</v>
      </c>
      <c r="C40" s="9">
        <f t="shared" si="2"/>
        <v>46211</v>
      </c>
      <c r="D40" s="18" t="s">
        <v>87</v>
      </c>
      <c r="E40" s="18" t="s">
        <v>93</v>
      </c>
      <c r="F40" s="18" t="s">
        <v>88</v>
      </c>
      <c r="G40" s="18" t="s">
        <v>94</v>
      </c>
      <c r="H40" s="18" t="s">
        <v>21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t="9.75" customHeight="1">
      <c r="B41" s="8">
        <f t="shared" si="0"/>
        <v>33</v>
      </c>
      <c r="C41" s="9">
        <f t="shared" si="2"/>
        <v>46211</v>
      </c>
      <c r="D41" s="18" t="s">
        <v>87</v>
      </c>
      <c r="E41" s="18" t="s">
        <v>95</v>
      </c>
      <c r="F41" s="18" t="s">
        <v>88</v>
      </c>
      <c r="G41" s="18" t="s">
        <v>96</v>
      </c>
      <c r="H41" s="18" t="s">
        <v>21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t="9.75" customHeight="1">
      <c r="B42" s="8">
        <f t="shared" si="0"/>
        <v>34</v>
      </c>
      <c r="C42" s="9">
        <f t="shared" si="2"/>
        <v>46211</v>
      </c>
      <c r="D42" s="18" t="s">
        <v>87</v>
      </c>
      <c r="E42" s="18" t="s">
        <v>22</v>
      </c>
      <c r="F42" s="18" t="s">
        <v>88</v>
      </c>
      <c r="G42" s="18" t="s">
        <v>97</v>
      </c>
      <c r="H42" s="18" t="s">
        <v>21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9.75" customHeight="1">
      <c r="B43" s="8">
        <f t="shared" si="0"/>
        <v>35</v>
      </c>
      <c r="C43" s="9">
        <f t="shared" si="2"/>
        <v>46211</v>
      </c>
      <c r="D43" s="18" t="s">
        <v>47</v>
      </c>
      <c r="E43" s="18" t="s">
        <v>98</v>
      </c>
      <c r="F43" s="18" t="s">
        <v>88</v>
      </c>
      <c r="G43" s="18" t="s">
        <v>99</v>
      </c>
      <c r="H43" s="18" t="s">
        <v>21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9.75" customHeight="1">
      <c r="B44" s="8">
        <f t="shared" si="0"/>
        <v>36</v>
      </c>
      <c r="C44" s="4">
        <v>46212</v>
      </c>
      <c r="D44" s="11" t="s">
        <v>100</v>
      </c>
      <c r="E44" s="6" t="s">
        <v>101</v>
      </c>
      <c r="F44" s="6" t="s">
        <v>12</v>
      </c>
      <c r="G44" s="6" t="s">
        <v>102</v>
      </c>
      <c r="H44" s="6" t="s">
        <v>17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9.75" customHeight="1">
      <c r="B45" s="8">
        <f t="shared" si="0"/>
        <v>37</v>
      </c>
      <c r="C45" s="9">
        <f t="shared" ref="C45:C50" si="3">C44</f>
        <v>46212</v>
      </c>
      <c r="D45" s="11" t="s">
        <v>103</v>
      </c>
      <c r="E45" s="6" t="s">
        <v>57</v>
      </c>
      <c r="F45" s="6" t="s">
        <v>12</v>
      </c>
      <c r="G45" s="6" t="s">
        <v>104</v>
      </c>
      <c r="H45" s="6" t="s">
        <v>105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9.75" customHeight="1">
      <c r="B46" s="8">
        <f t="shared" si="0"/>
        <v>38</v>
      </c>
      <c r="C46" s="9">
        <f t="shared" si="3"/>
        <v>46212</v>
      </c>
      <c r="D46" s="11" t="s">
        <v>74</v>
      </c>
      <c r="E46" s="6" t="s">
        <v>106</v>
      </c>
      <c r="F46" s="6" t="s">
        <v>12</v>
      </c>
      <c r="G46" s="22" t="s">
        <v>107</v>
      </c>
      <c r="H46" s="6" t="s">
        <v>17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9.75" customHeight="1">
      <c r="B47" s="8">
        <f t="shared" si="0"/>
        <v>39</v>
      </c>
      <c r="C47" s="9">
        <f t="shared" si="3"/>
        <v>46212</v>
      </c>
      <c r="D47" s="11" t="s">
        <v>108</v>
      </c>
      <c r="E47" s="6" t="s">
        <v>34</v>
      </c>
      <c r="F47" s="6" t="s">
        <v>12</v>
      </c>
      <c r="G47" s="6" t="s">
        <v>109</v>
      </c>
      <c r="H47" s="6" t="s">
        <v>32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9.75" customHeight="1">
      <c r="B48" s="8">
        <f t="shared" si="0"/>
        <v>40</v>
      </c>
      <c r="C48" s="9">
        <f t="shared" si="3"/>
        <v>46212</v>
      </c>
      <c r="D48" s="11" t="s">
        <v>110</v>
      </c>
      <c r="E48" s="6" t="s">
        <v>34</v>
      </c>
      <c r="F48" s="6" t="s">
        <v>12</v>
      </c>
      <c r="G48" s="10" t="s">
        <v>111</v>
      </c>
      <c r="H48" s="6" t="s">
        <v>32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9.75" customHeight="1">
      <c r="B49" s="8">
        <f t="shared" si="0"/>
        <v>41</v>
      </c>
      <c r="C49" s="9">
        <f t="shared" si="3"/>
        <v>46212</v>
      </c>
      <c r="D49" s="11" t="s">
        <v>112</v>
      </c>
      <c r="E49" s="6" t="s">
        <v>18</v>
      </c>
      <c r="F49" s="6" t="s">
        <v>12</v>
      </c>
      <c r="G49" s="10" t="s">
        <v>113</v>
      </c>
      <c r="H49" s="6" t="s">
        <v>17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9.75" customHeight="1">
      <c r="B50" s="8">
        <f t="shared" si="0"/>
        <v>42</v>
      </c>
      <c r="C50" s="9">
        <f t="shared" si="3"/>
        <v>46212</v>
      </c>
      <c r="D50" s="11" t="s">
        <v>114</v>
      </c>
      <c r="E50" s="6" t="s">
        <v>115</v>
      </c>
      <c r="F50" s="6" t="s">
        <v>12</v>
      </c>
      <c r="G50" s="10" t="s">
        <v>116</v>
      </c>
      <c r="H50" s="6" t="s">
        <v>32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9.75" customHeight="1">
      <c r="B51" s="8">
        <f t="shared" si="0"/>
        <v>43</v>
      </c>
      <c r="C51" s="4">
        <v>46213</v>
      </c>
      <c r="D51" s="6" t="s">
        <v>117</v>
      </c>
      <c r="E51" s="6" t="s">
        <v>118</v>
      </c>
      <c r="F51" s="6" t="s">
        <v>119</v>
      </c>
      <c r="G51" s="6" t="s">
        <v>120</v>
      </c>
      <c r="H51" s="6" t="s">
        <v>92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9.75" customHeight="1">
      <c r="B52" s="8">
        <f t="shared" si="0"/>
        <v>44</v>
      </c>
      <c r="C52" s="9">
        <f t="shared" ref="C52:C66" si="4">C51</f>
        <v>46213</v>
      </c>
      <c r="D52" s="6" t="s">
        <v>92</v>
      </c>
      <c r="E52" s="6" t="s">
        <v>121</v>
      </c>
      <c r="F52" s="6" t="s">
        <v>119</v>
      </c>
      <c r="G52" s="6" t="s">
        <v>122</v>
      </c>
      <c r="H52" s="6" t="s">
        <v>92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9.75" customHeight="1">
      <c r="B53" s="8">
        <f t="shared" si="0"/>
        <v>45</v>
      </c>
      <c r="C53" s="9">
        <f t="shared" si="4"/>
        <v>46213</v>
      </c>
      <c r="D53" s="6" t="s">
        <v>117</v>
      </c>
      <c r="E53" s="6" t="s">
        <v>123</v>
      </c>
      <c r="F53" s="6" t="s">
        <v>119</v>
      </c>
      <c r="G53" s="6" t="s">
        <v>124</v>
      </c>
      <c r="H53" s="6" t="s">
        <v>17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9.75" customHeight="1">
      <c r="B54" s="8">
        <f t="shared" si="0"/>
        <v>46</v>
      </c>
      <c r="C54" s="9">
        <f t="shared" si="4"/>
        <v>46213</v>
      </c>
      <c r="D54" s="6" t="s">
        <v>47</v>
      </c>
      <c r="E54" s="6" t="s">
        <v>125</v>
      </c>
      <c r="F54" s="6" t="s">
        <v>119</v>
      </c>
      <c r="G54" s="6" t="s">
        <v>126</v>
      </c>
      <c r="H54" s="6" t="s">
        <v>127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9.75" customHeight="1">
      <c r="B55" s="8">
        <f t="shared" si="0"/>
        <v>47</v>
      </c>
      <c r="C55" s="9">
        <f t="shared" si="4"/>
        <v>46213</v>
      </c>
      <c r="D55" s="6" t="s">
        <v>47</v>
      </c>
      <c r="E55" s="6" t="s">
        <v>118</v>
      </c>
      <c r="F55" s="6" t="s">
        <v>119</v>
      </c>
      <c r="G55" s="6" t="s">
        <v>128</v>
      </c>
      <c r="H55" s="6" t="s">
        <v>92</v>
      </c>
    </row>
    <row r="56" spans="2:23" ht="9.75" customHeight="1">
      <c r="B56" s="8">
        <f t="shared" si="0"/>
        <v>48</v>
      </c>
      <c r="C56" s="9">
        <f t="shared" si="4"/>
        <v>46213</v>
      </c>
      <c r="D56" s="6" t="s">
        <v>47</v>
      </c>
      <c r="E56" s="6" t="s">
        <v>129</v>
      </c>
      <c r="F56" s="6" t="s">
        <v>119</v>
      </c>
      <c r="G56" s="6" t="s">
        <v>130</v>
      </c>
      <c r="H56" s="6" t="s">
        <v>17</v>
      </c>
    </row>
    <row r="57" spans="2:23" ht="9.75" customHeight="1">
      <c r="B57" s="8">
        <f t="shared" si="0"/>
        <v>49</v>
      </c>
      <c r="C57" s="9">
        <f t="shared" si="4"/>
        <v>46213</v>
      </c>
      <c r="D57" s="6" t="s">
        <v>131</v>
      </c>
      <c r="E57" s="6" t="s">
        <v>132</v>
      </c>
      <c r="F57" s="6" t="s">
        <v>119</v>
      </c>
      <c r="G57" s="6" t="s">
        <v>133</v>
      </c>
      <c r="H57" s="6" t="s">
        <v>134</v>
      </c>
    </row>
    <row r="58" spans="2:23" ht="9.75" customHeight="1">
      <c r="B58" s="8">
        <f t="shared" si="0"/>
        <v>50</v>
      </c>
      <c r="C58" s="9">
        <f t="shared" si="4"/>
        <v>46213</v>
      </c>
      <c r="D58" s="6" t="s">
        <v>117</v>
      </c>
      <c r="E58" s="6" t="s">
        <v>135</v>
      </c>
      <c r="F58" s="6" t="s">
        <v>119</v>
      </c>
      <c r="G58" s="6" t="s">
        <v>136</v>
      </c>
      <c r="H58" s="6" t="s">
        <v>137</v>
      </c>
    </row>
    <row r="59" spans="2:23" ht="9.75" customHeight="1">
      <c r="B59" s="8">
        <f t="shared" si="0"/>
        <v>51</v>
      </c>
      <c r="C59" s="9">
        <f t="shared" si="4"/>
        <v>46213</v>
      </c>
      <c r="D59" s="6" t="s">
        <v>47</v>
      </c>
      <c r="E59" s="6" t="s">
        <v>138</v>
      </c>
      <c r="F59" s="6" t="s">
        <v>119</v>
      </c>
      <c r="G59" s="10" t="s">
        <v>139</v>
      </c>
      <c r="H59" s="6" t="s">
        <v>47</v>
      </c>
    </row>
    <row r="60" spans="2:23" ht="9.75" customHeight="1">
      <c r="B60" s="8">
        <f t="shared" si="0"/>
        <v>52</v>
      </c>
      <c r="C60" s="9">
        <f t="shared" si="4"/>
        <v>46213</v>
      </c>
      <c r="D60" s="6" t="s">
        <v>140</v>
      </c>
      <c r="E60" s="6" t="s">
        <v>34</v>
      </c>
      <c r="F60" s="6" t="s">
        <v>19</v>
      </c>
      <c r="G60" s="6" t="s">
        <v>141</v>
      </c>
      <c r="H60" s="6" t="s">
        <v>21</v>
      </c>
    </row>
    <row r="61" spans="2:23" ht="9.75" customHeight="1">
      <c r="B61" s="8">
        <f t="shared" si="0"/>
        <v>53</v>
      </c>
      <c r="C61" s="9">
        <f t="shared" si="4"/>
        <v>46213</v>
      </c>
      <c r="D61" s="6" t="s">
        <v>140</v>
      </c>
      <c r="E61" s="6" t="s">
        <v>142</v>
      </c>
      <c r="F61" s="6" t="s">
        <v>19</v>
      </c>
      <c r="G61" s="6" t="s">
        <v>143</v>
      </c>
      <c r="H61" s="6" t="s">
        <v>17</v>
      </c>
    </row>
    <row r="62" spans="2:23" ht="9.75" customHeight="1">
      <c r="B62" s="8">
        <f t="shared" si="0"/>
        <v>54</v>
      </c>
      <c r="C62" s="9">
        <f t="shared" si="4"/>
        <v>46213</v>
      </c>
      <c r="D62" s="6" t="s">
        <v>144</v>
      </c>
      <c r="E62" s="6" t="s">
        <v>145</v>
      </c>
      <c r="F62" s="6" t="s">
        <v>19</v>
      </c>
      <c r="G62" s="6" t="s">
        <v>146</v>
      </c>
      <c r="H62" s="6" t="s">
        <v>21</v>
      </c>
    </row>
    <row r="63" spans="2:23" ht="9.75" customHeight="1">
      <c r="B63" s="8">
        <f t="shared" si="0"/>
        <v>55</v>
      </c>
      <c r="C63" s="9">
        <f t="shared" si="4"/>
        <v>46213</v>
      </c>
      <c r="D63" s="6" t="s">
        <v>147</v>
      </c>
      <c r="E63" s="6" t="s">
        <v>142</v>
      </c>
      <c r="F63" s="6" t="s">
        <v>19</v>
      </c>
      <c r="G63" s="6" t="s">
        <v>148</v>
      </c>
      <c r="H63" s="6" t="s">
        <v>21</v>
      </c>
    </row>
    <row r="64" spans="2:23" ht="9.75" customHeight="1">
      <c r="B64" s="8">
        <f t="shared" si="0"/>
        <v>56</v>
      </c>
      <c r="C64" s="9">
        <f t="shared" si="4"/>
        <v>46213</v>
      </c>
      <c r="D64" s="6" t="s">
        <v>149</v>
      </c>
      <c r="E64" s="6" t="s">
        <v>150</v>
      </c>
      <c r="F64" s="6" t="s">
        <v>19</v>
      </c>
      <c r="G64" s="6" t="s">
        <v>151</v>
      </c>
      <c r="H64" s="6" t="s">
        <v>21</v>
      </c>
    </row>
    <row r="65" spans="2:8" ht="9.75" customHeight="1">
      <c r="B65" s="8">
        <f t="shared" si="0"/>
        <v>57</v>
      </c>
      <c r="C65" s="9">
        <f t="shared" si="4"/>
        <v>46213</v>
      </c>
      <c r="D65" s="6" t="s">
        <v>152</v>
      </c>
      <c r="E65" s="6" t="s">
        <v>34</v>
      </c>
      <c r="F65" s="6" t="s">
        <v>19</v>
      </c>
      <c r="G65" s="6" t="s">
        <v>153</v>
      </c>
      <c r="H65" s="6" t="s">
        <v>21</v>
      </c>
    </row>
    <row r="66" spans="2:8" ht="9.75" customHeight="1">
      <c r="B66" s="8">
        <f t="shared" si="0"/>
        <v>58</v>
      </c>
      <c r="C66" s="9">
        <f t="shared" si="4"/>
        <v>46213</v>
      </c>
      <c r="D66" s="6" t="s">
        <v>154</v>
      </c>
      <c r="E66" s="6" t="s">
        <v>10</v>
      </c>
      <c r="F66" s="6" t="s">
        <v>19</v>
      </c>
      <c r="G66" s="6" t="s">
        <v>155</v>
      </c>
      <c r="H66" s="6" t="s">
        <v>21</v>
      </c>
    </row>
    <row r="67" spans="2:8" ht="9.75" customHeight="1">
      <c r="B67" s="8">
        <f t="shared" si="0"/>
        <v>59</v>
      </c>
      <c r="C67" s="4">
        <v>46214</v>
      </c>
      <c r="D67" s="6" t="s">
        <v>156</v>
      </c>
      <c r="E67" s="6" t="s">
        <v>157</v>
      </c>
      <c r="F67" s="6" t="s">
        <v>19</v>
      </c>
      <c r="G67" s="6" t="s">
        <v>158</v>
      </c>
      <c r="H67" s="6" t="s">
        <v>21</v>
      </c>
    </row>
    <row r="68" spans="2:8" ht="9.75" customHeight="1">
      <c r="B68" s="8">
        <f t="shared" si="0"/>
        <v>60</v>
      </c>
      <c r="C68" s="9">
        <f t="shared" ref="C68:C84" si="5">C67</f>
        <v>46214</v>
      </c>
      <c r="D68" s="6" t="s">
        <v>159</v>
      </c>
      <c r="E68" s="6" t="s">
        <v>160</v>
      </c>
      <c r="F68" s="6" t="s">
        <v>19</v>
      </c>
      <c r="G68" s="6" t="s">
        <v>161</v>
      </c>
      <c r="H68" s="6" t="s">
        <v>21</v>
      </c>
    </row>
    <row r="69" spans="2:8" ht="9.75" customHeight="1">
      <c r="B69" s="8">
        <f t="shared" si="0"/>
        <v>61</v>
      </c>
      <c r="C69" s="9">
        <f t="shared" si="5"/>
        <v>46214</v>
      </c>
      <c r="D69" s="6" t="s">
        <v>162</v>
      </c>
      <c r="E69" s="6" t="s">
        <v>163</v>
      </c>
      <c r="F69" s="6" t="s">
        <v>19</v>
      </c>
      <c r="G69" s="6" t="s">
        <v>164</v>
      </c>
      <c r="H69" s="6" t="s">
        <v>21</v>
      </c>
    </row>
    <row r="70" spans="2:8" ht="9.75" customHeight="1">
      <c r="B70" s="8">
        <f t="shared" si="0"/>
        <v>62</v>
      </c>
      <c r="C70" s="9">
        <f t="shared" si="5"/>
        <v>46214</v>
      </c>
      <c r="D70" s="6" t="s">
        <v>165</v>
      </c>
      <c r="E70" s="6" t="s">
        <v>106</v>
      </c>
      <c r="F70" s="6" t="s">
        <v>19</v>
      </c>
      <c r="G70" s="6" t="s">
        <v>166</v>
      </c>
      <c r="H70" s="6" t="s">
        <v>21</v>
      </c>
    </row>
    <row r="71" spans="2:8" ht="9.75" customHeight="1">
      <c r="B71" s="8">
        <f t="shared" si="0"/>
        <v>63</v>
      </c>
      <c r="C71" s="9">
        <f t="shared" si="5"/>
        <v>46214</v>
      </c>
      <c r="D71" s="6" t="s">
        <v>167</v>
      </c>
      <c r="E71" s="6" t="s">
        <v>168</v>
      </c>
      <c r="F71" s="6" t="s">
        <v>169</v>
      </c>
      <c r="G71" s="6" t="s">
        <v>170</v>
      </c>
      <c r="H71" s="6" t="s">
        <v>171</v>
      </c>
    </row>
    <row r="72" spans="2:8" ht="9.75" customHeight="1">
      <c r="B72" s="8">
        <f t="shared" si="0"/>
        <v>64</v>
      </c>
      <c r="C72" s="9">
        <f t="shared" si="5"/>
        <v>46214</v>
      </c>
      <c r="D72" s="6" t="s">
        <v>167</v>
      </c>
      <c r="E72" s="6" t="s">
        <v>172</v>
      </c>
      <c r="F72" s="6" t="s">
        <v>169</v>
      </c>
      <c r="G72" s="6" t="s">
        <v>173</v>
      </c>
      <c r="H72" s="6" t="s">
        <v>171</v>
      </c>
    </row>
    <row r="73" spans="2:8" ht="9.75" customHeight="1">
      <c r="B73" s="8">
        <f t="shared" si="0"/>
        <v>65</v>
      </c>
      <c r="C73" s="9">
        <f t="shared" si="5"/>
        <v>46214</v>
      </c>
      <c r="D73" s="6" t="s">
        <v>174</v>
      </c>
      <c r="E73" s="6" t="s">
        <v>175</v>
      </c>
      <c r="F73" s="6" t="s">
        <v>169</v>
      </c>
      <c r="G73" s="22" t="s">
        <v>176</v>
      </c>
      <c r="H73" s="6" t="s">
        <v>21</v>
      </c>
    </row>
    <row r="74" spans="2:8" ht="9.75" customHeight="1">
      <c r="B74" s="8">
        <f t="shared" si="0"/>
        <v>66</v>
      </c>
      <c r="C74" s="9">
        <f t="shared" si="5"/>
        <v>46214</v>
      </c>
      <c r="D74" s="6" t="s">
        <v>167</v>
      </c>
      <c r="E74" s="6" t="s">
        <v>118</v>
      </c>
      <c r="F74" s="6" t="s">
        <v>169</v>
      </c>
      <c r="G74" s="22" t="s">
        <v>177</v>
      </c>
      <c r="H74" s="6" t="s">
        <v>21</v>
      </c>
    </row>
    <row r="75" spans="2:8" ht="9.75" customHeight="1">
      <c r="B75" s="8">
        <f t="shared" si="0"/>
        <v>67</v>
      </c>
      <c r="C75" s="9">
        <f t="shared" si="5"/>
        <v>46214</v>
      </c>
      <c r="D75" s="6" t="s">
        <v>178</v>
      </c>
      <c r="E75" s="6" t="s">
        <v>179</v>
      </c>
      <c r="F75" s="6" t="s">
        <v>169</v>
      </c>
      <c r="G75" s="6" t="s">
        <v>180</v>
      </c>
      <c r="H75" s="6" t="s">
        <v>178</v>
      </c>
    </row>
    <row r="76" spans="2:8" ht="9.75" customHeight="1">
      <c r="B76" s="8">
        <f t="shared" si="0"/>
        <v>68</v>
      </c>
      <c r="C76" s="9">
        <f t="shared" si="5"/>
        <v>46214</v>
      </c>
      <c r="D76" s="6" t="s">
        <v>181</v>
      </c>
      <c r="E76" s="6" t="s">
        <v>182</v>
      </c>
      <c r="F76" s="6" t="s">
        <v>183</v>
      </c>
      <c r="G76" s="6" t="s">
        <v>184</v>
      </c>
      <c r="H76" s="6" t="s">
        <v>21</v>
      </c>
    </row>
    <row r="77" spans="2:8" ht="9.75" customHeight="1">
      <c r="B77" s="8">
        <f t="shared" si="0"/>
        <v>69</v>
      </c>
      <c r="C77" s="9">
        <f t="shared" si="5"/>
        <v>46214</v>
      </c>
      <c r="D77" s="6" t="s">
        <v>185</v>
      </c>
      <c r="E77" s="6" t="s">
        <v>186</v>
      </c>
      <c r="F77" s="6" t="s">
        <v>183</v>
      </c>
      <c r="G77" s="6" t="s">
        <v>187</v>
      </c>
      <c r="H77" s="6" t="s">
        <v>188</v>
      </c>
    </row>
    <row r="78" spans="2:8" ht="9.75" customHeight="1">
      <c r="B78" s="8">
        <f t="shared" si="0"/>
        <v>70</v>
      </c>
      <c r="C78" s="9">
        <f t="shared" si="5"/>
        <v>46214</v>
      </c>
      <c r="D78" s="6" t="s">
        <v>189</v>
      </c>
      <c r="E78" s="6" t="s">
        <v>190</v>
      </c>
      <c r="F78" s="6" t="s">
        <v>13</v>
      </c>
      <c r="G78" s="6" t="s">
        <v>20</v>
      </c>
      <c r="H78" s="6" t="s">
        <v>21</v>
      </c>
    </row>
    <row r="79" spans="2:8" ht="9.75" customHeight="1">
      <c r="B79" s="8">
        <f t="shared" si="0"/>
        <v>71</v>
      </c>
      <c r="C79" s="9">
        <f t="shared" si="5"/>
        <v>46214</v>
      </c>
      <c r="D79" s="6" t="s">
        <v>8</v>
      </c>
      <c r="E79" s="6" t="s">
        <v>61</v>
      </c>
      <c r="F79" s="6" t="s">
        <v>13</v>
      </c>
      <c r="G79" s="6" t="s">
        <v>191</v>
      </c>
      <c r="H79" s="6" t="s">
        <v>17</v>
      </c>
    </row>
    <row r="80" spans="2:8" ht="9.75" customHeight="1">
      <c r="B80" s="8">
        <f t="shared" si="0"/>
        <v>72</v>
      </c>
      <c r="C80" s="9">
        <f t="shared" si="5"/>
        <v>46214</v>
      </c>
      <c r="D80" s="6" t="s">
        <v>192</v>
      </c>
      <c r="E80" s="6" t="s">
        <v>193</v>
      </c>
      <c r="F80" s="6" t="s">
        <v>13</v>
      </c>
      <c r="G80" s="10" t="s">
        <v>194</v>
      </c>
      <c r="H80" s="6" t="s">
        <v>21</v>
      </c>
    </row>
    <row r="81" spans="2:8" ht="9.75" customHeight="1">
      <c r="B81" s="8">
        <f t="shared" si="0"/>
        <v>73</v>
      </c>
      <c r="C81" s="9">
        <f t="shared" si="5"/>
        <v>46214</v>
      </c>
      <c r="D81" s="6" t="s">
        <v>8</v>
      </c>
      <c r="E81" s="6" t="s">
        <v>195</v>
      </c>
      <c r="F81" s="6" t="s">
        <v>13</v>
      </c>
      <c r="G81" s="6" t="s">
        <v>196</v>
      </c>
      <c r="H81" s="6" t="s">
        <v>16</v>
      </c>
    </row>
    <row r="82" spans="2:8" ht="9.75" customHeight="1">
      <c r="B82" s="8">
        <f t="shared" si="0"/>
        <v>74</v>
      </c>
      <c r="C82" s="9">
        <f t="shared" si="5"/>
        <v>46214</v>
      </c>
      <c r="D82" s="6" t="s">
        <v>197</v>
      </c>
      <c r="E82" s="6" t="s">
        <v>175</v>
      </c>
      <c r="F82" s="6" t="s">
        <v>13</v>
      </c>
      <c r="G82" s="10" t="s">
        <v>198</v>
      </c>
      <c r="H82" s="6" t="s">
        <v>21</v>
      </c>
    </row>
    <row r="83" spans="2:8" ht="9.75" customHeight="1">
      <c r="B83" s="8">
        <f t="shared" si="0"/>
        <v>75</v>
      </c>
      <c r="C83" s="9">
        <f t="shared" si="5"/>
        <v>46214</v>
      </c>
      <c r="D83" s="6" t="s">
        <v>199</v>
      </c>
      <c r="E83" s="6" t="s">
        <v>27</v>
      </c>
      <c r="F83" s="6" t="s">
        <v>13</v>
      </c>
      <c r="G83" s="6" t="s">
        <v>200</v>
      </c>
      <c r="H83" s="6" t="s">
        <v>21</v>
      </c>
    </row>
    <row r="84" spans="2:8" ht="9.75" customHeight="1">
      <c r="B84" s="8">
        <f t="shared" si="0"/>
        <v>76</v>
      </c>
      <c r="C84" s="9">
        <f t="shared" si="5"/>
        <v>46214</v>
      </c>
      <c r="D84" s="6" t="s">
        <v>8</v>
      </c>
      <c r="E84" s="6" t="s">
        <v>201</v>
      </c>
      <c r="F84" s="6" t="s">
        <v>13</v>
      </c>
      <c r="G84" s="5" t="s">
        <v>202</v>
      </c>
      <c r="H84" s="6" t="s">
        <v>17</v>
      </c>
    </row>
    <row r="85" spans="2:8" ht="9.75" customHeight="1">
      <c r="B85" s="8">
        <f t="shared" si="0"/>
        <v>77</v>
      </c>
      <c r="C85" s="4">
        <v>46215</v>
      </c>
      <c r="D85" s="6" t="s">
        <v>203</v>
      </c>
      <c r="E85" s="6" t="s">
        <v>27</v>
      </c>
      <c r="F85" s="6" t="s">
        <v>13</v>
      </c>
      <c r="G85" s="6" t="s">
        <v>204</v>
      </c>
      <c r="H85" s="6" t="s">
        <v>205</v>
      </c>
    </row>
    <row r="86" spans="2:8" ht="9.75" customHeight="1">
      <c r="B86" s="8">
        <f t="shared" si="0"/>
        <v>78</v>
      </c>
      <c r="C86" s="9">
        <f t="shared" ref="C86:C105" si="6">C85</f>
        <v>46215</v>
      </c>
      <c r="D86" s="6" t="s">
        <v>206</v>
      </c>
      <c r="E86" s="6" t="s">
        <v>207</v>
      </c>
      <c r="F86" s="6" t="s">
        <v>13</v>
      </c>
      <c r="G86" s="6" t="s">
        <v>208</v>
      </c>
      <c r="H86" s="6" t="s">
        <v>21</v>
      </c>
    </row>
    <row r="87" spans="2:8" ht="9.75" customHeight="1">
      <c r="B87" s="8">
        <f t="shared" si="0"/>
        <v>79</v>
      </c>
      <c r="C87" s="9">
        <f t="shared" si="6"/>
        <v>46215</v>
      </c>
      <c r="D87" s="6" t="s">
        <v>209</v>
      </c>
      <c r="E87" s="6" t="s">
        <v>10</v>
      </c>
      <c r="F87" s="6" t="s">
        <v>210</v>
      </c>
      <c r="G87" s="10" t="s">
        <v>211</v>
      </c>
      <c r="H87" s="6" t="s">
        <v>205</v>
      </c>
    </row>
    <row r="88" spans="2:8" ht="9.75" customHeight="1">
      <c r="B88" s="8">
        <f t="shared" si="0"/>
        <v>80</v>
      </c>
      <c r="C88" s="9">
        <f t="shared" si="6"/>
        <v>46215</v>
      </c>
      <c r="D88" s="6" t="s">
        <v>212</v>
      </c>
      <c r="E88" s="6" t="s">
        <v>213</v>
      </c>
      <c r="F88" s="6" t="s">
        <v>210</v>
      </c>
      <c r="G88" s="10" t="s">
        <v>214</v>
      </c>
      <c r="H88" s="6" t="s">
        <v>17</v>
      </c>
    </row>
    <row r="89" spans="2:8" ht="9.75" customHeight="1">
      <c r="B89" s="8">
        <f t="shared" si="0"/>
        <v>81</v>
      </c>
      <c r="C89" s="9">
        <f t="shared" si="6"/>
        <v>46215</v>
      </c>
      <c r="D89" s="6" t="s">
        <v>212</v>
      </c>
      <c r="E89" s="6" t="s">
        <v>98</v>
      </c>
      <c r="F89" s="6" t="s">
        <v>210</v>
      </c>
      <c r="G89" s="10" t="s">
        <v>215</v>
      </c>
      <c r="H89" s="6" t="s">
        <v>92</v>
      </c>
    </row>
    <row r="90" spans="2:8" ht="9.75" customHeight="1">
      <c r="B90" s="8">
        <f t="shared" si="0"/>
        <v>82</v>
      </c>
      <c r="C90" s="9">
        <f t="shared" si="6"/>
        <v>46215</v>
      </c>
      <c r="D90" s="6" t="s">
        <v>209</v>
      </c>
      <c r="E90" s="6" t="s">
        <v>27</v>
      </c>
      <c r="F90" s="6" t="s">
        <v>210</v>
      </c>
      <c r="G90" s="10" t="s">
        <v>216</v>
      </c>
      <c r="H90" s="6" t="s">
        <v>92</v>
      </c>
    </row>
    <row r="91" spans="2:8" ht="9.75" customHeight="1">
      <c r="B91" s="8">
        <f t="shared" si="0"/>
        <v>83</v>
      </c>
      <c r="C91" s="9">
        <f t="shared" si="6"/>
        <v>46215</v>
      </c>
      <c r="D91" s="6" t="s">
        <v>217</v>
      </c>
      <c r="E91" s="6" t="s">
        <v>179</v>
      </c>
      <c r="F91" s="6" t="s">
        <v>210</v>
      </c>
      <c r="G91" s="10" t="s">
        <v>218</v>
      </c>
      <c r="H91" s="6" t="s">
        <v>205</v>
      </c>
    </row>
    <row r="92" spans="2:8" ht="9.75" customHeight="1">
      <c r="B92" s="8">
        <f t="shared" si="0"/>
        <v>84</v>
      </c>
      <c r="C92" s="9">
        <f t="shared" si="6"/>
        <v>46215</v>
      </c>
      <c r="D92" s="6" t="s">
        <v>167</v>
      </c>
      <c r="E92" s="6" t="s">
        <v>95</v>
      </c>
      <c r="F92" s="6" t="s">
        <v>210</v>
      </c>
      <c r="G92" s="10" t="s">
        <v>219</v>
      </c>
      <c r="H92" s="6" t="s">
        <v>92</v>
      </c>
    </row>
    <row r="93" spans="2:8" ht="9.75" customHeight="1">
      <c r="B93" s="8">
        <f t="shared" si="0"/>
        <v>85</v>
      </c>
      <c r="C93" s="9">
        <f t="shared" si="6"/>
        <v>46215</v>
      </c>
      <c r="D93" s="6" t="s">
        <v>217</v>
      </c>
      <c r="E93" s="6" t="s">
        <v>90</v>
      </c>
      <c r="F93" s="6" t="s">
        <v>210</v>
      </c>
      <c r="G93" s="10" t="s">
        <v>220</v>
      </c>
      <c r="H93" s="6" t="s">
        <v>92</v>
      </c>
    </row>
    <row r="94" spans="2:8" ht="9.75" customHeight="1">
      <c r="B94" s="8">
        <f t="shared" si="0"/>
        <v>86</v>
      </c>
      <c r="C94" s="9">
        <f t="shared" si="6"/>
        <v>46215</v>
      </c>
      <c r="D94" s="6" t="s">
        <v>212</v>
      </c>
      <c r="E94" s="6" t="s">
        <v>27</v>
      </c>
      <c r="F94" s="6" t="s">
        <v>210</v>
      </c>
      <c r="G94" s="10" t="s">
        <v>221</v>
      </c>
      <c r="H94" s="6" t="s">
        <v>92</v>
      </c>
    </row>
    <row r="95" spans="2:8" ht="9.75" customHeight="1">
      <c r="B95" s="8">
        <f t="shared" si="0"/>
        <v>87</v>
      </c>
      <c r="C95" s="9">
        <f t="shared" si="6"/>
        <v>46215</v>
      </c>
      <c r="D95" s="6" t="s">
        <v>209</v>
      </c>
      <c r="E95" s="6" t="s">
        <v>30</v>
      </c>
      <c r="F95" s="6" t="s">
        <v>210</v>
      </c>
      <c r="G95" s="10" t="s">
        <v>222</v>
      </c>
      <c r="H95" s="6" t="s">
        <v>92</v>
      </c>
    </row>
    <row r="96" spans="2:8" ht="9.75" customHeight="1">
      <c r="B96" s="8">
        <f t="shared" si="0"/>
        <v>88</v>
      </c>
      <c r="C96" s="9">
        <f t="shared" si="6"/>
        <v>46215</v>
      </c>
      <c r="D96" s="6" t="s">
        <v>212</v>
      </c>
      <c r="E96" s="6" t="s">
        <v>223</v>
      </c>
      <c r="F96" s="6" t="s">
        <v>210</v>
      </c>
      <c r="G96" s="10" t="s">
        <v>224</v>
      </c>
      <c r="H96" s="6" t="s">
        <v>17</v>
      </c>
    </row>
    <row r="97" spans="2:8" ht="9.75" customHeight="1">
      <c r="B97" s="8">
        <f t="shared" si="0"/>
        <v>89</v>
      </c>
      <c r="C97" s="9">
        <f t="shared" si="6"/>
        <v>46215</v>
      </c>
      <c r="D97" s="6" t="s">
        <v>167</v>
      </c>
      <c r="E97" s="6" t="s">
        <v>106</v>
      </c>
      <c r="F97" s="6" t="s">
        <v>210</v>
      </c>
      <c r="G97" s="10" t="s">
        <v>225</v>
      </c>
      <c r="H97" s="6" t="s">
        <v>17</v>
      </c>
    </row>
    <row r="98" spans="2:8" ht="9.75" customHeight="1">
      <c r="B98" s="8">
        <f t="shared" si="0"/>
        <v>90</v>
      </c>
      <c r="C98" s="9">
        <f t="shared" si="6"/>
        <v>46215</v>
      </c>
      <c r="D98" s="6" t="s">
        <v>212</v>
      </c>
      <c r="E98" s="6" t="s">
        <v>22</v>
      </c>
      <c r="F98" s="6" t="s">
        <v>210</v>
      </c>
      <c r="G98" s="10" t="s">
        <v>226</v>
      </c>
      <c r="H98" s="6" t="s">
        <v>17</v>
      </c>
    </row>
    <row r="99" spans="2:8" ht="9.75" customHeight="1">
      <c r="B99" s="8">
        <f t="shared" si="0"/>
        <v>91</v>
      </c>
      <c r="C99" s="9">
        <f t="shared" si="6"/>
        <v>46215</v>
      </c>
      <c r="D99" s="6" t="s">
        <v>227</v>
      </c>
      <c r="E99" s="6" t="s">
        <v>98</v>
      </c>
      <c r="F99" s="6" t="s">
        <v>210</v>
      </c>
      <c r="G99" s="10" t="s">
        <v>228</v>
      </c>
      <c r="H99" s="6" t="s">
        <v>229</v>
      </c>
    </row>
    <row r="100" spans="2:8" ht="9.75" customHeight="1">
      <c r="B100" s="8">
        <f t="shared" si="0"/>
        <v>92</v>
      </c>
      <c r="C100" s="9">
        <f t="shared" si="6"/>
        <v>46215</v>
      </c>
      <c r="D100" s="6" t="s">
        <v>167</v>
      </c>
      <c r="E100" s="6" t="s">
        <v>230</v>
      </c>
      <c r="F100" s="6" t="s">
        <v>210</v>
      </c>
      <c r="G100" s="10" t="s">
        <v>24</v>
      </c>
      <c r="H100" s="6" t="s">
        <v>92</v>
      </c>
    </row>
    <row r="101" spans="2:8" ht="9.75" customHeight="1">
      <c r="B101" s="8">
        <f t="shared" si="0"/>
        <v>93</v>
      </c>
      <c r="C101" s="9">
        <f t="shared" si="6"/>
        <v>46215</v>
      </c>
      <c r="D101" s="6" t="s">
        <v>212</v>
      </c>
      <c r="E101" s="6" t="s">
        <v>10</v>
      </c>
      <c r="F101" s="6" t="s">
        <v>210</v>
      </c>
      <c r="G101" s="10" t="s">
        <v>231</v>
      </c>
      <c r="H101" s="6" t="s">
        <v>92</v>
      </c>
    </row>
    <row r="102" spans="2:8" ht="9.75" customHeight="1">
      <c r="B102" s="8">
        <f t="shared" si="0"/>
        <v>94</v>
      </c>
      <c r="C102" s="9">
        <f t="shared" si="6"/>
        <v>46215</v>
      </c>
      <c r="D102" s="6" t="s">
        <v>227</v>
      </c>
      <c r="E102" s="6" t="s">
        <v>232</v>
      </c>
      <c r="F102" s="6" t="s">
        <v>210</v>
      </c>
      <c r="G102" s="23" t="s">
        <v>233</v>
      </c>
      <c r="H102" s="6" t="s">
        <v>134</v>
      </c>
    </row>
    <row r="103" spans="2:8" ht="9.75" customHeight="1">
      <c r="B103" s="8">
        <f t="shared" si="0"/>
        <v>95</v>
      </c>
      <c r="C103" s="9">
        <f t="shared" si="6"/>
        <v>46215</v>
      </c>
      <c r="D103" s="6" t="s">
        <v>167</v>
      </c>
      <c r="E103" s="6" t="s">
        <v>98</v>
      </c>
      <c r="F103" s="6" t="s">
        <v>210</v>
      </c>
      <c r="G103" s="10" t="s">
        <v>234</v>
      </c>
      <c r="H103" s="6" t="s">
        <v>92</v>
      </c>
    </row>
    <row r="104" spans="2:8" ht="9.75" customHeight="1">
      <c r="B104" s="8">
        <f t="shared" si="0"/>
        <v>96</v>
      </c>
      <c r="C104" s="9">
        <f t="shared" si="6"/>
        <v>46215</v>
      </c>
      <c r="D104" s="6" t="s">
        <v>47</v>
      </c>
      <c r="E104" s="6" t="s">
        <v>22</v>
      </c>
      <c r="F104" s="6" t="s">
        <v>210</v>
      </c>
      <c r="G104" s="10" t="s">
        <v>235</v>
      </c>
      <c r="H104" s="6" t="s">
        <v>205</v>
      </c>
    </row>
    <row r="105" spans="2:8" ht="9.75" customHeight="1">
      <c r="B105" s="8">
        <f t="shared" si="0"/>
        <v>97</v>
      </c>
      <c r="C105" s="9">
        <f t="shared" si="6"/>
        <v>46215</v>
      </c>
      <c r="D105" s="6" t="s">
        <v>236</v>
      </c>
      <c r="E105" s="6" t="s">
        <v>237</v>
      </c>
      <c r="F105" s="6" t="s">
        <v>210</v>
      </c>
      <c r="G105" s="10" t="s">
        <v>238</v>
      </c>
      <c r="H105" s="6" t="s">
        <v>17</v>
      </c>
    </row>
    <row r="106" spans="2:8" ht="9.75" customHeight="1">
      <c r="B106" s="8">
        <f t="shared" si="0"/>
        <v>98</v>
      </c>
      <c r="C106" s="4">
        <v>46216</v>
      </c>
      <c r="D106" s="6" t="s">
        <v>239</v>
      </c>
      <c r="E106" s="6" t="s">
        <v>240</v>
      </c>
      <c r="F106" s="6" t="s">
        <v>241</v>
      </c>
      <c r="G106" s="6" t="s">
        <v>242</v>
      </c>
      <c r="H106" s="6" t="s">
        <v>205</v>
      </c>
    </row>
    <row r="107" spans="2:8" ht="9.75" customHeight="1">
      <c r="B107" s="8">
        <f t="shared" si="0"/>
        <v>99</v>
      </c>
      <c r="C107" s="9">
        <f t="shared" ref="C107:C114" si="7">C106</f>
        <v>46216</v>
      </c>
      <c r="D107" s="6" t="s">
        <v>243</v>
      </c>
      <c r="E107" s="6" t="s">
        <v>244</v>
      </c>
      <c r="F107" s="6" t="s">
        <v>241</v>
      </c>
      <c r="G107" s="6" t="s">
        <v>245</v>
      </c>
      <c r="H107" s="6" t="s">
        <v>205</v>
      </c>
    </row>
    <row r="108" spans="2:8" ht="9.75" customHeight="1">
      <c r="B108" s="8">
        <f t="shared" si="0"/>
        <v>100</v>
      </c>
      <c r="C108" s="9">
        <f t="shared" si="7"/>
        <v>46216</v>
      </c>
      <c r="D108" s="6" t="s">
        <v>246</v>
      </c>
      <c r="E108" s="6" t="s">
        <v>247</v>
      </c>
      <c r="F108" s="6" t="s">
        <v>241</v>
      </c>
      <c r="G108" s="6" t="s">
        <v>248</v>
      </c>
      <c r="H108" s="6" t="s">
        <v>205</v>
      </c>
    </row>
    <row r="109" spans="2:8" ht="9.75" customHeight="1">
      <c r="C109" s="9">
        <f t="shared" si="7"/>
        <v>46216</v>
      </c>
      <c r="D109" s="6" t="s">
        <v>246</v>
      </c>
      <c r="E109" s="6" t="s">
        <v>247</v>
      </c>
      <c r="F109" s="6" t="s">
        <v>241</v>
      </c>
      <c r="G109" s="6" t="s">
        <v>249</v>
      </c>
      <c r="H109" s="6" t="s">
        <v>250</v>
      </c>
    </row>
    <row r="110" spans="2:8" ht="15.75" customHeight="1">
      <c r="C110" s="9">
        <f t="shared" si="7"/>
        <v>46216</v>
      </c>
      <c r="D110" s="6" t="s">
        <v>246</v>
      </c>
      <c r="E110" s="6" t="s">
        <v>244</v>
      </c>
      <c r="F110" s="6" t="s">
        <v>241</v>
      </c>
      <c r="G110" s="6" t="s">
        <v>251</v>
      </c>
      <c r="H110" s="6" t="s">
        <v>205</v>
      </c>
    </row>
    <row r="111" spans="2:8" ht="15.75" customHeight="1">
      <c r="C111" s="9">
        <f t="shared" si="7"/>
        <v>46216</v>
      </c>
      <c r="D111" s="6" t="s">
        <v>246</v>
      </c>
      <c r="E111" s="6" t="s">
        <v>118</v>
      </c>
      <c r="F111" s="6" t="s">
        <v>241</v>
      </c>
      <c r="G111" s="6" t="s">
        <v>252</v>
      </c>
      <c r="H111" s="6" t="s">
        <v>16</v>
      </c>
    </row>
    <row r="112" spans="2:8" ht="15.75" customHeight="1">
      <c r="C112" s="9">
        <f t="shared" si="7"/>
        <v>46216</v>
      </c>
      <c r="D112" s="6" t="s">
        <v>253</v>
      </c>
      <c r="E112" s="6" t="s">
        <v>254</v>
      </c>
      <c r="F112" s="6" t="s">
        <v>241</v>
      </c>
      <c r="G112" s="6" t="s">
        <v>255</v>
      </c>
      <c r="H112" s="6" t="s">
        <v>229</v>
      </c>
    </row>
    <row r="113" spans="3:8" ht="15.75" customHeight="1">
      <c r="C113" s="9">
        <f t="shared" si="7"/>
        <v>46216</v>
      </c>
      <c r="D113" s="6" t="s">
        <v>205</v>
      </c>
      <c r="E113" s="6" t="s">
        <v>129</v>
      </c>
      <c r="F113" s="6" t="s">
        <v>241</v>
      </c>
      <c r="G113" s="10" t="s">
        <v>256</v>
      </c>
      <c r="H113" s="6" t="s">
        <v>17</v>
      </c>
    </row>
    <row r="114" spans="3:8" ht="15.75" customHeight="1">
      <c r="C114" s="9">
        <f t="shared" si="7"/>
        <v>46216</v>
      </c>
      <c r="D114" s="6" t="s">
        <v>253</v>
      </c>
      <c r="E114" s="6" t="s">
        <v>257</v>
      </c>
      <c r="F114" s="6" t="s">
        <v>241</v>
      </c>
      <c r="G114" s="10" t="s">
        <v>258</v>
      </c>
      <c r="H114" s="6" t="s">
        <v>229</v>
      </c>
    </row>
    <row r="115" spans="3:8" ht="15.75" customHeight="1">
      <c r="C115" s="24">
        <v>46217</v>
      </c>
      <c r="D115" s="14" t="s">
        <v>259</v>
      </c>
      <c r="E115" s="14" t="s">
        <v>22</v>
      </c>
      <c r="F115" s="14" t="s">
        <v>260</v>
      </c>
      <c r="G115" s="14" t="s">
        <v>261</v>
      </c>
      <c r="H115" s="14" t="s">
        <v>47</v>
      </c>
    </row>
    <row r="116" spans="3:8" ht="15.75" customHeight="1">
      <c r="C116" s="9">
        <f t="shared" ref="C116:C130" si="8">C115</f>
        <v>46217</v>
      </c>
      <c r="D116" s="14" t="s">
        <v>259</v>
      </c>
      <c r="E116" s="14" t="s">
        <v>262</v>
      </c>
      <c r="F116" s="14" t="s">
        <v>260</v>
      </c>
      <c r="G116" s="14" t="s">
        <v>263</v>
      </c>
      <c r="H116" s="14" t="s">
        <v>47</v>
      </c>
    </row>
    <row r="117" spans="3:8" ht="15.75" customHeight="1">
      <c r="C117" s="9">
        <f t="shared" si="8"/>
        <v>46217</v>
      </c>
      <c r="D117" s="14" t="s">
        <v>264</v>
      </c>
      <c r="E117" s="14" t="s">
        <v>179</v>
      </c>
      <c r="F117" s="14" t="s">
        <v>260</v>
      </c>
      <c r="G117" s="14" t="s">
        <v>265</v>
      </c>
      <c r="H117" s="14" t="s">
        <v>47</v>
      </c>
    </row>
    <row r="118" spans="3:8" ht="15.75" customHeight="1">
      <c r="C118" s="9">
        <f t="shared" si="8"/>
        <v>46217</v>
      </c>
      <c r="D118" s="14" t="s">
        <v>259</v>
      </c>
      <c r="E118" s="14" t="s">
        <v>266</v>
      </c>
      <c r="F118" s="14" t="s">
        <v>260</v>
      </c>
      <c r="G118" s="14" t="s">
        <v>267</v>
      </c>
      <c r="H118" s="14" t="s">
        <v>47</v>
      </c>
    </row>
    <row r="119" spans="3:8" ht="15.75" customHeight="1">
      <c r="C119" s="9">
        <f t="shared" si="8"/>
        <v>46217</v>
      </c>
      <c r="D119" s="14" t="s">
        <v>264</v>
      </c>
      <c r="E119" s="14" t="s">
        <v>57</v>
      </c>
      <c r="F119" s="14" t="s">
        <v>260</v>
      </c>
      <c r="G119" s="14" t="s">
        <v>268</v>
      </c>
      <c r="H119" s="14" t="s">
        <v>47</v>
      </c>
    </row>
    <row r="120" spans="3:8" ht="15.75" customHeight="1">
      <c r="C120" s="9">
        <f t="shared" si="8"/>
        <v>46217</v>
      </c>
      <c r="D120" s="14" t="s">
        <v>264</v>
      </c>
      <c r="E120" s="14" t="s">
        <v>269</v>
      </c>
      <c r="F120" s="14" t="s">
        <v>260</v>
      </c>
      <c r="G120" s="14" t="s">
        <v>270</v>
      </c>
      <c r="H120" s="14" t="s">
        <v>47</v>
      </c>
    </row>
    <row r="121" spans="3:8" ht="15.75" customHeight="1">
      <c r="C121" s="9">
        <f t="shared" si="8"/>
        <v>46217</v>
      </c>
      <c r="D121" s="14" t="s">
        <v>271</v>
      </c>
      <c r="E121" s="14" t="s">
        <v>272</v>
      </c>
      <c r="F121" s="14" t="s">
        <v>260</v>
      </c>
      <c r="G121" s="14" t="s">
        <v>273</v>
      </c>
      <c r="H121" s="14" t="s">
        <v>47</v>
      </c>
    </row>
    <row r="122" spans="3:8" ht="15.75" customHeight="1">
      <c r="C122" s="9">
        <f t="shared" si="8"/>
        <v>46217</v>
      </c>
      <c r="D122" s="14" t="s">
        <v>271</v>
      </c>
      <c r="E122" s="14" t="s">
        <v>57</v>
      </c>
      <c r="F122" s="14" t="s">
        <v>260</v>
      </c>
      <c r="G122" s="14" t="s">
        <v>274</v>
      </c>
      <c r="H122" s="14" t="s">
        <v>47</v>
      </c>
    </row>
    <row r="123" spans="3:8" ht="15.75" customHeight="1">
      <c r="C123" s="9">
        <f t="shared" si="8"/>
        <v>46217</v>
      </c>
      <c r="D123" s="14" t="s">
        <v>271</v>
      </c>
      <c r="E123" s="14" t="s">
        <v>275</v>
      </c>
      <c r="F123" s="14" t="s">
        <v>260</v>
      </c>
      <c r="G123" s="14" t="s">
        <v>276</v>
      </c>
      <c r="H123" s="14" t="s">
        <v>47</v>
      </c>
    </row>
    <row r="124" spans="3:8" ht="15.75" customHeight="1">
      <c r="C124" s="9">
        <f t="shared" si="8"/>
        <v>46217</v>
      </c>
      <c r="D124" s="14" t="s">
        <v>271</v>
      </c>
      <c r="E124" s="14" t="s">
        <v>277</v>
      </c>
      <c r="F124" s="14" t="s">
        <v>260</v>
      </c>
      <c r="G124" s="14" t="s">
        <v>278</v>
      </c>
      <c r="H124" s="14" t="s">
        <v>47</v>
      </c>
    </row>
    <row r="125" spans="3:8" ht="15.75" customHeight="1">
      <c r="C125" s="9">
        <f t="shared" si="8"/>
        <v>46217</v>
      </c>
      <c r="D125" s="14" t="s">
        <v>8</v>
      </c>
      <c r="E125" s="14" t="s">
        <v>57</v>
      </c>
      <c r="F125" s="14" t="s">
        <v>19</v>
      </c>
      <c r="G125" s="14" t="s">
        <v>279</v>
      </c>
      <c r="H125" s="14" t="s">
        <v>17</v>
      </c>
    </row>
    <row r="126" spans="3:8" ht="15.75" customHeight="1">
      <c r="C126" s="9">
        <f t="shared" si="8"/>
        <v>46217</v>
      </c>
      <c r="D126" s="14" t="s">
        <v>8</v>
      </c>
      <c r="E126" s="14" t="s">
        <v>10</v>
      </c>
      <c r="F126" s="14" t="s">
        <v>19</v>
      </c>
      <c r="G126" s="14" t="s">
        <v>280</v>
      </c>
      <c r="H126" s="14" t="s">
        <v>281</v>
      </c>
    </row>
    <row r="127" spans="3:8" ht="15.75" customHeight="1">
      <c r="C127" s="9">
        <f t="shared" si="8"/>
        <v>46217</v>
      </c>
      <c r="D127" s="14" t="s">
        <v>282</v>
      </c>
      <c r="E127" s="14" t="s">
        <v>18</v>
      </c>
      <c r="F127" s="14" t="s">
        <v>19</v>
      </c>
      <c r="G127" s="14" t="s">
        <v>283</v>
      </c>
      <c r="H127" s="14" t="s">
        <v>21</v>
      </c>
    </row>
    <row r="128" spans="3:8" ht="15.75" customHeight="1">
      <c r="C128" s="9">
        <f t="shared" si="8"/>
        <v>46217</v>
      </c>
      <c r="D128" s="14" t="s">
        <v>8</v>
      </c>
      <c r="E128" s="14" t="s">
        <v>284</v>
      </c>
      <c r="F128" s="14" t="s">
        <v>19</v>
      </c>
      <c r="G128" s="14" t="s">
        <v>285</v>
      </c>
      <c r="H128" s="14" t="s">
        <v>17</v>
      </c>
    </row>
    <row r="129" spans="3:8" ht="15.75" customHeight="1">
      <c r="C129" s="9">
        <f t="shared" si="8"/>
        <v>46217</v>
      </c>
      <c r="D129" s="14" t="s">
        <v>286</v>
      </c>
      <c r="E129" s="14" t="s">
        <v>22</v>
      </c>
      <c r="F129" s="14" t="s">
        <v>19</v>
      </c>
      <c r="G129" s="14" t="s">
        <v>287</v>
      </c>
      <c r="H129" s="14" t="s">
        <v>205</v>
      </c>
    </row>
    <row r="130" spans="3:8" ht="15.75" customHeight="1">
      <c r="C130" s="9">
        <f t="shared" si="8"/>
        <v>46217</v>
      </c>
      <c r="D130" s="14" t="s">
        <v>288</v>
      </c>
      <c r="E130" s="14" t="s">
        <v>27</v>
      </c>
      <c r="F130" s="14" t="s">
        <v>19</v>
      </c>
      <c r="G130" s="14" t="s">
        <v>289</v>
      </c>
      <c r="H130" s="14" t="s">
        <v>21</v>
      </c>
    </row>
    <row r="131" spans="3:8" ht="15.75" customHeight="1">
      <c r="C131" s="24">
        <v>46218</v>
      </c>
      <c r="D131" s="14" t="s">
        <v>290</v>
      </c>
      <c r="E131" s="14" t="s">
        <v>34</v>
      </c>
      <c r="F131" s="14" t="s">
        <v>19</v>
      </c>
      <c r="G131" s="14" t="s">
        <v>291</v>
      </c>
      <c r="H131" s="14" t="s">
        <v>21</v>
      </c>
    </row>
    <row r="132" spans="3:8" ht="15.75" customHeight="1">
      <c r="C132" s="9">
        <f t="shared" ref="C132:C151" si="9">C131</f>
        <v>46218</v>
      </c>
      <c r="D132" s="14" t="s">
        <v>167</v>
      </c>
      <c r="E132" s="14" t="s">
        <v>9</v>
      </c>
      <c r="F132" s="14" t="s">
        <v>19</v>
      </c>
      <c r="G132" s="14" t="s">
        <v>292</v>
      </c>
      <c r="H132" s="14" t="s">
        <v>293</v>
      </c>
    </row>
    <row r="133" spans="3:8" ht="15.75" customHeight="1">
      <c r="C133" s="9">
        <f t="shared" si="9"/>
        <v>46218</v>
      </c>
      <c r="D133" s="14" t="s">
        <v>294</v>
      </c>
      <c r="E133" s="14" t="s">
        <v>295</v>
      </c>
      <c r="F133" s="14" t="s">
        <v>19</v>
      </c>
      <c r="G133" s="14" t="s">
        <v>296</v>
      </c>
      <c r="H133" s="14" t="s">
        <v>16</v>
      </c>
    </row>
    <row r="134" spans="3:8" ht="15.75" customHeight="1">
      <c r="C134" s="9">
        <f t="shared" si="9"/>
        <v>46218</v>
      </c>
      <c r="D134" s="14" t="s">
        <v>297</v>
      </c>
      <c r="E134" s="14" t="s">
        <v>10</v>
      </c>
      <c r="F134" s="14" t="s">
        <v>19</v>
      </c>
      <c r="G134" s="14" t="s">
        <v>298</v>
      </c>
      <c r="H134" s="14" t="s">
        <v>21</v>
      </c>
    </row>
    <row r="135" spans="3:8" ht="15.75" customHeight="1">
      <c r="C135" s="9">
        <f t="shared" si="9"/>
        <v>46218</v>
      </c>
      <c r="D135" s="14" t="s">
        <v>299</v>
      </c>
      <c r="E135" s="14" t="s">
        <v>18</v>
      </c>
      <c r="F135" s="14" t="s">
        <v>19</v>
      </c>
      <c r="G135" s="14" t="s">
        <v>300</v>
      </c>
      <c r="H135" s="14" t="s">
        <v>21</v>
      </c>
    </row>
    <row r="136" spans="3:8" ht="15.75" customHeight="1">
      <c r="C136" s="9">
        <f t="shared" si="9"/>
        <v>46218</v>
      </c>
      <c r="D136" s="14" t="s">
        <v>301</v>
      </c>
      <c r="E136" s="14" t="s">
        <v>57</v>
      </c>
      <c r="F136" s="14" t="s">
        <v>302</v>
      </c>
      <c r="G136" s="14" t="s">
        <v>303</v>
      </c>
      <c r="H136" s="14" t="s">
        <v>21</v>
      </c>
    </row>
    <row r="137" spans="3:8" ht="15.75" customHeight="1">
      <c r="C137" s="9">
        <f t="shared" si="9"/>
        <v>46218</v>
      </c>
      <c r="D137" s="14" t="s">
        <v>259</v>
      </c>
      <c r="E137" s="14" t="s">
        <v>307</v>
      </c>
      <c r="F137" s="14" t="s">
        <v>302</v>
      </c>
      <c r="G137" s="14" t="s">
        <v>308</v>
      </c>
      <c r="H137" s="14" t="s">
        <v>21</v>
      </c>
    </row>
    <row r="138" spans="3:8" ht="15.75" customHeight="1">
      <c r="C138" s="9">
        <f t="shared" si="9"/>
        <v>46218</v>
      </c>
      <c r="D138" s="14" t="s">
        <v>259</v>
      </c>
      <c r="E138" s="14" t="s">
        <v>307</v>
      </c>
      <c r="F138" s="14" t="s">
        <v>302</v>
      </c>
      <c r="G138" s="14" t="s">
        <v>309</v>
      </c>
      <c r="H138" s="14" t="s">
        <v>21</v>
      </c>
    </row>
    <row r="139" spans="3:8" ht="15.75" customHeight="1">
      <c r="C139" s="9">
        <f t="shared" si="9"/>
        <v>46218</v>
      </c>
      <c r="D139" s="14" t="s">
        <v>259</v>
      </c>
      <c r="E139" s="14" t="s">
        <v>307</v>
      </c>
      <c r="F139" s="14" t="s">
        <v>302</v>
      </c>
      <c r="G139" s="14" t="s">
        <v>313</v>
      </c>
      <c r="H139" s="14" t="s">
        <v>21</v>
      </c>
    </row>
    <row r="140" spans="3:8" ht="15.75" customHeight="1">
      <c r="C140" s="9">
        <f t="shared" si="9"/>
        <v>46218</v>
      </c>
      <c r="D140" s="14" t="s">
        <v>259</v>
      </c>
      <c r="E140" s="14" t="s">
        <v>10</v>
      </c>
      <c r="F140" s="14" t="s">
        <v>302</v>
      </c>
      <c r="G140" s="15" t="s">
        <v>316</v>
      </c>
      <c r="H140" s="14" t="s">
        <v>21</v>
      </c>
    </row>
    <row r="141" spans="3:8" ht="15.75" customHeight="1">
      <c r="C141" s="9">
        <f t="shared" si="9"/>
        <v>46218</v>
      </c>
      <c r="D141" s="14" t="s">
        <v>259</v>
      </c>
      <c r="E141" s="14" t="s">
        <v>168</v>
      </c>
      <c r="F141" s="14" t="s">
        <v>302</v>
      </c>
      <c r="G141" s="14" t="s">
        <v>319</v>
      </c>
      <c r="H141" s="14" t="s">
        <v>21</v>
      </c>
    </row>
    <row r="142" spans="3:8" ht="15.75" customHeight="1">
      <c r="C142" s="9">
        <f t="shared" si="9"/>
        <v>46218</v>
      </c>
      <c r="D142" s="14" t="s">
        <v>259</v>
      </c>
      <c r="E142" s="14" t="s">
        <v>321</v>
      </c>
      <c r="F142" s="14" t="s">
        <v>302</v>
      </c>
      <c r="G142" s="14" t="s">
        <v>322</v>
      </c>
      <c r="H142" s="14" t="s">
        <v>21</v>
      </c>
    </row>
    <row r="143" spans="3:8" ht="15.75" customHeight="1">
      <c r="C143" s="9">
        <f t="shared" si="9"/>
        <v>46218</v>
      </c>
      <c r="D143" s="14" t="s">
        <v>259</v>
      </c>
      <c r="E143" s="14" t="s">
        <v>327</v>
      </c>
      <c r="F143" s="14" t="s">
        <v>305</v>
      </c>
      <c r="G143" s="14" t="s">
        <v>328</v>
      </c>
      <c r="H143" s="14" t="s">
        <v>21</v>
      </c>
    </row>
    <row r="144" spans="3:8" ht="15.75" customHeight="1">
      <c r="C144" s="9">
        <f t="shared" si="9"/>
        <v>46218</v>
      </c>
      <c r="D144" s="14" t="s">
        <v>82</v>
      </c>
      <c r="E144" s="14" t="s">
        <v>34</v>
      </c>
      <c r="F144" s="14" t="s">
        <v>305</v>
      </c>
      <c r="G144" s="14" t="s">
        <v>39</v>
      </c>
      <c r="H144" s="14" t="s">
        <v>21</v>
      </c>
    </row>
    <row r="145" spans="3:8" ht="15.75" customHeight="1">
      <c r="C145" s="9">
        <f t="shared" si="9"/>
        <v>46218</v>
      </c>
      <c r="D145" s="14" t="s">
        <v>8</v>
      </c>
      <c r="E145" s="14" t="s">
        <v>27</v>
      </c>
      <c r="F145" s="14" t="s">
        <v>305</v>
      </c>
      <c r="G145" s="14" t="s">
        <v>331</v>
      </c>
      <c r="H145" s="14" t="s">
        <v>332</v>
      </c>
    </row>
    <row r="146" spans="3:8" ht="15.75" customHeight="1">
      <c r="C146" s="9">
        <f t="shared" si="9"/>
        <v>46218</v>
      </c>
      <c r="D146" s="14" t="s">
        <v>334</v>
      </c>
      <c r="E146" s="14" t="s">
        <v>34</v>
      </c>
      <c r="F146" s="14" t="s">
        <v>305</v>
      </c>
      <c r="G146" s="14" t="s">
        <v>335</v>
      </c>
      <c r="H146" s="14" t="s">
        <v>21</v>
      </c>
    </row>
    <row r="147" spans="3:8" ht="15.75" customHeight="1">
      <c r="C147" s="9">
        <f t="shared" si="9"/>
        <v>46218</v>
      </c>
      <c r="D147" s="14" t="s">
        <v>8</v>
      </c>
      <c r="E147" s="14" t="s">
        <v>27</v>
      </c>
      <c r="F147" s="14" t="s">
        <v>305</v>
      </c>
      <c r="G147" s="14" t="s">
        <v>280</v>
      </c>
      <c r="H147" s="14" t="s">
        <v>281</v>
      </c>
    </row>
    <row r="148" spans="3:8" ht="15.75" customHeight="1">
      <c r="C148" s="9">
        <f t="shared" si="9"/>
        <v>46218</v>
      </c>
      <c r="D148" s="14" t="s">
        <v>338</v>
      </c>
      <c r="E148" s="14" t="s">
        <v>84</v>
      </c>
      <c r="F148" s="14" t="s">
        <v>305</v>
      </c>
      <c r="G148" s="11" t="s">
        <v>339</v>
      </c>
      <c r="H148" s="14" t="s">
        <v>21</v>
      </c>
    </row>
    <row r="149" spans="3:8" ht="15.75" customHeight="1">
      <c r="C149" s="9">
        <f t="shared" si="9"/>
        <v>46218</v>
      </c>
      <c r="D149" s="14" t="s">
        <v>340</v>
      </c>
      <c r="E149" s="14" t="s">
        <v>66</v>
      </c>
      <c r="F149" s="14" t="s">
        <v>305</v>
      </c>
      <c r="G149" s="14" t="s">
        <v>343</v>
      </c>
      <c r="H149" s="14" t="s">
        <v>21</v>
      </c>
    </row>
    <row r="150" spans="3:8" ht="15.75" customHeight="1">
      <c r="C150" s="9">
        <f t="shared" si="9"/>
        <v>46218</v>
      </c>
      <c r="D150" s="14" t="s">
        <v>345</v>
      </c>
      <c r="E150" s="14" t="s">
        <v>34</v>
      </c>
      <c r="F150" s="14" t="s">
        <v>305</v>
      </c>
      <c r="G150" s="14" t="s">
        <v>346</v>
      </c>
      <c r="H150" s="14" t="s">
        <v>21</v>
      </c>
    </row>
    <row r="151" spans="3:8" ht="15.75" customHeight="1">
      <c r="C151" s="9">
        <f t="shared" si="9"/>
        <v>46218</v>
      </c>
      <c r="D151" s="14" t="s">
        <v>348</v>
      </c>
      <c r="E151" s="14" t="s">
        <v>34</v>
      </c>
      <c r="F151" s="14" t="s">
        <v>305</v>
      </c>
      <c r="G151" s="14" t="s">
        <v>349</v>
      </c>
      <c r="H151" s="14" t="s">
        <v>21</v>
      </c>
    </row>
    <row r="152" spans="3:8" ht="15.75" customHeight="1">
      <c r="C152" s="24">
        <v>46219</v>
      </c>
      <c r="D152" s="14" t="s">
        <v>304</v>
      </c>
      <c r="E152" s="14" t="s">
        <v>34</v>
      </c>
      <c r="F152" s="14" t="s">
        <v>305</v>
      </c>
      <c r="G152" s="14" t="s">
        <v>306</v>
      </c>
      <c r="H152" s="14" t="s">
        <v>21</v>
      </c>
    </row>
    <row r="153" spans="3:8" ht="15.75" customHeight="1">
      <c r="C153" s="9">
        <f t="shared" ref="C153:C166" si="10">C152</f>
        <v>46219</v>
      </c>
      <c r="D153" s="14" t="s">
        <v>8</v>
      </c>
      <c r="E153" s="14" t="s">
        <v>310</v>
      </c>
      <c r="F153" s="14" t="s">
        <v>305</v>
      </c>
      <c r="G153" s="14" t="s">
        <v>311</v>
      </c>
      <c r="H153" s="14" t="s">
        <v>312</v>
      </c>
    </row>
    <row r="154" spans="3:8" ht="15.75" customHeight="1">
      <c r="C154" s="9">
        <f t="shared" si="10"/>
        <v>46219</v>
      </c>
      <c r="D154" s="14" t="s">
        <v>8</v>
      </c>
      <c r="E154" s="14" t="s">
        <v>18</v>
      </c>
      <c r="F154" s="14" t="s">
        <v>305</v>
      </c>
      <c r="G154" s="14" t="s">
        <v>314</v>
      </c>
      <c r="H154" s="14" t="s">
        <v>315</v>
      </c>
    </row>
    <row r="155" spans="3:8" ht="15.75" customHeight="1">
      <c r="C155" s="9">
        <f t="shared" si="10"/>
        <v>46219</v>
      </c>
      <c r="D155" s="14" t="s">
        <v>317</v>
      </c>
      <c r="E155" s="14" t="s">
        <v>318</v>
      </c>
      <c r="F155" s="14" t="s">
        <v>305</v>
      </c>
      <c r="G155" s="14" t="s">
        <v>320</v>
      </c>
      <c r="H155" s="14" t="s">
        <v>21</v>
      </c>
    </row>
    <row r="156" spans="3:8" ht="15.75" customHeight="1">
      <c r="C156" s="9">
        <f t="shared" si="10"/>
        <v>46219</v>
      </c>
      <c r="D156" s="14" t="s">
        <v>47</v>
      </c>
      <c r="E156" s="14" t="s">
        <v>323</v>
      </c>
      <c r="F156" s="14" t="s">
        <v>324</v>
      </c>
      <c r="G156" s="15" t="s">
        <v>325</v>
      </c>
      <c r="H156" s="14" t="s">
        <v>326</v>
      </c>
    </row>
    <row r="157" spans="3:8" ht="15.75" customHeight="1">
      <c r="C157" s="9">
        <f t="shared" si="10"/>
        <v>46219</v>
      </c>
      <c r="D157" s="14" t="s">
        <v>167</v>
      </c>
      <c r="E157" s="14" t="s">
        <v>307</v>
      </c>
      <c r="F157" s="14" t="s">
        <v>324</v>
      </c>
      <c r="G157" s="15" t="s">
        <v>329</v>
      </c>
      <c r="H157" s="14" t="s">
        <v>134</v>
      </c>
    </row>
    <row r="158" spans="3:8" ht="15.75" customHeight="1">
      <c r="C158" s="9">
        <f t="shared" si="10"/>
        <v>46219</v>
      </c>
      <c r="D158" s="14" t="s">
        <v>212</v>
      </c>
      <c r="E158" s="14" t="s">
        <v>118</v>
      </c>
      <c r="F158" s="14" t="s">
        <v>324</v>
      </c>
      <c r="G158" s="14" t="s">
        <v>330</v>
      </c>
      <c r="H158" s="14" t="s">
        <v>92</v>
      </c>
    </row>
    <row r="159" spans="3:8" ht="15.75" customHeight="1">
      <c r="C159" s="9">
        <f t="shared" si="10"/>
        <v>46219</v>
      </c>
      <c r="D159" s="14" t="s">
        <v>227</v>
      </c>
      <c r="E159" s="14" t="s">
        <v>10</v>
      </c>
      <c r="F159" s="14" t="s">
        <v>324</v>
      </c>
      <c r="G159" s="15" t="s">
        <v>333</v>
      </c>
      <c r="H159" s="14" t="s">
        <v>17</v>
      </c>
    </row>
    <row r="160" spans="3:8" ht="15.75" customHeight="1">
      <c r="C160" s="9">
        <f t="shared" si="10"/>
        <v>46219</v>
      </c>
      <c r="D160" s="14" t="s">
        <v>167</v>
      </c>
      <c r="E160" s="14" t="s">
        <v>118</v>
      </c>
      <c r="F160" s="14" t="s">
        <v>324</v>
      </c>
      <c r="G160" s="15" t="s">
        <v>336</v>
      </c>
      <c r="H160" s="14" t="s">
        <v>315</v>
      </c>
    </row>
    <row r="161" spans="3:8" ht="15.75" customHeight="1">
      <c r="C161" s="9">
        <f t="shared" si="10"/>
        <v>46219</v>
      </c>
      <c r="D161" s="14" t="s">
        <v>167</v>
      </c>
      <c r="E161" s="14" t="s">
        <v>118</v>
      </c>
      <c r="F161" s="14" t="s">
        <v>324</v>
      </c>
      <c r="G161" s="15" t="s">
        <v>337</v>
      </c>
      <c r="H161" s="14" t="s">
        <v>92</v>
      </c>
    </row>
    <row r="162" spans="3:8" ht="15.75" customHeight="1">
      <c r="C162" s="9">
        <f t="shared" si="10"/>
        <v>46219</v>
      </c>
      <c r="D162" s="14" t="s">
        <v>227</v>
      </c>
      <c r="E162" s="14" t="s">
        <v>341</v>
      </c>
      <c r="F162" s="14" t="s">
        <v>342</v>
      </c>
      <c r="G162" s="15" t="s">
        <v>344</v>
      </c>
      <c r="H162" s="14" t="s">
        <v>17</v>
      </c>
    </row>
    <row r="163" spans="3:8" ht="15.75" customHeight="1">
      <c r="C163" s="9">
        <f t="shared" si="10"/>
        <v>46219</v>
      </c>
      <c r="D163" s="14" t="s">
        <v>167</v>
      </c>
      <c r="E163" s="14" t="s">
        <v>22</v>
      </c>
      <c r="F163" s="14" t="s">
        <v>342</v>
      </c>
      <c r="G163" s="15" t="s">
        <v>347</v>
      </c>
      <c r="H163" s="14" t="s">
        <v>312</v>
      </c>
    </row>
    <row r="164" spans="3:8" ht="15.75" customHeight="1">
      <c r="C164" s="9">
        <f t="shared" si="10"/>
        <v>46219</v>
      </c>
      <c r="D164" s="14" t="s">
        <v>350</v>
      </c>
      <c r="E164" s="14" t="s">
        <v>118</v>
      </c>
      <c r="F164" s="14" t="s">
        <v>342</v>
      </c>
      <c r="G164" s="15" t="s">
        <v>351</v>
      </c>
      <c r="H164" s="14" t="s">
        <v>17</v>
      </c>
    </row>
    <row r="165" spans="3:8" ht="15.75" customHeight="1">
      <c r="C165" s="9">
        <f t="shared" si="10"/>
        <v>46219</v>
      </c>
      <c r="D165" s="14" t="s">
        <v>167</v>
      </c>
      <c r="E165" s="14" t="s">
        <v>34</v>
      </c>
      <c r="F165" s="14" t="s">
        <v>342</v>
      </c>
      <c r="G165" s="15" t="s">
        <v>352</v>
      </c>
      <c r="H165" s="14" t="s">
        <v>17</v>
      </c>
    </row>
    <row r="166" spans="3:8" ht="15.75" customHeight="1">
      <c r="C166" s="9">
        <f t="shared" si="10"/>
        <v>46219</v>
      </c>
      <c r="D166" s="14" t="s">
        <v>353</v>
      </c>
      <c r="E166" s="14" t="s">
        <v>193</v>
      </c>
      <c r="F166" s="14" t="s">
        <v>354</v>
      </c>
      <c r="G166" s="15" t="s">
        <v>355</v>
      </c>
      <c r="H166" s="14" t="s">
        <v>17</v>
      </c>
    </row>
    <row r="167" spans="3:8" ht="15.75" customHeight="1">
      <c r="C167" s="24">
        <v>46220</v>
      </c>
      <c r="D167" s="14" t="s">
        <v>356</v>
      </c>
      <c r="E167" s="14" t="s">
        <v>193</v>
      </c>
      <c r="F167" s="14" t="s">
        <v>357</v>
      </c>
      <c r="G167" s="14" t="s">
        <v>358</v>
      </c>
      <c r="H167" s="14" t="s">
        <v>17</v>
      </c>
    </row>
    <row r="168" spans="3:8" ht="15.75" customHeight="1">
      <c r="C168" s="9">
        <f t="shared" ref="C168:C171" si="11">C167</f>
        <v>46220</v>
      </c>
      <c r="D168" s="14" t="s">
        <v>359</v>
      </c>
      <c r="E168" s="14" t="s">
        <v>179</v>
      </c>
      <c r="F168" s="14" t="s">
        <v>360</v>
      </c>
      <c r="G168" s="15" t="s">
        <v>361</v>
      </c>
      <c r="H168" s="14" t="s">
        <v>17</v>
      </c>
    </row>
    <row r="169" spans="3:8" ht="15.75" customHeight="1">
      <c r="C169" s="9">
        <f t="shared" si="11"/>
        <v>46220</v>
      </c>
      <c r="D169" s="14" t="s">
        <v>362</v>
      </c>
      <c r="E169" s="14" t="s">
        <v>179</v>
      </c>
      <c r="F169" s="14" t="s">
        <v>363</v>
      </c>
      <c r="G169" s="15" t="s">
        <v>364</v>
      </c>
      <c r="H169" s="14"/>
    </row>
    <row r="170" spans="3:8" ht="15.75" customHeight="1">
      <c r="C170" s="9">
        <f t="shared" si="11"/>
        <v>46220</v>
      </c>
      <c r="D170" s="14" t="s">
        <v>227</v>
      </c>
      <c r="E170" s="14" t="s">
        <v>118</v>
      </c>
      <c r="F170" s="14" t="s">
        <v>365</v>
      </c>
      <c r="G170" s="15" t="s">
        <v>366</v>
      </c>
      <c r="H170" s="14" t="s">
        <v>17</v>
      </c>
    </row>
    <row r="171" spans="3:8" ht="15.75" customHeight="1">
      <c r="C171" s="9">
        <f t="shared" si="11"/>
        <v>46220</v>
      </c>
      <c r="D171" s="14" t="s">
        <v>227</v>
      </c>
      <c r="E171" s="14" t="s">
        <v>367</v>
      </c>
      <c r="F171" s="14" t="s">
        <v>368</v>
      </c>
      <c r="G171" s="15" t="s">
        <v>369</v>
      </c>
      <c r="H171" s="14" t="s">
        <v>92</v>
      </c>
    </row>
    <row r="172" spans="3:8" ht="15.75" customHeight="1">
      <c r="C172" s="24">
        <v>46221</v>
      </c>
      <c r="D172" s="14" t="s">
        <v>370</v>
      </c>
      <c r="E172" s="14" t="s">
        <v>371</v>
      </c>
      <c r="F172" s="14" t="s">
        <v>365</v>
      </c>
      <c r="G172" s="15" t="s">
        <v>372</v>
      </c>
      <c r="H172" s="14" t="s">
        <v>47</v>
      </c>
    </row>
    <row r="173" spans="3:8" ht="15.75" customHeight="1">
      <c r="C173" s="9">
        <f t="shared" ref="C173:C188" si="12">C172</f>
        <v>46221</v>
      </c>
      <c r="D173" s="14" t="s">
        <v>370</v>
      </c>
      <c r="E173" s="14" t="s">
        <v>373</v>
      </c>
      <c r="F173" s="14" t="s">
        <v>365</v>
      </c>
      <c r="G173" s="15" t="s">
        <v>374</v>
      </c>
      <c r="H173" s="14" t="s">
        <v>17</v>
      </c>
    </row>
    <row r="174" spans="3:8" ht="15.75" customHeight="1">
      <c r="C174" s="9">
        <f t="shared" si="12"/>
        <v>46221</v>
      </c>
      <c r="D174" s="14" t="s">
        <v>375</v>
      </c>
      <c r="E174" s="14" t="s">
        <v>118</v>
      </c>
      <c r="F174" s="14" t="s">
        <v>376</v>
      </c>
      <c r="G174" s="14" t="s">
        <v>377</v>
      </c>
      <c r="H174" s="14" t="s">
        <v>47</v>
      </c>
    </row>
    <row r="175" spans="3:8" ht="15.75" customHeight="1">
      <c r="C175" s="9">
        <f t="shared" si="12"/>
        <v>46221</v>
      </c>
      <c r="D175" s="14" t="s">
        <v>236</v>
      </c>
      <c r="E175" s="14" t="s">
        <v>22</v>
      </c>
      <c r="F175" s="14" t="s">
        <v>376</v>
      </c>
      <c r="G175" s="14" t="s">
        <v>378</v>
      </c>
      <c r="H175" s="14" t="s">
        <v>379</v>
      </c>
    </row>
    <row r="176" spans="3:8" ht="15.75" customHeight="1">
      <c r="C176" s="9">
        <f t="shared" si="12"/>
        <v>46221</v>
      </c>
      <c r="D176" s="14" t="s">
        <v>236</v>
      </c>
      <c r="E176" s="14" t="s">
        <v>22</v>
      </c>
      <c r="F176" s="14" t="s">
        <v>376</v>
      </c>
      <c r="G176" s="14" t="s">
        <v>380</v>
      </c>
      <c r="H176" s="14" t="s">
        <v>17</v>
      </c>
    </row>
    <row r="177" spans="3:8" ht="15.75" customHeight="1">
      <c r="C177" s="9">
        <f t="shared" si="12"/>
        <v>46221</v>
      </c>
      <c r="D177" s="14" t="s">
        <v>381</v>
      </c>
      <c r="E177" s="14" t="s">
        <v>382</v>
      </c>
      <c r="F177" s="14" t="s">
        <v>376</v>
      </c>
      <c r="G177" s="14" t="s">
        <v>383</v>
      </c>
      <c r="H177" s="14" t="s">
        <v>47</v>
      </c>
    </row>
    <row r="178" spans="3:8" ht="15.75" customHeight="1">
      <c r="C178" s="9">
        <f t="shared" si="12"/>
        <v>46221</v>
      </c>
      <c r="D178" s="14" t="s">
        <v>384</v>
      </c>
      <c r="E178" s="14" t="s">
        <v>385</v>
      </c>
      <c r="F178" s="14" t="s">
        <v>376</v>
      </c>
      <c r="G178" s="14" t="s">
        <v>386</v>
      </c>
      <c r="H178" s="14" t="s">
        <v>47</v>
      </c>
    </row>
    <row r="179" spans="3:8" ht="15.75" customHeight="1">
      <c r="C179" s="9">
        <f t="shared" si="12"/>
        <v>46221</v>
      </c>
      <c r="D179" s="14" t="s">
        <v>387</v>
      </c>
      <c r="E179" s="14" t="s">
        <v>388</v>
      </c>
      <c r="F179" s="14" t="s">
        <v>376</v>
      </c>
      <c r="G179" s="14" t="s">
        <v>389</v>
      </c>
      <c r="H179" s="14" t="s">
        <v>47</v>
      </c>
    </row>
    <row r="180" spans="3:8" ht="15.75" customHeight="1">
      <c r="C180" s="9">
        <f t="shared" si="12"/>
        <v>46221</v>
      </c>
      <c r="D180" s="14" t="s">
        <v>390</v>
      </c>
      <c r="E180" s="14" t="s">
        <v>391</v>
      </c>
      <c r="F180" s="14" t="s">
        <v>392</v>
      </c>
      <c r="G180" s="14" t="s">
        <v>393</v>
      </c>
      <c r="H180" s="14" t="s">
        <v>21</v>
      </c>
    </row>
    <row r="181" spans="3:8" ht="15.75" customHeight="1">
      <c r="C181" s="9">
        <f t="shared" si="12"/>
        <v>46221</v>
      </c>
      <c r="D181" s="14" t="s">
        <v>394</v>
      </c>
      <c r="E181" s="14" t="s">
        <v>27</v>
      </c>
      <c r="F181" s="14" t="s">
        <v>392</v>
      </c>
      <c r="G181" s="14" t="s">
        <v>395</v>
      </c>
      <c r="H181" s="14" t="s">
        <v>21</v>
      </c>
    </row>
    <row r="182" spans="3:8" ht="15.75" customHeight="1">
      <c r="C182" s="9">
        <f t="shared" si="12"/>
        <v>46221</v>
      </c>
      <c r="D182" s="14" t="s">
        <v>396</v>
      </c>
      <c r="E182" s="14" t="s">
        <v>34</v>
      </c>
      <c r="F182" s="14" t="s">
        <v>392</v>
      </c>
      <c r="G182" s="14" t="s">
        <v>397</v>
      </c>
      <c r="H182" s="14" t="s">
        <v>293</v>
      </c>
    </row>
    <row r="183" spans="3:8" ht="15.75" customHeight="1">
      <c r="C183" s="9">
        <f t="shared" si="12"/>
        <v>46221</v>
      </c>
      <c r="D183" s="14" t="s">
        <v>398</v>
      </c>
      <c r="E183" s="14" t="s">
        <v>27</v>
      </c>
      <c r="F183" s="14" t="s">
        <v>392</v>
      </c>
      <c r="G183" s="14" t="s">
        <v>399</v>
      </c>
      <c r="H183" s="14" t="s">
        <v>21</v>
      </c>
    </row>
    <row r="184" spans="3:8" ht="15.75" customHeight="1">
      <c r="C184" s="9">
        <f t="shared" si="12"/>
        <v>46221</v>
      </c>
      <c r="D184" s="14" t="s">
        <v>400</v>
      </c>
      <c r="E184" s="14" t="s">
        <v>10</v>
      </c>
      <c r="F184" s="14" t="s">
        <v>392</v>
      </c>
      <c r="G184" s="14" t="s">
        <v>401</v>
      </c>
      <c r="H184" s="14" t="s">
        <v>21</v>
      </c>
    </row>
    <row r="185" spans="3:8" ht="15.75" customHeight="1">
      <c r="C185" s="9">
        <f t="shared" si="12"/>
        <v>46221</v>
      </c>
      <c r="D185" s="14" t="s">
        <v>402</v>
      </c>
      <c r="E185" s="14" t="s">
        <v>10</v>
      </c>
      <c r="F185" s="14" t="s">
        <v>392</v>
      </c>
      <c r="G185" s="14" t="s">
        <v>403</v>
      </c>
      <c r="H185" s="14" t="s">
        <v>21</v>
      </c>
    </row>
    <row r="186" spans="3:8" ht="15.75" customHeight="1">
      <c r="C186" s="9">
        <f t="shared" si="12"/>
        <v>46221</v>
      </c>
      <c r="D186" s="14" t="s">
        <v>404</v>
      </c>
      <c r="E186" s="14" t="s">
        <v>27</v>
      </c>
      <c r="F186" s="14" t="s">
        <v>392</v>
      </c>
      <c r="G186" s="14" t="s">
        <v>405</v>
      </c>
      <c r="H186" s="14" t="s">
        <v>21</v>
      </c>
    </row>
    <row r="187" spans="3:8" ht="15.75" customHeight="1">
      <c r="C187" s="9">
        <f t="shared" si="12"/>
        <v>46221</v>
      </c>
      <c r="D187" s="14" t="s">
        <v>406</v>
      </c>
      <c r="E187" s="14" t="s">
        <v>27</v>
      </c>
      <c r="F187" s="14" t="s">
        <v>392</v>
      </c>
      <c r="G187" s="14" t="s">
        <v>407</v>
      </c>
      <c r="H187" s="14" t="s">
        <v>21</v>
      </c>
    </row>
    <row r="188" spans="3:8" ht="15.75" customHeight="1">
      <c r="C188" s="9">
        <f t="shared" si="12"/>
        <v>46221</v>
      </c>
      <c r="D188" s="14" t="s">
        <v>408</v>
      </c>
      <c r="E188" s="14" t="s">
        <v>78</v>
      </c>
      <c r="F188" s="14" t="s">
        <v>392</v>
      </c>
      <c r="G188" s="14" t="s">
        <v>409</v>
      </c>
      <c r="H188" s="14" t="s">
        <v>21</v>
      </c>
    </row>
    <row r="189" spans="3:8" ht="15.75" customHeight="1">
      <c r="C189" s="24">
        <v>46222</v>
      </c>
      <c r="D189" s="14" t="s">
        <v>410</v>
      </c>
      <c r="E189" s="14" t="s">
        <v>411</v>
      </c>
      <c r="F189" s="14" t="s">
        <v>412</v>
      </c>
      <c r="G189" s="14" t="s">
        <v>413</v>
      </c>
      <c r="H189" s="14" t="s">
        <v>21</v>
      </c>
    </row>
    <row r="190" spans="3:8" ht="15.75" customHeight="1">
      <c r="C190" s="9">
        <f t="shared" ref="C190:C203" si="13">C189</f>
        <v>46222</v>
      </c>
      <c r="D190" s="14" t="s">
        <v>414</v>
      </c>
      <c r="E190" s="14" t="s">
        <v>411</v>
      </c>
      <c r="F190" s="14" t="s">
        <v>412</v>
      </c>
      <c r="G190" s="14" t="s">
        <v>415</v>
      </c>
      <c r="H190" s="14" t="s">
        <v>21</v>
      </c>
    </row>
    <row r="191" spans="3:8" ht="15.75" customHeight="1">
      <c r="C191" s="9">
        <f t="shared" si="13"/>
        <v>46222</v>
      </c>
      <c r="D191" s="14" t="s">
        <v>416</v>
      </c>
      <c r="E191" s="14" t="s">
        <v>411</v>
      </c>
      <c r="F191" s="14" t="s">
        <v>412</v>
      </c>
      <c r="G191" s="14" t="s">
        <v>417</v>
      </c>
      <c r="H191" s="14" t="s">
        <v>21</v>
      </c>
    </row>
    <row r="192" spans="3:8" ht="15.75" customHeight="1">
      <c r="C192" s="9">
        <f t="shared" si="13"/>
        <v>46222</v>
      </c>
      <c r="D192" s="14" t="s">
        <v>418</v>
      </c>
      <c r="E192" s="14" t="s">
        <v>419</v>
      </c>
      <c r="F192" s="14" t="s">
        <v>412</v>
      </c>
      <c r="G192" s="14" t="s">
        <v>343</v>
      </c>
      <c r="H192" s="14" t="s">
        <v>21</v>
      </c>
    </row>
    <row r="193" spans="3:8" ht="15.75" customHeight="1">
      <c r="C193" s="9">
        <f t="shared" si="13"/>
        <v>46222</v>
      </c>
      <c r="D193" s="14" t="s">
        <v>420</v>
      </c>
      <c r="E193" s="14" t="s">
        <v>84</v>
      </c>
      <c r="F193" s="14" t="s">
        <v>412</v>
      </c>
      <c r="G193" s="14" t="s">
        <v>421</v>
      </c>
      <c r="H193" s="14" t="s">
        <v>21</v>
      </c>
    </row>
    <row r="194" spans="3:8" ht="15.75" customHeight="1">
      <c r="C194" s="9">
        <f t="shared" si="13"/>
        <v>46222</v>
      </c>
      <c r="D194" s="14" t="s">
        <v>422</v>
      </c>
      <c r="E194" s="14" t="s">
        <v>10</v>
      </c>
      <c r="F194" s="14" t="s">
        <v>423</v>
      </c>
      <c r="G194" s="14" t="s">
        <v>424</v>
      </c>
      <c r="H194" s="14" t="s">
        <v>21</v>
      </c>
    </row>
    <row r="195" spans="3:8" ht="15.75" customHeight="1">
      <c r="C195" s="9">
        <f t="shared" si="13"/>
        <v>46222</v>
      </c>
      <c r="D195" s="14" t="s">
        <v>167</v>
      </c>
      <c r="E195" s="14" t="s">
        <v>425</v>
      </c>
      <c r="F195" s="14" t="s">
        <v>426</v>
      </c>
      <c r="G195" s="14" t="s">
        <v>234</v>
      </c>
      <c r="H195" s="14" t="s">
        <v>21</v>
      </c>
    </row>
    <row r="196" spans="3:8" ht="15.75" customHeight="1">
      <c r="C196" s="9">
        <f t="shared" si="13"/>
        <v>46222</v>
      </c>
      <c r="D196" s="14" t="s">
        <v>427</v>
      </c>
      <c r="E196" s="14" t="s">
        <v>132</v>
      </c>
      <c r="F196" s="14" t="s">
        <v>426</v>
      </c>
      <c r="G196" s="14" t="s">
        <v>428</v>
      </c>
      <c r="H196" s="14" t="s">
        <v>21</v>
      </c>
    </row>
    <row r="197" spans="3:8" ht="15.75" customHeight="1">
      <c r="C197" s="9">
        <f t="shared" si="13"/>
        <v>46222</v>
      </c>
      <c r="D197" s="14" t="s">
        <v>429</v>
      </c>
      <c r="E197" s="14" t="s">
        <v>430</v>
      </c>
      <c r="F197" s="14" t="s">
        <v>426</v>
      </c>
      <c r="G197" s="14" t="s">
        <v>431</v>
      </c>
      <c r="H197" s="14" t="s">
        <v>432</v>
      </c>
    </row>
    <row r="198" spans="3:8" ht="15.75" customHeight="1">
      <c r="C198" s="9">
        <f t="shared" si="13"/>
        <v>46222</v>
      </c>
      <c r="D198" s="14" t="s">
        <v>433</v>
      </c>
      <c r="E198" s="14" t="s">
        <v>118</v>
      </c>
      <c r="F198" s="14" t="s">
        <v>426</v>
      </c>
      <c r="G198" s="14" t="s">
        <v>434</v>
      </c>
      <c r="H198" s="14" t="s">
        <v>171</v>
      </c>
    </row>
    <row r="199" spans="3:8" ht="15.75" customHeight="1">
      <c r="C199" s="9">
        <f t="shared" si="13"/>
        <v>46222</v>
      </c>
      <c r="D199" s="14" t="s">
        <v>435</v>
      </c>
      <c r="E199" s="14" t="s">
        <v>10</v>
      </c>
      <c r="F199" s="14" t="s">
        <v>436</v>
      </c>
      <c r="G199" s="14" t="s">
        <v>437</v>
      </c>
      <c r="H199" s="14" t="s">
        <v>21</v>
      </c>
    </row>
    <row r="200" spans="3:8" ht="15.75" customHeight="1">
      <c r="C200" s="9">
        <f t="shared" si="13"/>
        <v>46222</v>
      </c>
      <c r="D200" s="14" t="s">
        <v>440</v>
      </c>
      <c r="E200" s="14" t="s">
        <v>160</v>
      </c>
      <c r="F200" s="14" t="s">
        <v>436</v>
      </c>
      <c r="G200" s="14" t="s">
        <v>441</v>
      </c>
      <c r="H200" s="14" t="s">
        <v>442</v>
      </c>
    </row>
    <row r="201" spans="3:8" ht="15.75" customHeight="1">
      <c r="C201" s="9">
        <f t="shared" si="13"/>
        <v>46222</v>
      </c>
      <c r="D201" s="14" t="s">
        <v>8</v>
      </c>
      <c r="E201" s="14" t="s">
        <v>10</v>
      </c>
      <c r="F201" s="14" t="s">
        <v>436</v>
      </c>
      <c r="G201" s="14" t="s">
        <v>445</v>
      </c>
      <c r="H201" s="14" t="s">
        <v>332</v>
      </c>
    </row>
    <row r="202" spans="3:8" ht="15.75" customHeight="1">
      <c r="C202" s="9">
        <f t="shared" si="13"/>
        <v>46222</v>
      </c>
      <c r="D202" s="14" t="s">
        <v>8</v>
      </c>
      <c r="E202" s="14" t="s">
        <v>411</v>
      </c>
      <c r="F202" s="11" t="s">
        <v>436</v>
      </c>
      <c r="G202" s="14" t="s">
        <v>447</v>
      </c>
      <c r="H202" s="14" t="s">
        <v>17</v>
      </c>
    </row>
    <row r="203" spans="3:8" ht="15.75" customHeight="1">
      <c r="C203" s="9">
        <f t="shared" si="13"/>
        <v>46222</v>
      </c>
      <c r="D203" s="14" t="s">
        <v>450</v>
      </c>
      <c r="E203" s="14" t="s">
        <v>10</v>
      </c>
      <c r="F203" s="14" t="s">
        <v>436</v>
      </c>
      <c r="G203" s="14" t="s">
        <v>451</v>
      </c>
      <c r="H203" s="14" t="s">
        <v>21</v>
      </c>
    </row>
    <row r="204" spans="3:8" ht="15.75" customHeight="1">
      <c r="C204" s="24">
        <v>46223</v>
      </c>
      <c r="D204" s="14" t="s">
        <v>438</v>
      </c>
      <c r="E204" s="14" t="s">
        <v>318</v>
      </c>
      <c r="F204" s="14" t="s">
        <v>436</v>
      </c>
      <c r="G204" s="14" t="s">
        <v>439</v>
      </c>
      <c r="H204" s="14" t="s">
        <v>21</v>
      </c>
    </row>
    <row r="205" spans="3:8" ht="15.75" customHeight="1">
      <c r="C205" s="9">
        <f t="shared" ref="C205:C238" si="14">C204</f>
        <v>46223</v>
      </c>
      <c r="D205" s="14" t="s">
        <v>443</v>
      </c>
      <c r="E205" s="14" t="s">
        <v>411</v>
      </c>
      <c r="F205" s="14" t="s">
        <v>436</v>
      </c>
      <c r="G205" s="14" t="s">
        <v>444</v>
      </c>
      <c r="H205" s="14" t="s">
        <v>21</v>
      </c>
    </row>
    <row r="206" spans="3:8" ht="15.75" customHeight="1">
      <c r="C206" s="9">
        <f t="shared" si="14"/>
        <v>46223</v>
      </c>
      <c r="D206" s="14" t="s">
        <v>8</v>
      </c>
      <c r="E206" s="14" t="s">
        <v>27</v>
      </c>
      <c r="F206" s="14" t="s">
        <v>436</v>
      </c>
      <c r="G206" s="14" t="s">
        <v>446</v>
      </c>
      <c r="H206" s="14" t="s">
        <v>332</v>
      </c>
    </row>
    <row r="207" spans="3:8" ht="15.75" customHeight="1">
      <c r="C207" s="9">
        <f t="shared" si="14"/>
        <v>46223</v>
      </c>
      <c r="D207" s="14" t="s">
        <v>448</v>
      </c>
      <c r="E207" s="14" t="s">
        <v>84</v>
      </c>
      <c r="F207" s="14" t="s">
        <v>436</v>
      </c>
      <c r="G207" s="14" t="s">
        <v>449</v>
      </c>
      <c r="H207" s="14" t="s">
        <v>21</v>
      </c>
    </row>
    <row r="208" spans="3:8" ht="15.75" customHeight="1">
      <c r="C208" s="9">
        <f t="shared" si="14"/>
        <v>46223</v>
      </c>
      <c r="D208" s="14" t="s">
        <v>452</v>
      </c>
      <c r="E208" s="14" t="s">
        <v>453</v>
      </c>
      <c r="F208" s="14" t="s">
        <v>436</v>
      </c>
      <c r="G208" s="14" t="s">
        <v>454</v>
      </c>
      <c r="H208" s="14" t="s">
        <v>21</v>
      </c>
    </row>
    <row r="209" spans="3:8" ht="15.75" customHeight="1">
      <c r="C209" s="9">
        <f t="shared" si="14"/>
        <v>46223</v>
      </c>
      <c r="D209" s="14" t="s">
        <v>47</v>
      </c>
      <c r="E209" s="14" t="s">
        <v>22</v>
      </c>
      <c r="F209" s="14" t="s">
        <v>455</v>
      </c>
      <c r="G209" s="14" t="s">
        <v>456</v>
      </c>
      <c r="H209" s="14" t="s">
        <v>21</v>
      </c>
    </row>
    <row r="210" spans="3:8" ht="15.75" customHeight="1">
      <c r="C210" s="9">
        <f t="shared" si="14"/>
        <v>46223</v>
      </c>
      <c r="D210" s="14" t="s">
        <v>47</v>
      </c>
      <c r="E210" s="14" t="s">
        <v>457</v>
      </c>
      <c r="F210" s="14" t="s">
        <v>455</v>
      </c>
      <c r="G210" s="15" t="s">
        <v>458</v>
      </c>
      <c r="H210" s="14" t="s">
        <v>21</v>
      </c>
    </row>
    <row r="211" spans="3:8" ht="15.75" customHeight="1">
      <c r="C211" s="9">
        <f t="shared" si="14"/>
        <v>46223</v>
      </c>
      <c r="D211" s="14" t="s">
        <v>459</v>
      </c>
      <c r="E211" s="14" t="s">
        <v>240</v>
      </c>
      <c r="F211" s="14" t="s">
        <v>455</v>
      </c>
      <c r="G211" s="15" t="s">
        <v>460</v>
      </c>
      <c r="H211" s="14" t="s">
        <v>105</v>
      </c>
    </row>
    <row r="212" spans="3:8" ht="15.75" customHeight="1">
      <c r="C212" s="9">
        <f t="shared" si="14"/>
        <v>46223</v>
      </c>
      <c r="D212" s="14" t="s">
        <v>212</v>
      </c>
      <c r="E212" s="14" t="s">
        <v>98</v>
      </c>
      <c r="F212" s="14" t="s">
        <v>455</v>
      </c>
      <c r="G212" s="15" t="s">
        <v>461</v>
      </c>
      <c r="H212" s="14" t="s">
        <v>21</v>
      </c>
    </row>
    <row r="213" spans="3:8" ht="15.75" customHeight="1">
      <c r="C213" s="9">
        <f t="shared" si="14"/>
        <v>46223</v>
      </c>
      <c r="D213" s="14" t="s">
        <v>462</v>
      </c>
      <c r="E213" s="14" t="s">
        <v>193</v>
      </c>
      <c r="F213" s="14" t="s">
        <v>455</v>
      </c>
      <c r="G213" s="15" t="s">
        <v>463</v>
      </c>
      <c r="H213" s="14" t="s">
        <v>21</v>
      </c>
    </row>
    <row r="214" spans="3:8" ht="15.75" customHeight="1">
      <c r="C214" s="9">
        <f t="shared" si="14"/>
        <v>46223</v>
      </c>
      <c r="D214" s="14" t="s">
        <v>462</v>
      </c>
      <c r="E214" s="14" t="s">
        <v>179</v>
      </c>
      <c r="F214" s="14" t="s">
        <v>455</v>
      </c>
      <c r="G214" s="15" t="s">
        <v>464</v>
      </c>
      <c r="H214" s="14" t="s">
        <v>21</v>
      </c>
    </row>
    <row r="215" spans="3:8" ht="15.75" customHeight="1">
      <c r="C215" s="9">
        <f t="shared" si="14"/>
        <v>46223</v>
      </c>
      <c r="D215" s="14" t="s">
        <v>167</v>
      </c>
      <c r="E215" s="14" t="s">
        <v>385</v>
      </c>
      <c r="F215" s="14" t="s">
        <v>455</v>
      </c>
      <c r="G215" s="14" t="s">
        <v>465</v>
      </c>
      <c r="H215" s="14" t="s">
        <v>17</v>
      </c>
    </row>
    <row r="216" spans="3:8" ht="15.75" customHeight="1">
      <c r="C216" s="9">
        <f t="shared" si="14"/>
        <v>46223</v>
      </c>
      <c r="D216" s="14" t="s">
        <v>462</v>
      </c>
      <c r="E216" s="14" t="s">
        <v>466</v>
      </c>
      <c r="F216" s="14" t="s">
        <v>455</v>
      </c>
      <c r="G216" s="15" t="s">
        <v>467</v>
      </c>
      <c r="H216" s="14" t="s">
        <v>21</v>
      </c>
    </row>
    <row r="217" spans="3:8" ht="15.75" customHeight="1">
      <c r="C217" s="9">
        <f t="shared" si="14"/>
        <v>46223</v>
      </c>
      <c r="D217" s="14" t="s">
        <v>459</v>
      </c>
      <c r="E217" s="14" t="s">
        <v>27</v>
      </c>
      <c r="F217" s="14" t="s">
        <v>455</v>
      </c>
      <c r="G217" s="15" t="s">
        <v>468</v>
      </c>
      <c r="H217" s="14" t="s">
        <v>17</v>
      </c>
    </row>
    <row r="218" spans="3:8" ht="15.75" customHeight="1">
      <c r="C218" s="9">
        <f t="shared" si="14"/>
        <v>46223</v>
      </c>
      <c r="D218" s="14" t="s">
        <v>459</v>
      </c>
      <c r="E218" s="14" t="s">
        <v>201</v>
      </c>
      <c r="F218" s="14" t="s">
        <v>455</v>
      </c>
      <c r="G218" s="15" t="s">
        <v>469</v>
      </c>
      <c r="H218" s="14" t="s">
        <v>17</v>
      </c>
    </row>
    <row r="219" spans="3:8" ht="15.75" customHeight="1">
      <c r="C219" s="9">
        <f t="shared" si="14"/>
        <v>46223</v>
      </c>
      <c r="D219" s="14" t="s">
        <v>212</v>
      </c>
      <c r="E219" s="14" t="s">
        <v>22</v>
      </c>
      <c r="F219" s="14" t="s">
        <v>455</v>
      </c>
      <c r="G219" s="15" t="s">
        <v>470</v>
      </c>
      <c r="H219" s="14" t="s">
        <v>17</v>
      </c>
    </row>
    <row r="220" spans="3:8" ht="15.75" customHeight="1">
      <c r="C220" s="9">
        <f t="shared" si="14"/>
        <v>46223</v>
      </c>
      <c r="D220" s="14" t="s">
        <v>212</v>
      </c>
      <c r="E220" s="14" t="s">
        <v>193</v>
      </c>
      <c r="F220" s="14" t="s">
        <v>455</v>
      </c>
      <c r="G220" s="15" t="s">
        <v>471</v>
      </c>
      <c r="H220" s="14" t="s">
        <v>21</v>
      </c>
    </row>
    <row r="221" spans="3:8" ht="15.75" customHeight="1">
      <c r="C221" s="9">
        <f t="shared" si="14"/>
        <v>46223</v>
      </c>
      <c r="D221" s="14" t="s">
        <v>212</v>
      </c>
      <c r="E221" s="14" t="s">
        <v>98</v>
      </c>
      <c r="F221" s="14" t="s">
        <v>455</v>
      </c>
      <c r="G221" s="23" t="s">
        <v>472</v>
      </c>
      <c r="H221" s="14" t="s">
        <v>229</v>
      </c>
    </row>
    <row r="222" spans="3:8" ht="15.75" customHeight="1">
      <c r="C222" s="9">
        <f t="shared" si="14"/>
        <v>46223</v>
      </c>
      <c r="D222" s="14" t="s">
        <v>167</v>
      </c>
      <c r="E222" s="14" t="s">
        <v>473</v>
      </c>
      <c r="F222" s="14" t="s">
        <v>455</v>
      </c>
      <c r="G222" s="15" t="s">
        <v>474</v>
      </c>
      <c r="H222" s="14" t="s">
        <v>105</v>
      </c>
    </row>
    <row r="223" spans="3:8" ht="15.75" customHeight="1">
      <c r="C223" s="9">
        <f t="shared" si="14"/>
        <v>46223</v>
      </c>
      <c r="D223" s="14" t="s">
        <v>462</v>
      </c>
      <c r="E223" s="14" t="s">
        <v>132</v>
      </c>
      <c r="F223" s="14" t="s">
        <v>455</v>
      </c>
      <c r="G223" s="15" t="s">
        <v>475</v>
      </c>
      <c r="H223" s="14" t="s">
        <v>92</v>
      </c>
    </row>
    <row r="224" spans="3:8" ht="15.75" customHeight="1">
      <c r="C224" s="9">
        <f t="shared" si="14"/>
        <v>46223</v>
      </c>
      <c r="D224" s="14" t="s">
        <v>212</v>
      </c>
      <c r="E224" s="14" t="s">
        <v>95</v>
      </c>
      <c r="F224" s="14" t="s">
        <v>455</v>
      </c>
      <c r="G224" s="15" t="s">
        <v>476</v>
      </c>
      <c r="H224" s="14" t="s">
        <v>477</v>
      </c>
    </row>
    <row r="225" spans="3:8" ht="15.75" customHeight="1">
      <c r="C225" s="9">
        <f t="shared" si="14"/>
        <v>46223</v>
      </c>
      <c r="D225" s="14" t="s">
        <v>462</v>
      </c>
      <c r="E225" s="14" t="s">
        <v>132</v>
      </c>
      <c r="F225" s="14" t="s">
        <v>455</v>
      </c>
      <c r="G225" s="15" t="s">
        <v>478</v>
      </c>
      <c r="H225" s="14" t="s">
        <v>21</v>
      </c>
    </row>
    <row r="226" spans="3:8" ht="15.75" customHeight="1">
      <c r="C226" s="9">
        <f t="shared" si="14"/>
        <v>46223</v>
      </c>
      <c r="D226" s="14" t="s">
        <v>462</v>
      </c>
      <c r="E226" s="14" t="s">
        <v>132</v>
      </c>
      <c r="F226" s="14" t="s">
        <v>455</v>
      </c>
      <c r="G226" s="15" t="s">
        <v>479</v>
      </c>
      <c r="H226" s="14" t="s">
        <v>92</v>
      </c>
    </row>
    <row r="227" spans="3:8" ht="15.75" customHeight="1">
      <c r="C227" s="9">
        <f t="shared" si="14"/>
        <v>46223</v>
      </c>
      <c r="D227" s="14" t="s">
        <v>212</v>
      </c>
      <c r="E227" s="14" t="s">
        <v>22</v>
      </c>
      <c r="F227" s="14" t="s">
        <v>455</v>
      </c>
      <c r="G227" s="15" t="s">
        <v>480</v>
      </c>
      <c r="H227" s="14" t="s">
        <v>21</v>
      </c>
    </row>
    <row r="228" spans="3:8" ht="15.75" customHeight="1">
      <c r="C228" s="9">
        <f t="shared" si="14"/>
        <v>46223</v>
      </c>
      <c r="D228" s="14" t="s">
        <v>167</v>
      </c>
      <c r="E228" s="14" t="s">
        <v>10</v>
      </c>
      <c r="F228" s="14" t="s">
        <v>455</v>
      </c>
      <c r="G228" s="15" t="s">
        <v>481</v>
      </c>
      <c r="H228" s="14" t="s">
        <v>17</v>
      </c>
    </row>
    <row r="229" spans="3:8" ht="15.75" customHeight="1">
      <c r="C229" s="9">
        <f t="shared" si="14"/>
        <v>46223</v>
      </c>
      <c r="D229" s="14" t="s">
        <v>462</v>
      </c>
      <c r="E229" s="14" t="s">
        <v>27</v>
      </c>
      <c r="F229" s="14" t="s">
        <v>455</v>
      </c>
      <c r="G229" s="15" t="s">
        <v>482</v>
      </c>
      <c r="H229" s="14" t="s">
        <v>17</v>
      </c>
    </row>
    <row r="230" spans="3:8" ht="15.75" customHeight="1">
      <c r="C230" s="9">
        <f t="shared" si="14"/>
        <v>46223</v>
      </c>
      <c r="D230" s="14" t="s">
        <v>236</v>
      </c>
      <c r="E230" s="14" t="s">
        <v>483</v>
      </c>
      <c r="F230" s="14" t="s">
        <v>455</v>
      </c>
      <c r="G230" s="15" t="s">
        <v>484</v>
      </c>
      <c r="H230" s="14" t="s">
        <v>92</v>
      </c>
    </row>
    <row r="231" spans="3:8" ht="15.75" customHeight="1">
      <c r="C231" s="9">
        <f t="shared" si="14"/>
        <v>46223</v>
      </c>
      <c r="D231" s="14" t="s">
        <v>212</v>
      </c>
      <c r="E231" s="14" t="s">
        <v>485</v>
      </c>
      <c r="F231" s="14" t="s">
        <v>455</v>
      </c>
      <c r="G231" s="15" t="s">
        <v>486</v>
      </c>
      <c r="H231" s="14" t="s">
        <v>21</v>
      </c>
    </row>
    <row r="232" spans="3:8" ht="15.75" customHeight="1">
      <c r="C232" s="9">
        <f t="shared" si="14"/>
        <v>46223</v>
      </c>
      <c r="D232" s="14" t="s">
        <v>212</v>
      </c>
      <c r="E232" s="14" t="s">
        <v>34</v>
      </c>
      <c r="F232" s="14" t="s">
        <v>455</v>
      </c>
      <c r="G232" s="15" t="s">
        <v>487</v>
      </c>
      <c r="H232" s="14" t="s">
        <v>21</v>
      </c>
    </row>
    <row r="233" spans="3:8" ht="15.75" customHeight="1">
      <c r="C233" s="9">
        <f t="shared" si="14"/>
        <v>46223</v>
      </c>
      <c r="D233" s="14" t="s">
        <v>47</v>
      </c>
      <c r="E233" s="14" t="s">
        <v>488</v>
      </c>
      <c r="F233" s="14" t="s">
        <v>455</v>
      </c>
      <c r="G233" s="15" t="s">
        <v>489</v>
      </c>
      <c r="H233" s="14" t="s">
        <v>21</v>
      </c>
    </row>
    <row r="234" spans="3:8" ht="15.75" customHeight="1">
      <c r="C234" s="9">
        <f t="shared" si="14"/>
        <v>46223</v>
      </c>
      <c r="D234" s="14" t="s">
        <v>47</v>
      </c>
      <c r="E234" s="14" t="s">
        <v>490</v>
      </c>
      <c r="F234" s="14" t="s">
        <v>455</v>
      </c>
      <c r="G234" s="15" t="s">
        <v>491</v>
      </c>
      <c r="H234" s="14" t="s">
        <v>21</v>
      </c>
    </row>
    <row r="235" spans="3:8" ht="15.75" customHeight="1">
      <c r="C235" s="9">
        <f t="shared" si="14"/>
        <v>46223</v>
      </c>
      <c r="D235" s="14" t="s">
        <v>212</v>
      </c>
      <c r="E235" s="14" t="s">
        <v>244</v>
      </c>
      <c r="F235" s="14" t="s">
        <v>455</v>
      </c>
      <c r="G235" s="15" t="s">
        <v>492</v>
      </c>
      <c r="H235" s="14" t="s">
        <v>21</v>
      </c>
    </row>
    <row r="236" spans="3:8" ht="15.75" customHeight="1">
      <c r="C236" s="9">
        <f t="shared" si="14"/>
        <v>46223</v>
      </c>
      <c r="D236" s="14" t="s">
        <v>167</v>
      </c>
      <c r="E236" s="14" t="s">
        <v>193</v>
      </c>
      <c r="F236" s="14" t="s">
        <v>455</v>
      </c>
      <c r="G236" s="14" t="s">
        <v>493</v>
      </c>
      <c r="H236" s="14" t="s">
        <v>134</v>
      </c>
    </row>
    <row r="237" spans="3:8" ht="15.75" customHeight="1">
      <c r="C237" s="9">
        <f t="shared" si="14"/>
        <v>46223</v>
      </c>
      <c r="D237" s="14" t="s">
        <v>167</v>
      </c>
      <c r="E237" s="14" t="s">
        <v>272</v>
      </c>
      <c r="F237" s="14" t="s">
        <v>494</v>
      </c>
      <c r="G237" s="14" t="s">
        <v>472</v>
      </c>
      <c r="H237" s="14" t="s">
        <v>229</v>
      </c>
    </row>
    <row r="238" spans="3:8" ht="15.75" customHeight="1">
      <c r="C238" s="9">
        <f t="shared" si="14"/>
        <v>46223</v>
      </c>
      <c r="D238" s="14" t="s">
        <v>495</v>
      </c>
      <c r="E238" s="14" t="s">
        <v>22</v>
      </c>
      <c r="F238" s="14" t="s">
        <v>494</v>
      </c>
      <c r="G238" s="15" t="s">
        <v>496</v>
      </c>
      <c r="H238" s="14" t="s">
        <v>105</v>
      </c>
    </row>
    <row r="239" spans="3:8" ht="15.75" customHeight="1">
      <c r="C239" s="24">
        <v>46224</v>
      </c>
      <c r="D239" s="14" t="s">
        <v>497</v>
      </c>
      <c r="E239" s="14" t="s">
        <v>498</v>
      </c>
      <c r="F239" s="14" t="s">
        <v>499</v>
      </c>
      <c r="G239" s="15" t="s">
        <v>500</v>
      </c>
      <c r="H239" s="14" t="s">
        <v>32</v>
      </c>
    </row>
    <row r="240" spans="3:8" ht="15.75" customHeight="1">
      <c r="C240" s="9">
        <f t="shared" ref="C240:C247" si="15">C239</f>
        <v>46224</v>
      </c>
      <c r="D240" s="14" t="s">
        <v>501</v>
      </c>
      <c r="E240" s="14" t="s">
        <v>502</v>
      </c>
      <c r="F240" s="14" t="s">
        <v>499</v>
      </c>
      <c r="G240" s="15" t="s">
        <v>503</v>
      </c>
      <c r="H240" s="14" t="s">
        <v>229</v>
      </c>
    </row>
    <row r="241" spans="3:8" ht="15.75" customHeight="1">
      <c r="C241" s="9">
        <f t="shared" si="15"/>
        <v>46224</v>
      </c>
      <c r="D241" s="14" t="s">
        <v>504</v>
      </c>
      <c r="E241" s="14" t="s">
        <v>132</v>
      </c>
      <c r="F241" s="14" t="s">
        <v>499</v>
      </c>
      <c r="G241" s="15" t="s">
        <v>505</v>
      </c>
      <c r="H241" s="14" t="s">
        <v>32</v>
      </c>
    </row>
    <row r="242" spans="3:8" ht="15.75" customHeight="1">
      <c r="C242" s="9">
        <f t="shared" si="15"/>
        <v>46224</v>
      </c>
      <c r="D242" s="14" t="s">
        <v>506</v>
      </c>
      <c r="E242" s="14" t="s">
        <v>391</v>
      </c>
      <c r="F242" s="14" t="s">
        <v>499</v>
      </c>
      <c r="G242" s="15" t="s">
        <v>507</v>
      </c>
      <c r="H242" s="14" t="s">
        <v>32</v>
      </c>
    </row>
    <row r="243" spans="3:8" ht="15.75" customHeight="1">
      <c r="C243" s="9">
        <f t="shared" si="15"/>
        <v>46224</v>
      </c>
      <c r="D243" s="14" t="s">
        <v>508</v>
      </c>
      <c r="E243" s="14" t="s">
        <v>232</v>
      </c>
      <c r="F243" s="14" t="s">
        <v>509</v>
      </c>
      <c r="G243" s="14" t="s">
        <v>510</v>
      </c>
      <c r="H243" s="14" t="s">
        <v>32</v>
      </c>
    </row>
    <row r="244" spans="3:8" ht="15.75" customHeight="1">
      <c r="C244" s="9">
        <f t="shared" si="15"/>
        <v>46224</v>
      </c>
      <c r="D244" s="14" t="s">
        <v>511</v>
      </c>
      <c r="E244" s="14" t="s">
        <v>22</v>
      </c>
      <c r="F244" s="14" t="s">
        <v>509</v>
      </c>
      <c r="G244" s="14" t="s">
        <v>512</v>
      </c>
      <c r="H244" s="14" t="s">
        <v>32</v>
      </c>
    </row>
    <row r="245" spans="3:8" ht="15.75" customHeight="1">
      <c r="C245" s="9">
        <f t="shared" si="15"/>
        <v>46224</v>
      </c>
      <c r="D245" s="14" t="s">
        <v>513</v>
      </c>
      <c r="E245" s="14" t="s">
        <v>385</v>
      </c>
      <c r="F245" s="14" t="s">
        <v>509</v>
      </c>
      <c r="G245" s="14" t="s">
        <v>514</v>
      </c>
      <c r="H245" s="14" t="s">
        <v>32</v>
      </c>
    </row>
    <row r="246" spans="3:8" ht="15.75" customHeight="1">
      <c r="C246" s="9">
        <f t="shared" si="15"/>
        <v>46224</v>
      </c>
      <c r="D246" s="14" t="s">
        <v>517</v>
      </c>
      <c r="E246" s="14" t="s">
        <v>22</v>
      </c>
      <c r="F246" s="14" t="s">
        <v>509</v>
      </c>
      <c r="G246" s="15" t="s">
        <v>518</v>
      </c>
      <c r="H246" s="14" t="s">
        <v>17</v>
      </c>
    </row>
    <row r="247" spans="3:8" ht="15.75" customHeight="1">
      <c r="C247" s="9">
        <f t="shared" si="15"/>
        <v>46224</v>
      </c>
      <c r="D247" s="14" t="s">
        <v>517</v>
      </c>
      <c r="E247" s="14" t="s">
        <v>519</v>
      </c>
      <c r="F247" s="14" t="s">
        <v>509</v>
      </c>
      <c r="G247" s="15" t="s">
        <v>520</v>
      </c>
      <c r="H247" s="14" t="s">
        <v>17</v>
      </c>
    </row>
    <row r="248" spans="3:8" ht="15.75" customHeight="1">
      <c r="C248" s="24">
        <v>46225</v>
      </c>
      <c r="D248" s="14" t="s">
        <v>515</v>
      </c>
      <c r="E248" s="14" t="s">
        <v>22</v>
      </c>
      <c r="F248" s="14" t="s">
        <v>365</v>
      </c>
      <c r="G248" s="15" t="s">
        <v>516</v>
      </c>
      <c r="H248" s="14" t="s">
        <v>47</v>
      </c>
    </row>
    <row r="249" spans="3:8" ht="15.75" customHeight="1">
      <c r="C249" s="9">
        <f t="shared" ref="C249:C261" si="16">C248</f>
        <v>46225</v>
      </c>
      <c r="D249" s="14" t="s">
        <v>227</v>
      </c>
      <c r="E249" s="14" t="s">
        <v>521</v>
      </c>
      <c r="F249" s="14" t="s">
        <v>522</v>
      </c>
      <c r="G249" s="14" t="s">
        <v>523</v>
      </c>
      <c r="H249" s="14" t="s">
        <v>379</v>
      </c>
    </row>
    <row r="250" spans="3:8" ht="15.75" customHeight="1">
      <c r="C250" s="9">
        <f t="shared" si="16"/>
        <v>46225</v>
      </c>
      <c r="D250" s="14" t="s">
        <v>167</v>
      </c>
      <c r="E250" s="14" t="s">
        <v>524</v>
      </c>
      <c r="F250" s="14" t="s">
        <v>522</v>
      </c>
      <c r="G250" s="14" t="s">
        <v>525</v>
      </c>
      <c r="H250" s="14" t="s">
        <v>526</v>
      </c>
    </row>
    <row r="251" spans="3:8" ht="15.75" customHeight="1">
      <c r="C251" s="9">
        <f t="shared" si="16"/>
        <v>46225</v>
      </c>
      <c r="D251" s="14" t="s">
        <v>167</v>
      </c>
      <c r="E251" s="14" t="s">
        <v>527</v>
      </c>
      <c r="F251" s="14" t="s">
        <v>522</v>
      </c>
      <c r="G251" s="14" t="s">
        <v>528</v>
      </c>
      <c r="H251" s="14" t="s">
        <v>17</v>
      </c>
    </row>
    <row r="252" spans="3:8" ht="15.75" customHeight="1">
      <c r="C252" s="9">
        <f t="shared" si="16"/>
        <v>46225</v>
      </c>
      <c r="D252" s="14" t="s">
        <v>167</v>
      </c>
      <c r="E252" s="14" t="s">
        <v>129</v>
      </c>
      <c r="F252" s="14" t="s">
        <v>522</v>
      </c>
      <c r="G252" s="14" t="s">
        <v>465</v>
      </c>
      <c r="H252" s="14" t="s">
        <v>17</v>
      </c>
    </row>
    <row r="253" spans="3:8" ht="15.75" customHeight="1">
      <c r="C253" s="9">
        <f t="shared" si="16"/>
        <v>46225</v>
      </c>
      <c r="D253" s="14" t="s">
        <v>429</v>
      </c>
      <c r="E253" s="14" t="s">
        <v>529</v>
      </c>
      <c r="F253" s="14" t="s">
        <v>522</v>
      </c>
      <c r="G253" s="14" t="s">
        <v>530</v>
      </c>
      <c r="H253" s="14" t="s">
        <v>531</v>
      </c>
    </row>
    <row r="254" spans="3:8" ht="15.75" customHeight="1">
      <c r="C254" s="9">
        <f t="shared" si="16"/>
        <v>46225</v>
      </c>
      <c r="D254" s="14" t="s">
        <v>167</v>
      </c>
      <c r="E254" s="14" t="s">
        <v>532</v>
      </c>
      <c r="F254" s="14" t="s">
        <v>522</v>
      </c>
      <c r="G254" s="14" t="s">
        <v>533</v>
      </c>
      <c r="H254" s="14" t="s">
        <v>17</v>
      </c>
    </row>
    <row r="255" spans="3:8" ht="15.75" customHeight="1">
      <c r="C255" s="9">
        <f t="shared" si="16"/>
        <v>46225</v>
      </c>
      <c r="D255" s="14" t="s">
        <v>429</v>
      </c>
      <c r="E255" s="14" t="s">
        <v>98</v>
      </c>
      <c r="F255" s="14" t="s">
        <v>522</v>
      </c>
      <c r="G255" s="14" t="s">
        <v>534</v>
      </c>
      <c r="H255" s="14" t="s">
        <v>535</v>
      </c>
    </row>
    <row r="256" spans="3:8" ht="15.75" customHeight="1">
      <c r="C256" s="9">
        <f t="shared" si="16"/>
        <v>46225</v>
      </c>
      <c r="D256" s="14" t="s">
        <v>536</v>
      </c>
      <c r="E256" s="14" t="s">
        <v>22</v>
      </c>
      <c r="F256" s="14" t="s">
        <v>522</v>
      </c>
      <c r="G256" s="14" t="s">
        <v>533</v>
      </c>
      <c r="H256" s="14" t="s">
        <v>17</v>
      </c>
    </row>
    <row r="257" spans="3:8" ht="15.75" customHeight="1">
      <c r="C257" s="9">
        <f t="shared" si="16"/>
        <v>46225</v>
      </c>
      <c r="D257" s="14" t="s">
        <v>537</v>
      </c>
      <c r="E257" s="14" t="s">
        <v>118</v>
      </c>
      <c r="F257" s="14" t="s">
        <v>522</v>
      </c>
      <c r="G257" s="14" t="s">
        <v>538</v>
      </c>
      <c r="H257" s="14" t="s">
        <v>17</v>
      </c>
    </row>
    <row r="258" spans="3:8" ht="15.75" customHeight="1">
      <c r="C258" s="9">
        <f t="shared" si="16"/>
        <v>46225</v>
      </c>
      <c r="D258" s="14" t="s">
        <v>539</v>
      </c>
      <c r="E258" s="14" t="s">
        <v>118</v>
      </c>
      <c r="F258" s="14" t="s">
        <v>412</v>
      </c>
      <c r="G258" s="14" t="s">
        <v>540</v>
      </c>
      <c r="H258" s="14" t="s">
        <v>21</v>
      </c>
    </row>
    <row r="259" spans="3:8" ht="15.75" customHeight="1">
      <c r="C259" s="9">
        <f t="shared" si="16"/>
        <v>46225</v>
      </c>
      <c r="D259" s="14" t="s">
        <v>541</v>
      </c>
      <c r="E259" s="14" t="s">
        <v>66</v>
      </c>
      <c r="F259" s="14" t="s">
        <v>412</v>
      </c>
      <c r="G259" s="14" t="s">
        <v>542</v>
      </c>
      <c r="H259" s="14" t="s">
        <v>21</v>
      </c>
    </row>
    <row r="260" spans="3:8" ht="15.75" customHeight="1">
      <c r="C260" s="9">
        <f t="shared" si="16"/>
        <v>46225</v>
      </c>
      <c r="D260" s="14" t="s">
        <v>543</v>
      </c>
      <c r="E260" s="14" t="s">
        <v>411</v>
      </c>
      <c r="F260" s="14" t="s">
        <v>412</v>
      </c>
      <c r="G260" s="14" t="s">
        <v>544</v>
      </c>
      <c r="H260" s="14" t="s">
        <v>21</v>
      </c>
    </row>
    <row r="261" spans="3:8" ht="15.75" customHeight="1">
      <c r="C261" s="9">
        <f t="shared" si="16"/>
        <v>46225</v>
      </c>
      <c r="D261" s="14" t="s">
        <v>8</v>
      </c>
      <c r="E261" s="14" t="s">
        <v>411</v>
      </c>
      <c r="F261" s="14" t="s">
        <v>412</v>
      </c>
      <c r="G261" s="14" t="s">
        <v>545</v>
      </c>
      <c r="H261" s="14" t="s">
        <v>293</v>
      </c>
    </row>
    <row r="262" spans="3:8" ht="15.75" customHeight="1">
      <c r="C262" s="24">
        <v>46226</v>
      </c>
      <c r="D262" s="14" t="s">
        <v>546</v>
      </c>
      <c r="E262" s="14" t="s">
        <v>547</v>
      </c>
      <c r="F262" s="14" t="s">
        <v>412</v>
      </c>
      <c r="G262" s="14" t="s">
        <v>548</v>
      </c>
      <c r="H262" s="14" t="s">
        <v>21</v>
      </c>
    </row>
    <row r="263" spans="3:8" ht="15.75" customHeight="1">
      <c r="C263" s="9">
        <f t="shared" ref="C263:C278" si="17">C262</f>
        <v>46226</v>
      </c>
      <c r="D263" s="14" t="s">
        <v>549</v>
      </c>
      <c r="E263" s="14" t="s">
        <v>498</v>
      </c>
      <c r="F263" s="14" t="s">
        <v>412</v>
      </c>
      <c r="G263" s="14" t="s">
        <v>550</v>
      </c>
      <c r="H263" s="14" t="s">
        <v>21</v>
      </c>
    </row>
    <row r="264" spans="3:8" ht="15.75" customHeight="1">
      <c r="C264" s="9">
        <f t="shared" si="17"/>
        <v>46226</v>
      </c>
      <c r="D264" s="14" t="s">
        <v>551</v>
      </c>
      <c r="E264" s="14" t="s">
        <v>78</v>
      </c>
      <c r="F264" s="14" t="s">
        <v>412</v>
      </c>
      <c r="G264" s="14" t="s">
        <v>446</v>
      </c>
      <c r="H264" s="14" t="s">
        <v>21</v>
      </c>
    </row>
    <row r="265" spans="3:8" ht="15.75" customHeight="1">
      <c r="C265" s="9">
        <f t="shared" si="17"/>
        <v>46226</v>
      </c>
      <c r="D265" s="14" t="s">
        <v>87</v>
      </c>
      <c r="E265" s="14" t="s">
        <v>193</v>
      </c>
      <c r="F265" s="14" t="s">
        <v>552</v>
      </c>
      <c r="G265" s="15" t="s">
        <v>553</v>
      </c>
      <c r="H265" s="14" t="s">
        <v>21</v>
      </c>
    </row>
    <row r="266" spans="3:8" ht="15.75" customHeight="1">
      <c r="C266" s="9">
        <f t="shared" si="17"/>
        <v>46226</v>
      </c>
      <c r="D266" s="14" t="s">
        <v>462</v>
      </c>
      <c r="E266" s="14" t="s">
        <v>554</v>
      </c>
      <c r="F266" s="14" t="s">
        <v>552</v>
      </c>
      <c r="G266" s="15" t="s">
        <v>555</v>
      </c>
      <c r="H266" s="14" t="s">
        <v>17</v>
      </c>
    </row>
    <row r="267" spans="3:8" ht="15.75" customHeight="1">
      <c r="C267" s="9">
        <f t="shared" si="17"/>
        <v>46226</v>
      </c>
      <c r="D267" s="14" t="s">
        <v>462</v>
      </c>
      <c r="E267" s="14" t="s">
        <v>106</v>
      </c>
      <c r="F267" s="14" t="s">
        <v>552</v>
      </c>
      <c r="G267" s="15" t="s">
        <v>556</v>
      </c>
      <c r="H267" s="14" t="s">
        <v>17</v>
      </c>
    </row>
    <row r="268" spans="3:8" ht="15.75" customHeight="1">
      <c r="C268" s="9">
        <f t="shared" si="17"/>
        <v>46226</v>
      </c>
      <c r="D268" s="14" t="s">
        <v>167</v>
      </c>
      <c r="E268" s="14" t="s">
        <v>30</v>
      </c>
      <c r="F268" s="14" t="s">
        <v>552</v>
      </c>
      <c r="G268" s="15" t="s">
        <v>557</v>
      </c>
      <c r="H268" s="14" t="s">
        <v>17</v>
      </c>
    </row>
    <row r="269" spans="3:8" ht="15.75" customHeight="1">
      <c r="C269" s="9">
        <f t="shared" si="17"/>
        <v>46226</v>
      </c>
      <c r="D269" s="14" t="s">
        <v>87</v>
      </c>
      <c r="E269" s="14" t="s">
        <v>558</v>
      </c>
      <c r="F269" s="14" t="s">
        <v>552</v>
      </c>
      <c r="G269" s="15" t="s">
        <v>559</v>
      </c>
      <c r="H269" s="14" t="s">
        <v>21</v>
      </c>
    </row>
    <row r="270" spans="3:8" ht="15.75" customHeight="1">
      <c r="C270" s="9">
        <f t="shared" si="17"/>
        <v>46226</v>
      </c>
      <c r="D270" s="14" t="s">
        <v>462</v>
      </c>
      <c r="E270" s="14" t="s">
        <v>193</v>
      </c>
      <c r="F270" s="14" t="s">
        <v>552</v>
      </c>
      <c r="G270" s="15" t="s">
        <v>560</v>
      </c>
      <c r="H270" s="14" t="s">
        <v>21</v>
      </c>
    </row>
    <row r="271" spans="3:8" ht="15.75" customHeight="1">
      <c r="C271" s="9">
        <f t="shared" si="17"/>
        <v>46226</v>
      </c>
      <c r="D271" s="14" t="s">
        <v>561</v>
      </c>
      <c r="E271" s="14" t="s">
        <v>27</v>
      </c>
      <c r="F271" s="14" t="s">
        <v>436</v>
      </c>
      <c r="G271" s="14" t="s">
        <v>563</v>
      </c>
      <c r="H271" s="14" t="s">
        <v>21</v>
      </c>
    </row>
    <row r="272" spans="3:8" ht="15.75" customHeight="1">
      <c r="C272" s="9">
        <f t="shared" si="17"/>
        <v>46226</v>
      </c>
      <c r="D272" s="14" t="s">
        <v>565</v>
      </c>
      <c r="E272" s="14" t="s">
        <v>566</v>
      </c>
      <c r="F272" s="14" t="s">
        <v>436</v>
      </c>
      <c r="G272" s="14" t="s">
        <v>395</v>
      </c>
      <c r="H272" s="14" t="s">
        <v>21</v>
      </c>
    </row>
    <row r="273" spans="3:8" ht="15.75" customHeight="1">
      <c r="C273" s="9">
        <f t="shared" si="17"/>
        <v>46226</v>
      </c>
      <c r="D273" s="14" t="s">
        <v>569</v>
      </c>
      <c r="E273" s="14" t="s">
        <v>571</v>
      </c>
      <c r="F273" s="14" t="s">
        <v>436</v>
      </c>
      <c r="G273" s="14" t="s">
        <v>39</v>
      </c>
      <c r="H273" s="14" t="s">
        <v>21</v>
      </c>
    </row>
    <row r="274" spans="3:8" ht="15.75" customHeight="1">
      <c r="C274" s="9">
        <f t="shared" si="17"/>
        <v>46226</v>
      </c>
      <c r="D274" s="14" t="s">
        <v>8</v>
      </c>
      <c r="E274" s="14" t="s">
        <v>574</v>
      </c>
      <c r="F274" s="14" t="s">
        <v>436</v>
      </c>
      <c r="G274" s="14" t="s">
        <v>576</v>
      </c>
      <c r="H274" s="14" t="s">
        <v>281</v>
      </c>
    </row>
    <row r="275" spans="3:8" ht="15.75" customHeight="1">
      <c r="C275" s="9">
        <f t="shared" si="17"/>
        <v>46226</v>
      </c>
      <c r="D275" s="14" t="s">
        <v>579</v>
      </c>
      <c r="E275" s="14" t="s">
        <v>150</v>
      </c>
      <c r="F275" s="14" t="s">
        <v>436</v>
      </c>
      <c r="G275" s="14" t="s">
        <v>580</v>
      </c>
      <c r="H275" s="14" t="s">
        <v>21</v>
      </c>
    </row>
    <row r="276" spans="3:8" ht="15.75" customHeight="1">
      <c r="C276" s="9">
        <f t="shared" si="17"/>
        <v>46226</v>
      </c>
      <c r="D276" s="14" t="s">
        <v>348</v>
      </c>
      <c r="E276" s="14" t="s">
        <v>583</v>
      </c>
      <c r="F276" s="14" t="s">
        <v>436</v>
      </c>
      <c r="G276" s="14" t="s">
        <v>584</v>
      </c>
      <c r="H276" s="14" t="s">
        <v>21</v>
      </c>
    </row>
    <row r="277" spans="3:8" ht="15.75" customHeight="1">
      <c r="C277" s="9">
        <f t="shared" si="17"/>
        <v>46226</v>
      </c>
      <c r="D277" s="14" t="s">
        <v>586</v>
      </c>
      <c r="E277" s="14" t="s">
        <v>571</v>
      </c>
      <c r="F277" s="14" t="s">
        <v>436</v>
      </c>
      <c r="G277" s="14" t="s">
        <v>589</v>
      </c>
      <c r="H277" s="14" t="s">
        <v>21</v>
      </c>
    </row>
    <row r="278" spans="3:8" ht="15.75" customHeight="1">
      <c r="C278" s="9">
        <f t="shared" si="17"/>
        <v>46226</v>
      </c>
      <c r="D278" s="14" t="s">
        <v>551</v>
      </c>
      <c r="E278" s="14" t="s">
        <v>571</v>
      </c>
      <c r="F278" s="14" t="s">
        <v>436</v>
      </c>
      <c r="G278" s="14" t="s">
        <v>593</v>
      </c>
      <c r="H278" s="14" t="s">
        <v>21</v>
      </c>
    </row>
    <row r="279" spans="3:8" ht="15.75" customHeight="1">
      <c r="C279" s="24">
        <v>46227</v>
      </c>
      <c r="D279" s="14" t="s">
        <v>562</v>
      </c>
      <c r="E279" s="14" t="s">
        <v>27</v>
      </c>
      <c r="F279" s="14" t="s">
        <v>436</v>
      </c>
      <c r="G279" s="14" t="s">
        <v>564</v>
      </c>
      <c r="H279" s="14" t="s">
        <v>21</v>
      </c>
    </row>
    <row r="280" spans="3:8" ht="15.75" customHeight="1">
      <c r="C280" s="9">
        <f t="shared" ref="C280:C305" si="18">C279</f>
        <v>46227</v>
      </c>
      <c r="D280" s="14" t="s">
        <v>567</v>
      </c>
      <c r="E280" s="14" t="s">
        <v>411</v>
      </c>
      <c r="F280" s="14" t="s">
        <v>436</v>
      </c>
      <c r="G280" s="14" t="s">
        <v>417</v>
      </c>
      <c r="H280" s="14" t="s">
        <v>21</v>
      </c>
    </row>
    <row r="281" spans="3:8" ht="15.75" customHeight="1">
      <c r="C281" s="9">
        <f t="shared" si="18"/>
        <v>46227</v>
      </c>
      <c r="D281" s="14" t="s">
        <v>568</v>
      </c>
      <c r="E281" s="14" t="s">
        <v>78</v>
      </c>
      <c r="F281" s="14" t="s">
        <v>436</v>
      </c>
      <c r="G281" s="14" t="s">
        <v>143</v>
      </c>
      <c r="H281" s="14" t="s">
        <v>21</v>
      </c>
    </row>
    <row r="282" spans="3:8" ht="15.75" customHeight="1">
      <c r="C282" s="9">
        <f t="shared" si="18"/>
        <v>46227</v>
      </c>
      <c r="D282" s="14" t="s">
        <v>570</v>
      </c>
      <c r="E282" s="14" t="s">
        <v>27</v>
      </c>
      <c r="F282" s="14" t="s">
        <v>436</v>
      </c>
      <c r="G282" s="14" t="s">
        <v>572</v>
      </c>
      <c r="H282" s="14" t="s">
        <v>21</v>
      </c>
    </row>
    <row r="283" spans="3:8" ht="15.75" customHeight="1">
      <c r="C283" s="9">
        <f t="shared" si="18"/>
        <v>46227</v>
      </c>
      <c r="D283" s="14" t="s">
        <v>8</v>
      </c>
      <c r="E283" s="14" t="s">
        <v>10</v>
      </c>
      <c r="F283" s="14" t="s">
        <v>436</v>
      </c>
      <c r="G283" s="14" t="s">
        <v>573</v>
      </c>
      <c r="H283" s="14" t="s">
        <v>293</v>
      </c>
    </row>
    <row r="284" spans="3:8" ht="15.75" customHeight="1">
      <c r="C284" s="9">
        <f t="shared" si="18"/>
        <v>46227</v>
      </c>
      <c r="D284" s="14" t="s">
        <v>551</v>
      </c>
      <c r="E284" s="14" t="s">
        <v>18</v>
      </c>
      <c r="F284" s="14" t="s">
        <v>436</v>
      </c>
      <c r="G284" s="14" t="s">
        <v>575</v>
      </c>
      <c r="H284" s="14" t="s">
        <v>21</v>
      </c>
    </row>
    <row r="285" spans="3:8" ht="15.75" customHeight="1">
      <c r="C285" s="9">
        <f t="shared" si="18"/>
        <v>46227</v>
      </c>
      <c r="D285" s="14" t="s">
        <v>577</v>
      </c>
      <c r="E285" s="14" t="s">
        <v>27</v>
      </c>
      <c r="F285" s="14" t="s">
        <v>499</v>
      </c>
      <c r="G285" s="15" t="s">
        <v>578</v>
      </c>
      <c r="H285" s="14" t="s">
        <v>21</v>
      </c>
    </row>
    <row r="286" spans="3:8" ht="15.75" customHeight="1">
      <c r="C286" s="9">
        <f t="shared" si="18"/>
        <v>46227</v>
      </c>
      <c r="D286" s="14" t="s">
        <v>581</v>
      </c>
      <c r="E286" s="14" t="s">
        <v>179</v>
      </c>
      <c r="F286" s="14" t="s">
        <v>499</v>
      </c>
      <c r="G286" s="15" t="s">
        <v>582</v>
      </c>
      <c r="H286" s="14" t="s">
        <v>293</v>
      </c>
    </row>
    <row r="287" spans="3:8" ht="15.75" customHeight="1">
      <c r="C287" s="9">
        <f t="shared" si="18"/>
        <v>46227</v>
      </c>
      <c r="D287" s="14" t="s">
        <v>501</v>
      </c>
      <c r="E287" s="14" t="s">
        <v>9</v>
      </c>
      <c r="F287" s="14" t="s">
        <v>499</v>
      </c>
      <c r="G287" s="14" t="s">
        <v>585</v>
      </c>
      <c r="H287" s="14" t="s">
        <v>293</v>
      </c>
    </row>
    <row r="288" spans="3:8" ht="15.75" customHeight="1">
      <c r="C288" s="9">
        <f t="shared" si="18"/>
        <v>46227</v>
      </c>
      <c r="D288" s="14" t="s">
        <v>587</v>
      </c>
      <c r="E288" s="14" t="s">
        <v>588</v>
      </c>
      <c r="F288" s="14" t="s">
        <v>499</v>
      </c>
      <c r="G288" s="15" t="s">
        <v>590</v>
      </c>
      <c r="H288" s="14" t="s">
        <v>293</v>
      </c>
    </row>
    <row r="289" spans="3:8" ht="15.75" customHeight="1">
      <c r="C289" s="9">
        <f t="shared" si="18"/>
        <v>46227</v>
      </c>
      <c r="D289" s="14" t="s">
        <v>501</v>
      </c>
      <c r="E289" s="14" t="s">
        <v>27</v>
      </c>
      <c r="F289" s="14" t="s">
        <v>499</v>
      </c>
      <c r="G289" s="15" t="s">
        <v>591</v>
      </c>
      <c r="H289" s="14" t="s">
        <v>592</v>
      </c>
    </row>
    <row r="290" spans="3:8" ht="15.75" customHeight="1">
      <c r="C290" s="9">
        <f t="shared" si="18"/>
        <v>46227</v>
      </c>
      <c r="D290" s="14" t="s">
        <v>594</v>
      </c>
      <c r="E290" s="14" t="s">
        <v>411</v>
      </c>
      <c r="F290" s="14" t="s">
        <v>499</v>
      </c>
      <c r="G290" s="15" t="s">
        <v>456</v>
      </c>
      <c r="H290" s="14" t="s">
        <v>21</v>
      </c>
    </row>
    <row r="291" spans="3:8" ht="15.75" customHeight="1">
      <c r="C291" s="9">
        <f t="shared" si="18"/>
        <v>46227</v>
      </c>
      <c r="D291" s="14" t="s">
        <v>595</v>
      </c>
      <c r="E291" s="14" t="s">
        <v>596</v>
      </c>
      <c r="F291" s="14" t="s">
        <v>499</v>
      </c>
      <c r="G291" s="15" t="s">
        <v>597</v>
      </c>
      <c r="H291" s="14" t="s">
        <v>21</v>
      </c>
    </row>
    <row r="292" spans="3:8" ht="15.75" customHeight="1">
      <c r="C292" s="9">
        <f t="shared" si="18"/>
        <v>46227</v>
      </c>
      <c r="D292" s="14" t="s">
        <v>598</v>
      </c>
      <c r="E292" s="14" t="s">
        <v>599</v>
      </c>
      <c r="F292" s="14" t="s">
        <v>499</v>
      </c>
      <c r="G292" s="15" t="s">
        <v>600</v>
      </c>
      <c r="H292" s="14" t="s">
        <v>21</v>
      </c>
    </row>
    <row r="293" spans="3:8" ht="15.75" customHeight="1">
      <c r="C293" s="9">
        <f t="shared" si="18"/>
        <v>46227</v>
      </c>
      <c r="D293" s="14" t="s">
        <v>501</v>
      </c>
      <c r="E293" s="14" t="s">
        <v>599</v>
      </c>
      <c r="F293" s="14" t="s">
        <v>499</v>
      </c>
      <c r="G293" s="15" t="s">
        <v>601</v>
      </c>
      <c r="H293" s="14" t="s">
        <v>293</v>
      </c>
    </row>
    <row r="294" spans="3:8" ht="15.75" customHeight="1">
      <c r="C294" s="9">
        <f t="shared" si="18"/>
        <v>46227</v>
      </c>
      <c r="D294" s="14" t="s">
        <v>501</v>
      </c>
      <c r="E294" s="14" t="s">
        <v>602</v>
      </c>
      <c r="F294" s="14" t="s">
        <v>499</v>
      </c>
      <c r="G294" s="15" t="s">
        <v>585</v>
      </c>
      <c r="H294" s="14" t="s">
        <v>293</v>
      </c>
    </row>
    <row r="295" spans="3:8" ht="15.75" customHeight="1">
      <c r="C295" s="9">
        <f t="shared" si="18"/>
        <v>46227</v>
      </c>
      <c r="D295" s="14" t="s">
        <v>603</v>
      </c>
      <c r="E295" s="14" t="s">
        <v>599</v>
      </c>
      <c r="F295" s="14" t="s">
        <v>499</v>
      </c>
      <c r="G295" s="15" t="s">
        <v>604</v>
      </c>
      <c r="H295" s="14" t="s">
        <v>21</v>
      </c>
    </row>
    <row r="296" spans="3:8" ht="15.75" customHeight="1">
      <c r="C296" s="9">
        <f t="shared" si="18"/>
        <v>46227</v>
      </c>
      <c r="D296" s="14" t="s">
        <v>501</v>
      </c>
      <c r="E296" s="14" t="s">
        <v>502</v>
      </c>
      <c r="F296" s="14" t="s">
        <v>499</v>
      </c>
      <c r="G296" s="23" t="s">
        <v>605</v>
      </c>
      <c r="H296" s="14" t="s">
        <v>606</v>
      </c>
    </row>
    <row r="297" spans="3:8" ht="15.75" customHeight="1">
      <c r="C297" s="9">
        <f t="shared" si="18"/>
        <v>46227</v>
      </c>
      <c r="D297" s="14" t="s">
        <v>607</v>
      </c>
      <c r="E297" s="14" t="s">
        <v>608</v>
      </c>
      <c r="F297" s="14" t="s">
        <v>499</v>
      </c>
      <c r="G297" s="15" t="s">
        <v>609</v>
      </c>
      <c r="H297" s="14" t="s">
        <v>592</v>
      </c>
    </row>
    <row r="298" spans="3:8" ht="15.75" customHeight="1">
      <c r="C298" s="9">
        <f t="shared" si="18"/>
        <v>46227</v>
      </c>
      <c r="D298" s="14" t="s">
        <v>501</v>
      </c>
      <c r="E298" s="14" t="s">
        <v>18</v>
      </c>
      <c r="F298" s="14" t="s">
        <v>499</v>
      </c>
      <c r="G298" s="15" t="s">
        <v>25</v>
      </c>
      <c r="H298" s="14" t="s">
        <v>293</v>
      </c>
    </row>
    <row r="299" spans="3:8" ht="15.75" customHeight="1">
      <c r="C299" s="9">
        <f t="shared" si="18"/>
        <v>46227</v>
      </c>
      <c r="D299" s="14" t="s">
        <v>610</v>
      </c>
      <c r="E299" s="14" t="s">
        <v>18</v>
      </c>
      <c r="F299" s="14" t="s">
        <v>499</v>
      </c>
      <c r="G299" s="15" t="s">
        <v>611</v>
      </c>
      <c r="H299" s="14" t="s">
        <v>293</v>
      </c>
    </row>
    <row r="300" spans="3:8" ht="15.75" customHeight="1">
      <c r="C300" s="9">
        <f t="shared" si="18"/>
        <v>46227</v>
      </c>
      <c r="D300" s="14" t="s">
        <v>612</v>
      </c>
      <c r="E300" s="14" t="s">
        <v>78</v>
      </c>
      <c r="F300" s="14" t="s">
        <v>499</v>
      </c>
      <c r="G300" s="15" t="s">
        <v>613</v>
      </c>
      <c r="H300" s="14" t="s">
        <v>293</v>
      </c>
    </row>
    <row r="301" spans="3:8" ht="15.75" customHeight="1">
      <c r="C301" s="9">
        <f t="shared" si="18"/>
        <v>46227</v>
      </c>
      <c r="D301" s="14" t="s">
        <v>501</v>
      </c>
      <c r="E301" s="14" t="s">
        <v>18</v>
      </c>
      <c r="F301" s="14" t="s">
        <v>499</v>
      </c>
      <c r="G301" s="15" t="s">
        <v>614</v>
      </c>
      <c r="H301" s="14" t="s">
        <v>293</v>
      </c>
    </row>
    <row r="302" spans="3:8" ht="15.75" customHeight="1">
      <c r="C302" s="9">
        <f t="shared" si="18"/>
        <v>46227</v>
      </c>
      <c r="D302" s="14" t="s">
        <v>501</v>
      </c>
      <c r="E302" s="14" t="s">
        <v>27</v>
      </c>
      <c r="F302" s="14" t="s">
        <v>615</v>
      </c>
      <c r="G302" s="15" t="s">
        <v>616</v>
      </c>
      <c r="H302" s="14" t="s">
        <v>229</v>
      </c>
    </row>
    <row r="303" spans="3:8" ht="15.75" customHeight="1">
      <c r="C303" s="9">
        <f t="shared" si="18"/>
        <v>46227</v>
      </c>
      <c r="D303" s="14" t="s">
        <v>501</v>
      </c>
      <c r="E303" s="14" t="s">
        <v>10</v>
      </c>
      <c r="F303" s="14" t="s">
        <v>615</v>
      </c>
      <c r="G303" s="14" t="s">
        <v>617</v>
      </c>
      <c r="H303" s="14" t="s">
        <v>229</v>
      </c>
    </row>
    <row r="304" spans="3:8" ht="15.75" customHeight="1">
      <c r="C304" s="9">
        <f t="shared" si="18"/>
        <v>46227</v>
      </c>
      <c r="D304" s="14" t="s">
        <v>568</v>
      </c>
      <c r="E304" s="14" t="s">
        <v>618</v>
      </c>
      <c r="F304" s="14" t="s">
        <v>615</v>
      </c>
      <c r="G304" s="15" t="s">
        <v>619</v>
      </c>
      <c r="H304" s="14" t="s">
        <v>21</v>
      </c>
    </row>
    <row r="305" spans="3:8" ht="15.75" customHeight="1">
      <c r="C305" s="9">
        <f t="shared" si="18"/>
        <v>46227</v>
      </c>
      <c r="D305" s="14" t="s">
        <v>620</v>
      </c>
      <c r="E305" s="14" t="s">
        <v>621</v>
      </c>
      <c r="F305" s="14" t="s">
        <v>615</v>
      </c>
      <c r="G305" s="15" t="s">
        <v>622</v>
      </c>
      <c r="H305" s="14" t="s">
        <v>21</v>
      </c>
    </row>
    <row r="306" spans="3:8" ht="15.75" customHeight="1">
      <c r="C306" s="24">
        <v>46228</v>
      </c>
      <c r="D306" s="14" t="s">
        <v>501</v>
      </c>
      <c r="E306" s="14" t="s">
        <v>27</v>
      </c>
      <c r="F306" s="14" t="s">
        <v>499</v>
      </c>
      <c r="G306" s="15" t="s">
        <v>623</v>
      </c>
      <c r="H306" s="14" t="s">
        <v>17</v>
      </c>
    </row>
    <row r="307" spans="3:8" ht="15.75" customHeight="1">
      <c r="C307" s="9">
        <f t="shared" ref="C307:C327" si="19">C306</f>
        <v>46228</v>
      </c>
      <c r="D307" s="14" t="s">
        <v>501</v>
      </c>
      <c r="E307" s="14" t="s">
        <v>95</v>
      </c>
      <c r="F307" s="14" t="s">
        <v>499</v>
      </c>
      <c r="G307" s="15" t="s">
        <v>624</v>
      </c>
      <c r="H307" s="14" t="s">
        <v>17</v>
      </c>
    </row>
    <row r="308" spans="3:8" ht="15.75" customHeight="1">
      <c r="C308" s="9">
        <f t="shared" si="19"/>
        <v>46228</v>
      </c>
      <c r="D308" s="14" t="s">
        <v>625</v>
      </c>
      <c r="E308" s="14" t="s">
        <v>626</v>
      </c>
      <c r="F308" s="14" t="s">
        <v>499</v>
      </c>
      <c r="G308" s="15" t="s">
        <v>627</v>
      </c>
      <c r="H308" s="14" t="s">
        <v>17</v>
      </c>
    </row>
    <row r="309" spans="3:8" ht="15.75" customHeight="1">
      <c r="C309" s="9">
        <f t="shared" si="19"/>
        <v>46228</v>
      </c>
      <c r="D309" s="14" t="s">
        <v>628</v>
      </c>
      <c r="E309" s="14" t="s">
        <v>629</v>
      </c>
      <c r="F309" s="14" t="s">
        <v>499</v>
      </c>
      <c r="G309" s="15" t="s">
        <v>630</v>
      </c>
      <c r="H309" s="14" t="s">
        <v>17</v>
      </c>
    </row>
    <row r="310" spans="3:8" ht="15.75" customHeight="1">
      <c r="C310" s="9">
        <f t="shared" si="19"/>
        <v>46228</v>
      </c>
      <c r="D310" s="14" t="s">
        <v>212</v>
      </c>
      <c r="E310" s="14" t="s">
        <v>631</v>
      </c>
      <c r="F310" s="14" t="s">
        <v>499</v>
      </c>
      <c r="G310" s="15" t="s">
        <v>632</v>
      </c>
      <c r="H310" s="14" t="s">
        <v>17</v>
      </c>
    </row>
    <row r="311" spans="3:8" ht="15.75" customHeight="1">
      <c r="C311" s="9">
        <f t="shared" si="19"/>
        <v>46228</v>
      </c>
      <c r="D311" s="14" t="s">
        <v>212</v>
      </c>
      <c r="E311" s="14" t="s">
        <v>22</v>
      </c>
      <c r="F311" s="14" t="s">
        <v>499</v>
      </c>
      <c r="G311" s="15" t="s">
        <v>633</v>
      </c>
      <c r="H311" s="14" t="s">
        <v>17</v>
      </c>
    </row>
    <row r="312" spans="3:8" ht="15.75" customHeight="1">
      <c r="C312" s="9">
        <f t="shared" si="19"/>
        <v>46228</v>
      </c>
      <c r="D312" s="14" t="s">
        <v>462</v>
      </c>
      <c r="E312" s="14" t="s">
        <v>193</v>
      </c>
      <c r="F312" s="14" t="s">
        <v>499</v>
      </c>
      <c r="G312" s="15" t="s">
        <v>634</v>
      </c>
      <c r="H312" s="14" t="s">
        <v>205</v>
      </c>
    </row>
    <row r="313" spans="3:8" ht="15.75" customHeight="1">
      <c r="C313" s="9">
        <f t="shared" si="19"/>
        <v>46228</v>
      </c>
      <c r="D313" s="14" t="s">
        <v>167</v>
      </c>
      <c r="E313" s="14" t="s">
        <v>179</v>
      </c>
      <c r="F313" s="14" t="s">
        <v>499</v>
      </c>
      <c r="G313" s="15" t="s">
        <v>635</v>
      </c>
      <c r="H313" s="14" t="s">
        <v>229</v>
      </c>
    </row>
    <row r="314" spans="3:8" ht="15.75" customHeight="1">
      <c r="C314" s="9">
        <f t="shared" si="19"/>
        <v>46228</v>
      </c>
      <c r="D314" s="14" t="s">
        <v>462</v>
      </c>
      <c r="E314" s="14" t="s">
        <v>27</v>
      </c>
      <c r="F314" s="14" t="s">
        <v>499</v>
      </c>
      <c r="G314" s="15" t="s">
        <v>636</v>
      </c>
      <c r="H314" s="14" t="s">
        <v>205</v>
      </c>
    </row>
    <row r="315" spans="3:8" ht="15.75" customHeight="1">
      <c r="C315" s="9">
        <f t="shared" si="19"/>
        <v>46228</v>
      </c>
      <c r="D315" s="14" t="s">
        <v>212</v>
      </c>
      <c r="E315" s="14" t="s">
        <v>558</v>
      </c>
      <c r="F315" s="14" t="s">
        <v>499</v>
      </c>
      <c r="G315" s="15" t="s">
        <v>637</v>
      </c>
      <c r="H315" s="14" t="s">
        <v>205</v>
      </c>
    </row>
    <row r="316" spans="3:8" ht="15.75" customHeight="1">
      <c r="C316" s="9">
        <f t="shared" si="19"/>
        <v>46228</v>
      </c>
      <c r="D316" s="14" t="s">
        <v>47</v>
      </c>
      <c r="E316" s="14" t="s">
        <v>629</v>
      </c>
      <c r="F316" s="14" t="s">
        <v>499</v>
      </c>
      <c r="G316" s="15" t="s">
        <v>638</v>
      </c>
      <c r="H316" s="14" t="s">
        <v>205</v>
      </c>
    </row>
    <row r="317" spans="3:8" ht="15.75" customHeight="1">
      <c r="C317" s="9">
        <f t="shared" si="19"/>
        <v>46228</v>
      </c>
      <c r="D317" s="14" t="s">
        <v>212</v>
      </c>
      <c r="E317" s="14" t="s">
        <v>93</v>
      </c>
      <c r="F317" s="14" t="s">
        <v>499</v>
      </c>
      <c r="G317" s="15" t="s">
        <v>639</v>
      </c>
      <c r="H317" s="14" t="s">
        <v>17</v>
      </c>
    </row>
    <row r="318" spans="3:8" ht="15.75" customHeight="1">
      <c r="C318" s="9">
        <f t="shared" si="19"/>
        <v>46228</v>
      </c>
      <c r="D318" s="14" t="s">
        <v>212</v>
      </c>
      <c r="E318" s="14" t="s">
        <v>138</v>
      </c>
      <c r="F318" s="14" t="s">
        <v>499</v>
      </c>
      <c r="G318" s="15" t="s">
        <v>640</v>
      </c>
      <c r="H318" s="14" t="s">
        <v>17</v>
      </c>
    </row>
    <row r="319" spans="3:8" ht="15.75" customHeight="1">
      <c r="C319" s="9">
        <f t="shared" si="19"/>
        <v>46228</v>
      </c>
      <c r="D319" s="14" t="s">
        <v>462</v>
      </c>
      <c r="E319" s="14" t="s">
        <v>519</v>
      </c>
      <c r="F319" s="14" t="s">
        <v>499</v>
      </c>
      <c r="G319" s="15" t="s">
        <v>641</v>
      </c>
      <c r="H319" s="14" t="s">
        <v>205</v>
      </c>
    </row>
    <row r="320" spans="3:8" ht="15.75" customHeight="1">
      <c r="C320" s="9">
        <f t="shared" si="19"/>
        <v>46228</v>
      </c>
      <c r="D320" s="14" t="s">
        <v>642</v>
      </c>
      <c r="E320" s="14" t="s">
        <v>22</v>
      </c>
      <c r="F320" s="14" t="s">
        <v>643</v>
      </c>
      <c r="G320" s="15" t="s">
        <v>644</v>
      </c>
      <c r="H320" s="14" t="s">
        <v>205</v>
      </c>
    </row>
    <row r="321" spans="3:8" ht="15.75" customHeight="1">
      <c r="C321" s="9">
        <f t="shared" si="19"/>
        <v>46228</v>
      </c>
      <c r="D321" s="14" t="s">
        <v>167</v>
      </c>
      <c r="E321" s="14" t="s">
        <v>22</v>
      </c>
      <c r="F321" s="14" t="s">
        <v>643</v>
      </c>
      <c r="G321" s="15" t="s">
        <v>645</v>
      </c>
      <c r="H321" s="14" t="s">
        <v>17</v>
      </c>
    </row>
    <row r="322" spans="3:8" ht="15.75" customHeight="1">
      <c r="C322" s="9">
        <f t="shared" si="19"/>
        <v>46228</v>
      </c>
      <c r="D322" s="14" t="s">
        <v>646</v>
      </c>
      <c r="E322" s="14" t="s">
        <v>22</v>
      </c>
      <c r="F322" s="14" t="s">
        <v>643</v>
      </c>
      <c r="G322" s="15" t="s">
        <v>647</v>
      </c>
      <c r="H322" s="14" t="s">
        <v>205</v>
      </c>
    </row>
    <row r="323" spans="3:8" ht="15.75" customHeight="1">
      <c r="C323" s="9">
        <f t="shared" si="19"/>
        <v>46228</v>
      </c>
      <c r="D323" s="14" t="s">
        <v>648</v>
      </c>
      <c r="E323" s="14" t="s">
        <v>22</v>
      </c>
      <c r="F323" s="14" t="s">
        <v>643</v>
      </c>
      <c r="G323" s="23" t="s">
        <v>645</v>
      </c>
      <c r="H323" s="14" t="s">
        <v>205</v>
      </c>
    </row>
    <row r="324" spans="3:8" ht="15.75" customHeight="1">
      <c r="C324" s="9">
        <f t="shared" si="19"/>
        <v>46228</v>
      </c>
      <c r="D324" s="14" t="s">
        <v>649</v>
      </c>
      <c r="E324" s="14" t="s">
        <v>650</v>
      </c>
      <c r="F324" s="14" t="s">
        <v>643</v>
      </c>
      <c r="G324" s="15" t="s">
        <v>651</v>
      </c>
      <c r="H324" s="14" t="s">
        <v>205</v>
      </c>
    </row>
    <row r="325" spans="3:8" ht="15.75" customHeight="1">
      <c r="C325" s="9">
        <f t="shared" si="19"/>
        <v>46228</v>
      </c>
      <c r="D325" s="14" t="s">
        <v>652</v>
      </c>
      <c r="E325" s="14" t="s">
        <v>653</v>
      </c>
      <c r="F325" s="14" t="s">
        <v>643</v>
      </c>
      <c r="G325" s="14" t="s">
        <v>654</v>
      </c>
      <c r="H325" s="14" t="s">
        <v>205</v>
      </c>
    </row>
    <row r="326" spans="3:8" ht="15.75" customHeight="1">
      <c r="C326" s="9">
        <f t="shared" si="19"/>
        <v>46228</v>
      </c>
      <c r="D326" s="14" t="s">
        <v>655</v>
      </c>
      <c r="E326" s="14" t="s">
        <v>574</v>
      </c>
      <c r="F326" s="14" t="s">
        <v>643</v>
      </c>
      <c r="G326" s="15" t="s">
        <v>656</v>
      </c>
      <c r="H326" s="14" t="s">
        <v>205</v>
      </c>
    </row>
    <row r="327" spans="3:8" ht="15.75" customHeight="1">
      <c r="C327" s="9">
        <f t="shared" si="19"/>
        <v>46228</v>
      </c>
      <c r="D327" s="14" t="s">
        <v>657</v>
      </c>
      <c r="E327" s="14" t="s">
        <v>658</v>
      </c>
      <c r="F327" s="14" t="s">
        <v>643</v>
      </c>
      <c r="G327" s="15" t="s">
        <v>659</v>
      </c>
      <c r="H327" s="14" t="s">
        <v>205</v>
      </c>
    </row>
    <row r="328" spans="3:8" ht="15.75" customHeight="1">
      <c r="C328" s="24">
        <v>46229</v>
      </c>
      <c r="D328" s="14" t="s">
        <v>660</v>
      </c>
      <c r="E328" s="14" t="s">
        <v>411</v>
      </c>
      <c r="F328" s="14" t="s">
        <v>661</v>
      </c>
      <c r="G328" s="14" t="s">
        <v>662</v>
      </c>
      <c r="H328" s="14" t="s">
        <v>21</v>
      </c>
    </row>
    <row r="329" spans="3:8" ht="15.75" customHeight="1">
      <c r="C329" s="9">
        <f t="shared" ref="C329:C332" si="20">C328</f>
        <v>46229</v>
      </c>
      <c r="D329" s="14" t="s">
        <v>667</v>
      </c>
      <c r="E329" s="14" t="s">
        <v>27</v>
      </c>
      <c r="F329" s="14" t="s">
        <v>661</v>
      </c>
      <c r="G329" s="14" t="s">
        <v>668</v>
      </c>
      <c r="H329" s="14" t="s">
        <v>21</v>
      </c>
    </row>
    <row r="330" spans="3:8" ht="15.75" customHeight="1">
      <c r="C330" s="9">
        <f t="shared" si="20"/>
        <v>46229</v>
      </c>
      <c r="D330" s="14" t="s">
        <v>8</v>
      </c>
      <c r="E330" s="14" t="s">
        <v>66</v>
      </c>
      <c r="F330" s="14" t="s">
        <v>661</v>
      </c>
      <c r="G330" s="14" t="s">
        <v>675</v>
      </c>
      <c r="H330" s="14" t="s">
        <v>315</v>
      </c>
    </row>
    <row r="331" spans="3:8" ht="15.75" customHeight="1">
      <c r="C331" s="9">
        <f t="shared" si="20"/>
        <v>46229</v>
      </c>
      <c r="D331" s="14" t="s">
        <v>8</v>
      </c>
      <c r="E331" s="14" t="s">
        <v>411</v>
      </c>
      <c r="F331" s="14" t="s">
        <v>661</v>
      </c>
      <c r="G331" s="14" t="s">
        <v>679</v>
      </c>
      <c r="H331" s="14" t="s">
        <v>293</v>
      </c>
    </row>
    <row r="332" spans="3:8" ht="15.75" customHeight="1">
      <c r="C332" s="9">
        <f t="shared" si="20"/>
        <v>46229</v>
      </c>
      <c r="D332" s="14" t="s">
        <v>549</v>
      </c>
      <c r="E332" s="14" t="s">
        <v>66</v>
      </c>
      <c r="F332" s="14" t="s">
        <v>661</v>
      </c>
      <c r="G332" s="14" t="s">
        <v>684</v>
      </c>
      <c r="H332" s="14" t="s">
        <v>21</v>
      </c>
    </row>
    <row r="333" spans="3:8" ht="15.75" customHeight="1">
      <c r="C333" s="24">
        <v>46230</v>
      </c>
      <c r="D333" s="14" t="s">
        <v>663</v>
      </c>
      <c r="E333" s="14" t="s">
        <v>84</v>
      </c>
      <c r="F333" s="14" t="s">
        <v>661</v>
      </c>
      <c r="G333" s="14" t="s">
        <v>664</v>
      </c>
      <c r="H333" s="14" t="s">
        <v>21</v>
      </c>
    </row>
    <row r="334" spans="3:8" ht="15.75" customHeight="1">
      <c r="C334" s="9">
        <f t="shared" ref="C334:C343" si="21">C333</f>
        <v>46230</v>
      </c>
      <c r="D334" s="14" t="s">
        <v>665</v>
      </c>
      <c r="E334" s="14" t="s">
        <v>27</v>
      </c>
      <c r="F334" s="14" t="s">
        <v>661</v>
      </c>
      <c r="G334" s="14" t="s">
        <v>666</v>
      </c>
      <c r="H334" s="14" t="s">
        <v>21</v>
      </c>
    </row>
    <row r="335" spans="3:8" ht="15.75" customHeight="1">
      <c r="C335" s="9">
        <f t="shared" si="21"/>
        <v>46230</v>
      </c>
      <c r="D335" s="14" t="s">
        <v>669</v>
      </c>
      <c r="E335" s="14" t="s">
        <v>670</v>
      </c>
      <c r="F335" s="14" t="s">
        <v>661</v>
      </c>
      <c r="G335" s="14" t="s">
        <v>671</v>
      </c>
      <c r="H335" s="14" t="s">
        <v>21</v>
      </c>
    </row>
    <row r="336" spans="3:8" ht="15.75" customHeight="1">
      <c r="C336" s="9">
        <f t="shared" si="21"/>
        <v>46230</v>
      </c>
      <c r="D336" s="14" t="s">
        <v>672</v>
      </c>
      <c r="E336" s="14" t="s">
        <v>18</v>
      </c>
      <c r="F336" s="14" t="s">
        <v>673</v>
      </c>
      <c r="G336" s="14" t="s">
        <v>674</v>
      </c>
      <c r="H336" s="14" t="s">
        <v>21</v>
      </c>
    </row>
    <row r="337" spans="3:8" ht="15.75" customHeight="1">
      <c r="C337" s="9">
        <f t="shared" si="21"/>
        <v>46230</v>
      </c>
      <c r="D337" s="14" t="s">
        <v>8</v>
      </c>
      <c r="E337" s="14" t="s">
        <v>676</v>
      </c>
      <c r="F337" s="14" t="s">
        <v>673</v>
      </c>
      <c r="G337" s="14" t="s">
        <v>677</v>
      </c>
      <c r="H337" s="14" t="s">
        <v>17</v>
      </c>
    </row>
    <row r="338" spans="3:8" ht="15.75" customHeight="1">
      <c r="C338" s="9">
        <f t="shared" si="21"/>
        <v>46230</v>
      </c>
      <c r="D338" s="14" t="s">
        <v>678</v>
      </c>
      <c r="E338" s="14" t="s">
        <v>27</v>
      </c>
      <c r="F338" s="14" t="s">
        <v>673</v>
      </c>
      <c r="G338" s="14" t="s">
        <v>680</v>
      </c>
      <c r="H338" s="14" t="s">
        <v>21</v>
      </c>
    </row>
    <row r="339" spans="3:8" ht="15.75" customHeight="1">
      <c r="C339" s="9">
        <f t="shared" si="21"/>
        <v>46230</v>
      </c>
      <c r="D339" s="14" t="s">
        <v>681</v>
      </c>
      <c r="E339" s="14" t="s">
        <v>18</v>
      </c>
      <c r="F339" s="14" t="s">
        <v>673</v>
      </c>
      <c r="G339" s="14" t="s">
        <v>682</v>
      </c>
      <c r="H339" s="14" t="s">
        <v>21</v>
      </c>
    </row>
    <row r="340" spans="3:8" ht="15.75" customHeight="1">
      <c r="C340" s="9">
        <f t="shared" si="21"/>
        <v>46230</v>
      </c>
      <c r="D340" s="14" t="s">
        <v>683</v>
      </c>
      <c r="E340" s="14" t="s">
        <v>411</v>
      </c>
      <c r="F340" s="14" t="s">
        <v>673</v>
      </c>
      <c r="G340" s="14" t="s">
        <v>289</v>
      </c>
      <c r="H340" s="14" t="s">
        <v>21</v>
      </c>
    </row>
    <row r="341" spans="3:8" ht="15.75" customHeight="1">
      <c r="C341" s="9">
        <f t="shared" si="21"/>
        <v>46230</v>
      </c>
      <c r="D341" s="14" t="s">
        <v>685</v>
      </c>
      <c r="E341" s="14" t="s">
        <v>411</v>
      </c>
      <c r="F341" s="14" t="s">
        <v>673</v>
      </c>
      <c r="G341" s="14" t="s">
        <v>686</v>
      </c>
      <c r="H341" s="14" t="s">
        <v>21</v>
      </c>
    </row>
    <row r="342" spans="3:8" ht="15.75" customHeight="1">
      <c r="C342" s="9">
        <f t="shared" si="21"/>
        <v>46230</v>
      </c>
      <c r="D342" s="14" t="s">
        <v>687</v>
      </c>
      <c r="E342" s="14" t="s">
        <v>75</v>
      </c>
      <c r="F342" s="14" t="s">
        <v>673</v>
      </c>
      <c r="G342" s="14" t="s">
        <v>688</v>
      </c>
      <c r="H342" s="14" t="s">
        <v>21</v>
      </c>
    </row>
    <row r="343" spans="3:8" ht="15.75" customHeight="1">
      <c r="C343" s="9">
        <f t="shared" si="21"/>
        <v>46230</v>
      </c>
      <c r="D343" s="14" t="s">
        <v>689</v>
      </c>
      <c r="E343" s="14" t="s">
        <v>411</v>
      </c>
      <c r="F343" s="14" t="s">
        <v>673</v>
      </c>
      <c r="G343" s="14" t="s">
        <v>690</v>
      </c>
      <c r="H343" s="14" t="s">
        <v>21</v>
      </c>
    </row>
    <row r="344" spans="3:8" ht="15.75" customHeight="1">
      <c r="C344" s="24">
        <v>46231</v>
      </c>
      <c r="D344" s="14" t="s">
        <v>691</v>
      </c>
      <c r="E344" s="14" t="s">
        <v>692</v>
      </c>
      <c r="F344" s="14" t="s">
        <v>693</v>
      </c>
      <c r="G344" s="14" t="s">
        <v>694</v>
      </c>
      <c r="H344" s="14" t="s">
        <v>21</v>
      </c>
    </row>
    <row r="345" spans="3:8" ht="15.75" customHeight="1">
      <c r="C345" s="9">
        <f t="shared" ref="C345:C361" si="22">C344</f>
        <v>46231</v>
      </c>
      <c r="D345" s="14" t="s">
        <v>567</v>
      </c>
      <c r="E345" s="14" t="s">
        <v>411</v>
      </c>
      <c r="F345" s="14" t="s">
        <v>693</v>
      </c>
      <c r="G345" s="14" t="s">
        <v>417</v>
      </c>
      <c r="H345" s="14" t="s">
        <v>21</v>
      </c>
    </row>
    <row r="346" spans="3:8" ht="15.75" customHeight="1">
      <c r="C346" s="9">
        <f t="shared" si="22"/>
        <v>46231</v>
      </c>
      <c r="D346" s="14" t="s">
        <v>695</v>
      </c>
      <c r="E346" s="14" t="s">
        <v>201</v>
      </c>
      <c r="F346" s="14" t="s">
        <v>693</v>
      </c>
      <c r="G346" s="14" t="s">
        <v>696</v>
      </c>
      <c r="H346" s="14" t="s">
        <v>21</v>
      </c>
    </row>
    <row r="347" spans="3:8" ht="15.75" customHeight="1">
      <c r="C347" s="9">
        <f t="shared" si="22"/>
        <v>46231</v>
      </c>
      <c r="D347" s="14" t="s">
        <v>697</v>
      </c>
      <c r="E347" s="14" t="s">
        <v>18</v>
      </c>
      <c r="F347" s="14" t="s">
        <v>693</v>
      </c>
      <c r="G347" s="14" t="s">
        <v>698</v>
      </c>
      <c r="H347" s="14" t="s">
        <v>21</v>
      </c>
    </row>
    <row r="348" spans="3:8" ht="15.75" customHeight="1">
      <c r="C348" s="9">
        <f t="shared" si="22"/>
        <v>46231</v>
      </c>
      <c r="D348" s="14" t="s">
        <v>167</v>
      </c>
      <c r="E348" s="14" t="s">
        <v>699</v>
      </c>
      <c r="F348" s="14" t="s">
        <v>693</v>
      </c>
      <c r="G348" s="14" t="s">
        <v>700</v>
      </c>
      <c r="H348" s="14" t="s">
        <v>332</v>
      </c>
    </row>
    <row r="349" spans="3:8" ht="15.75" customHeight="1">
      <c r="C349" s="9">
        <f t="shared" si="22"/>
        <v>46231</v>
      </c>
      <c r="D349" s="14" t="s">
        <v>8</v>
      </c>
      <c r="E349" s="14" t="s">
        <v>701</v>
      </c>
      <c r="F349" s="14" t="s">
        <v>693</v>
      </c>
      <c r="G349" s="14" t="s">
        <v>702</v>
      </c>
      <c r="H349" s="14" t="s">
        <v>17</v>
      </c>
    </row>
    <row r="350" spans="3:8" ht="15.75" customHeight="1">
      <c r="C350" s="9">
        <f t="shared" si="22"/>
        <v>46231</v>
      </c>
      <c r="D350" s="14" t="s">
        <v>610</v>
      </c>
      <c r="E350" s="14" t="s">
        <v>179</v>
      </c>
      <c r="F350" s="14" t="s">
        <v>703</v>
      </c>
      <c r="G350" s="15" t="s">
        <v>704</v>
      </c>
      <c r="H350" s="14" t="s">
        <v>17</v>
      </c>
    </row>
    <row r="351" spans="3:8" ht="15.75" customHeight="1">
      <c r="C351" s="9">
        <f t="shared" si="22"/>
        <v>46231</v>
      </c>
      <c r="D351" s="14" t="s">
        <v>705</v>
      </c>
      <c r="E351" s="14" t="s">
        <v>706</v>
      </c>
      <c r="F351" s="14" t="s">
        <v>703</v>
      </c>
      <c r="G351" s="15" t="s">
        <v>707</v>
      </c>
      <c r="H351" s="14" t="s">
        <v>21</v>
      </c>
    </row>
    <row r="352" spans="3:8" ht="15.75" customHeight="1">
      <c r="C352" s="9">
        <f t="shared" si="22"/>
        <v>46231</v>
      </c>
      <c r="D352" s="14" t="s">
        <v>501</v>
      </c>
      <c r="E352" s="14" t="s">
        <v>27</v>
      </c>
      <c r="F352" s="14" t="s">
        <v>703</v>
      </c>
      <c r="G352" s="15" t="s">
        <v>708</v>
      </c>
      <c r="H352" s="14" t="s">
        <v>92</v>
      </c>
    </row>
    <row r="353" spans="3:8" ht="15.75" customHeight="1">
      <c r="C353" s="9">
        <f t="shared" si="22"/>
        <v>46231</v>
      </c>
      <c r="D353" s="14" t="s">
        <v>501</v>
      </c>
      <c r="E353" s="14" t="s">
        <v>34</v>
      </c>
      <c r="F353" s="14" t="s">
        <v>703</v>
      </c>
      <c r="G353" s="15" t="s">
        <v>709</v>
      </c>
      <c r="H353" s="14" t="s">
        <v>17</v>
      </c>
    </row>
    <row r="354" spans="3:8" ht="15.75" customHeight="1">
      <c r="C354" s="9">
        <f t="shared" si="22"/>
        <v>46231</v>
      </c>
      <c r="D354" s="14" t="s">
        <v>710</v>
      </c>
      <c r="E354" s="14" t="s">
        <v>201</v>
      </c>
      <c r="F354" s="14" t="s">
        <v>703</v>
      </c>
      <c r="G354" s="15" t="s">
        <v>711</v>
      </c>
      <c r="H354" s="14" t="s">
        <v>17</v>
      </c>
    </row>
    <row r="355" spans="3:8" ht="15.75" customHeight="1">
      <c r="C355" s="9">
        <f t="shared" si="22"/>
        <v>46231</v>
      </c>
      <c r="D355" s="14" t="s">
        <v>581</v>
      </c>
      <c r="E355" s="14" t="s">
        <v>713</v>
      </c>
      <c r="F355" s="14" t="s">
        <v>703</v>
      </c>
      <c r="G355" s="15" t="s">
        <v>714</v>
      </c>
      <c r="H355" s="14" t="s">
        <v>21</v>
      </c>
    </row>
    <row r="356" spans="3:8" ht="15.75" customHeight="1">
      <c r="C356" s="9">
        <f t="shared" si="22"/>
        <v>46231</v>
      </c>
      <c r="D356" s="14" t="s">
        <v>718</v>
      </c>
      <c r="E356" s="14" t="s">
        <v>18</v>
      </c>
      <c r="F356" s="14" t="s">
        <v>703</v>
      </c>
      <c r="G356" s="15" t="s">
        <v>235</v>
      </c>
      <c r="H356" s="14" t="s">
        <v>21</v>
      </c>
    </row>
    <row r="357" spans="3:8" ht="15.75" customHeight="1">
      <c r="C357" s="9">
        <f t="shared" si="22"/>
        <v>46231</v>
      </c>
      <c r="D357" s="14" t="s">
        <v>167</v>
      </c>
      <c r="E357" s="14" t="s">
        <v>18</v>
      </c>
      <c r="F357" s="14" t="s">
        <v>703</v>
      </c>
      <c r="G357" s="15" t="s">
        <v>722</v>
      </c>
      <c r="H357" s="14" t="s">
        <v>17</v>
      </c>
    </row>
    <row r="358" spans="3:8" ht="15.75" customHeight="1">
      <c r="C358" s="9">
        <f t="shared" si="22"/>
        <v>46231</v>
      </c>
      <c r="D358" s="14" t="s">
        <v>167</v>
      </c>
      <c r="E358" s="14" t="s">
        <v>10</v>
      </c>
      <c r="F358" s="14" t="s">
        <v>703</v>
      </c>
      <c r="G358" s="15" t="s">
        <v>461</v>
      </c>
      <c r="H358" s="14" t="s">
        <v>17</v>
      </c>
    </row>
    <row r="359" spans="3:8" ht="15.75" customHeight="1">
      <c r="C359" s="9">
        <f t="shared" si="22"/>
        <v>46231</v>
      </c>
      <c r="D359" s="14" t="s">
        <v>501</v>
      </c>
      <c r="E359" s="14" t="s">
        <v>193</v>
      </c>
      <c r="F359" s="14" t="s">
        <v>703</v>
      </c>
      <c r="G359" s="15" t="s">
        <v>725</v>
      </c>
      <c r="H359" s="14" t="s">
        <v>17</v>
      </c>
    </row>
    <row r="360" spans="3:8" ht="15.75" customHeight="1">
      <c r="C360" s="9">
        <f t="shared" si="22"/>
        <v>46231</v>
      </c>
      <c r="D360" s="14" t="s">
        <v>728</v>
      </c>
      <c r="E360" s="14" t="s">
        <v>18</v>
      </c>
      <c r="F360" s="14" t="s">
        <v>615</v>
      </c>
      <c r="G360" s="15" t="s">
        <v>730</v>
      </c>
      <c r="H360" s="14" t="s">
        <v>21</v>
      </c>
    </row>
    <row r="361" spans="3:8" ht="15.75" customHeight="1">
      <c r="C361" s="9">
        <f t="shared" si="22"/>
        <v>46231</v>
      </c>
      <c r="D361" s="14" t="s">
        <v>733</v>
      </c>
      <c r="E361" s="14" t="s">
        <v>18</v>
      </c>
      <c r="F361" s="14" t="s">
        <v>615</v>
      </c>
      <c r="G361" s="23" t="s">
        <v>735</v>
      </c>
      <c r="H361" s="14" t="s">
        <v>21</v>
      </c>
    </row>
    <row r="362" spans="3:8" ht="15.75" customHeight="1">
      <c r="C362" s="24">
        <v>46232</v>
      </c>
      <c r="D362" s="14" t="s">
        <v>227</v>
      </c>
      <c r="E362" s="14" t="s">
        <v>284</v>
      </c>
      <c r="F362" s="14" t="s">
        <v>615</v>
      </c>
      <c r="G362" s="15" t="s">
        <v>712</v>
      </c>
      <c r="H362" s="14" t="s">
        <v>16</v>
      </c>
    </row>
    <row r="363" spans="3:8" ht="15.75" customHeight="1">
      <c r="C363" s="9">
        <f t="shared" ref="C363:C375" si="23">C362</f>
        <v>46232</v>
      </c>
      <c r="D363" s="14" t="s">
        <v>715</v>
      </c>
      <c r="E363" s="14" t="s">
        <v>716</v>
      </c>
      <c r="F363" s="14" t="s">
        <v>615</v>
      </c>
      <c r="G363" s="15" t="s">
        <v>717</v>
      </c>
      <c r="H363" s="14" t="s">
        <v>205</v>
      </c>
    </row>
    <row r="364" spans="3:8" ht="15.75" customHeight="1">
      <c r="C364" s="9">
        <f t="shared" si="23"/>
        <v>46232</v>
      </c>
      <c r="D364" s="14" t="s">
        <v>501</v>
      </c>
      <c r="E364" s="14" t="s">
        <v>98</v>
      </c>
      <c r="F364" s="14" t="s">
        <v>499</v>
      </c>
      <c r="G364" s="15" t="s">
        <v>719</v>
      </c>
      <c r="H364" s="14" t="s">
        <v>720</v>
      </c>
    </row>
    <row r="365" spans="3:8" ht="15.75" customHeight="1">
      <c r="C365" s="9">
        <f t="shared" si="23"/>
        <v>46232</v>
      </c>
      <c r="D365" s="14" t="s">
        <v>501</v>
      </c>
      <c r="E365" s="14" t="s">
        <v>721</v>
      </c>
      <c r="F365" s="14" t="s">
        <v>499</v>
      </c>
      <c r="G365" s="15" t="s">
        <v>723</v>
      </c>
      <c r="H365" s="14" t="s">
        <v>229</v>
      </c>
    </row>
    <row r="366" spans="3:8" ht="15.75" customHeight="1">
      <c r="C366" s="9">
        <f t="shared" si="23"/>
        <v>46232</v>
      </c>
      <c r="D366" s="14" t="s">
        <v>167</v>
      </c>
      <c r="E366" s="14" t="s">
        <v>182</v>
      </c>
      <c r="F366" s="14" t="s">
        <v>499</v>
      </c>
      <c r="G366" s="15" t="s">
        <v>724</v>
      </c>
      <c r="H366" s="14" t="s">
        <v>17</v>
      </c>
    </row>
    <row r="367" spans="3:8" ht="15.75" customHeight="1">
      <c r="C367" s="9">
        <f t="shared" si="23"/>
        <v>46232</v>
      </c>
      <c r="D367" s="14" t="s">
        <v>501</v>
      </c>
      <c r="E367" s="14" t="s">
        <v>201</v>
      </c>
      <c r="F367" s="14" t="s">
        <v>499</v>
      </c>
      <c r="G367" s="15" t="s">
        <v>623</v>
      </c>
      <c r="H367" s="14" t="s">
        <v>17</v>
      </c>
    </row>
    <row r="368" spans="3:8" ht="15.75" customHeight="1">
      <c r="C368" s="9">
        <f t="shared" si="23"/>
        <v>46232</v>
      </c>
      <c r="D368" s="14" t="s">
        <v>501</v>
      </c>
      <c r="E368" s="14" t="s">
        <v>726</v>
      </c>
      <c r="F368" s="14" t="s">
        <v>499</v>
      </c>
      <c r="G368" s="15" t="s">
        <v>727</v>
      </c>
      <c r="H368" s="14" t="s">
        <v>17</v>
      </c>
    </row>
    <row r="369" spans="3:8" ht="15.75" customHeight="1">
      <c r="C369" s="9">
        <f t="shared" si="23"/>
        <v>46232</v>
      </c>
      <c r="D369" s="14" t="s">
        <v>729</v>
      </c>
      <c r="E369" s="14" t="s">
        <v>22</v>
      </c>
      <c r="F369" s="14" t="s">
        <v>499</v>
      </c>
      <c r="G369" s="15" t="s">
        <v>731</v>
      </c>
      <c r="H369" s="14" t="s">
        <v>205</v>
      </c>
    </row>
    <row r="370" spans="3:8" ht="15.75" customHeight="1">
      <c r="C370" s="9">
        <f t="shared" si="23"/>
        <v>46232</v>
      </c>
      <c r="D370" s="14" t="s">
        <v>732</v>
      </c>
      <c r="E370" s="14" t="s">
        <v>244</v>
      </c>
      <c r="F370" s="14" t="s">
        <v>499</v>
      </c>
      <c r="G370" s="15" t="s">
        <v>734</v>
      </c>
      <c r="H370" s="14" t="s">
        <v>205</v>
      </c>
    </row>
    <row r="371" spans="3:8" ht="15.75" customHeight="1">
      <c r="C371" s="9">
        <f t="shared" si="23"/>
        <v>46232</v>
      </c>
      <c r="D371" s="14" t="s">
        <v>736</v>
      </c>
      <c r="E371" s="14" t="s">
        <v>558</v>
      </c>
      <c r="F371" s="14" t="s">
        <v>499</v>
      </c>
      <c r="G371" s="15" t="s">
        <v>737</v>
      </c>
      <c r="H371" s="14" t="s">
        <v>205</v>
      </c>
    </row>
    <row r="372" spans="3:8" ht="15.75" customHeight="1">
      <c r="C372" s="9">
        <f t="shared" si="23"/>
        <v>46232</v>
      </c>
      <c r="D372" s="14" t="s">
        <v>738</v>
      </c>
      <c r="E372" s="14" t="s">
        <v>739</v>
      </c>
      <c r="F372" s="14" t="s">
        <v>499</v>
      </c>
      <c r="G372" s="15" t="s">
        <v>740</v>
      </c>
      <c r="H372" s="14" t="s">
        <v>205</v>
      </c>
    </row>
    <row r="373" spans="3:8" ht="15.75" customHeight="1">
      <c r="C373" s="9">
        <f t="shared" si="23"/>
        <v>46232</v>
      </c>
      <c r="D373" s="14" t="s">
        <v>741</v>
      </c>
      <c r="E373" s="14" t="s">
        <v>30</v>
      </c>
      <c r="F373" s="14" t="s">
        <v>499</v>
      </c>
      <c r="G373" s="14" t="s">
        <v>742</v>
      </c>
      <c r="H373" s="14" t="s">
        <v>205</v>
      </c>
    </row>
    <row r="374" spans="3:8" ht="15.75" customHeight="1">
      <c r="C374" s="9">
        <f t="shared" si="23"/>
        <v>46232</v>
      </c>
      <c r="D374" s="14" t="s">
        <v>743</v>
      </c>
      <c r="E374" s="14" t="s">
        <v>244</v>
      </c>
      <c r="F374" s="14" t="s">
        <v>499</v>
      </c>
      <c r="G374" s="15" t="s">
        <v>744</v>
      </c>
      <c r="H374" s="14" t="s">
        <v>205</v>
      </c>
    </row>
    <row r="375" spans="3:8" ht="15.75" customHeight="1">
      <c r="C375" s="9">
        <f t="shared" si="23"/>
        <v>46232</v>
      </c>
      <c r="D375" s="14" t="s">
        <v>745</v>
      </c>
      <c r="E375" s="14" t="s">
        <v>558</v>
      </c>
      <c r="F375" s="14" t="s">
        <v>499</v>
      </c>
      <c r="G375" s="15" t="s">
        <v>737</v>
      </c>
      <c r="H375" s="14" t="s">
        <v>205</v>
      </c>
    </row>
    <row r="376" spans="3:8" ht="15.75" customHeight="1"/>
    <row r="377" spans="3:8" ht="15.75" customHeight="1"/>
    <row r="378" spans="3:8" ht="15.75" customHeight="1"/>
    <row r="379" spans="3:8" ht="15.75" customHeight="1"/>
    <row r="380" spans="3:8" ht="15.75" customHeight="1"/>
    <row r="381" spans="3:8" ht="15.75" customHeight="1"/>
    <row r="382" spans="3:8" ht="15.75" customHeight="1"/>
    <row r="383" spans="3:8" ht="15.75" customHeight="1"/>
    <row r="384" spans="3:8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H6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00"/>
  <sheetViews>
    <sheetView workbookViewId="0"/>
  </sheetViews>
  <sheetFormatPr defaultColWidth="12.59765625" defaultRowHeight="15" customHeight="1"/>
  <cols>
    <col min="1" max="3" width="10.69921875" customWidth="1"/>
    <col min="4" max="4" width="38.69921875" customWidth="1"/>
    <col min="5" max="5" width="18.3984375" customWidth="1"/>
    <col min="6" max="6" width="20.69921875" customWidth="1"/>
    <col min="7" max="7" width="70.69921875" customWidth="1"/>
    <col min="8" max="8" width="20.69921875" customWidth="1"/>
    <col min="9" max="18" width="10.69921875" customWidth="1"/>
    <col min="19" max="26" width="8.59765625" customWidth="1"/>
  </cols>
  <sheetData>
    <row r="1" spans="2:23" ht="9.75" customHeight="1"/>
    <row r="2" spans="2:23" ht="9.75" customHeight="1"/>
    <row r="3" spans="2:23" ht="9.75" customHeight="1"/>
    <row r="4" spans="2:23" ht="9.75" customHeight="1">
      <c r="B4" s="26" t="s">
        <v>0</v>
      </c>
      <c r="C4" s="27"/>
      <c r="D4" s="27"/>
      <c r="E4" s="27"/>
      <c r="F4" s="27"/>
      <c r="G4" s="27"/>
      <c r="H4" s="28"/>
    </row>
    <row r="5" spans="2:23" ht="9.75" customHeight="1">
      <c r="B5" s="29"/>
      <c r="C5" s="30"/>
      <c r="D5" s="30"/>
      <c r="E5" s="30"/>
      <c r="F5" s="30"/>
      <c r="G5" s="30"/>
      <c r="H5" s="31"/>
    </row>
    <row r="6" spans="2:23" ht="9.75" customHeight="1">
      <c r="B6" s="32"/>
      <c r="C6" s="33"/>
      <c r="D6" s="33"/>
      <c r="E6" s="33"/>
      <c r="F6" s="33"/>
      <c r="G6" s="33"/>
      <c r="H6" s="34"/>
    </row>
    <row r="7" spans="2:23" ht="9.75" customHeight="1"/>
    <row r="8" spans="2:23" ht="9.75" customHeight="1"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</row>
    <row r="9" spans="2:23" ht="9.75" customHeight="1">
      <c r="B9" s="3">
        <v>1</v>
      </c>
      <c r="C9" s="24">
        <v>46172</v>
      </c>
      <c r="D9" s="25"/>
      <c r="E9" s="12"/>
      <c r="F9" s="12"/>
      <c r="G9" s="12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ht="9.75" customHeight="1">
      <c r="B10" s="8">
        <f t="shared" ref="B10:B108" si="0">B9+1</f>
        <v>2</v>
      </c>
      <c r="C10" s="9">
        <f t="shared" ref="C10:C108" si="1">C9</f>
        <v>46172</v>
      </c>
      <c r="D10" s="12"/>
      <c r="E10" s="12"/>
      <c r="F10" s="12"/>
      <c r="G10" s="12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ht="9.75" customHeight="1">
      <c r="B11" s="8">
        <f t="shared" si="0"/>
        <v>3</v>
      </c>
      <c r="C11" s="9">
        <f t="shared" si="1"/>
        <v>46172</v>
      </c>
      <c r="D11" s="12"/>
      <c r="E11" s="12"/>
      <c r="F11" s="12"/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9.75" customHeight="1">
      <c r="B12" s="8">
        <f t="shared" si="0"/>
        <v>4</v>
      </c>
      <c r="C12" s="9">
        <f t="shared" si="1"/>
        <v>46172</v>
      </c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ht="9.75" customHeight="1">
      <c r="B13" s="8">
        <f t="shared" si="0"/>
        <v>5</v>
      </c>
      <c r="C13" s="9">
        <f t="shared" si="1"/>
        <v>46172</v>
      </c>
      <c r="D13" s="12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ht="9.75" customHeight="1">
      <c r="B14" s="8">
        <f t="shared" si="0"/>
        <v>6</v>
      </c>
      <c r="C14" s="9">
        <f t="shared" si="1"/>
        <v>46172</v>
      </c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ht="9.75" customHeight="1">
      <c r="B15" s="8">
        <f t="shared" si="0"/>
        <v>7</v>
      </c>
      <c r="C15" s="9">
        <f t="shared" si="1"/>
        <v>46172</v>
      </c>
      <c r="D15" s="12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ht="9.75" customHeight="1">
      <c r="B16" s="8">
        <f t="shared" si="0"/>
        <v>8</v>
      </c>
      <c r="C16" s="9">
        <f t="shared" si="1"/>
        <v>46172</v>
      </c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ht="9.75" customHeight="1">
      <c r="B17" s="8">
        <f t="shared" si="0"/>
        <v>9</v>
      </c>
      <c r="C17" s="9">
        <f t="shared" si="1"/>
        <v>46172</v>
      </c>
      <c r="D17" s="13"/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9.75" customHeight="1">
      <c r="B18" s="8">
        <f t="shared" si="0"/>
        <v>10</v>
      </c>
      <c r="C18" s="9">
        <f t="shared" si="1"/>
        <v>46172</v>
      </c>
      <c r="D18" s="13"/>
      <c r="E18" s="13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9.75" customHeight="1">
      <c r="B19" s="8">
        <f t="shared" si="0"/>
        <v>11</v>
      </c>
      <c r="C19" s="9">
        <f t="shared" si="1"/>
        <v>46172</v>
      </c>
      <c r="D19" s="13"/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9.75" customHeight="1">
      <c r="B20" s="8">
        <f t="shared" si="0"/>
        <v>12</v>
      </c>
      <c r="C20" s="9">
        <f t="shared" si="1"/>
        <v>46172</v>
      </c>
      <c r="D20" s="13"/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ht="9.75" customHeight="1">
      <c r="B21" s="8">
        <f t="shared" si="0"/>
        <v>13</v>
      </c>
      <c r="C21" s="9">
        <f t="shared" si="1"/>
        <v>46172</v>
      </c>
      <c r="D21" s="13"/>
      <c r="E21" s="13"/>
      <c r="F21" s="13"/>
      <c r="G21" s="13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ht="9.75" customHeight="1">
      <c r="B22" s="8">
        <f t="shared" si="0"/>
        <v>14</v>
      </c>
      <c r="C22" s="9">
        <f t="shared" si="1"/>
        <v>46172</v>
      </c>
      <c r="D22" s="13"/>
      <c r="E22" s="13"/>
      <c r="F22" s="13"/>
      <c r="G22" s="13"/>
      <c r="H22" s="1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ht="9.75" customHeight="1">
      <c r="B23" s="8">
        <f t="shared" si="0"/>
        <v>15</v>
      </c>
      <c r="C23" s="9">
        <f t="shared" si="1"/>
        <v>46172</v>
      </c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ht="9.75" customHeight="1">
      <c r="B24" s="8">
        <f t="shared" si="0"/>
        <v>16</v>
      </c>
      <c r="C24" s="9">
        <f t="shared" si="1"/>
        <v>46172</v>
      </c>
      <c r="D24" s="13"/>
      <c r="E24" s="13"/>
      <c r="F24" s="13"/>
      <c r="G24" s="13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ht="9.75" customHeight="1">
      <c r="B25" s="8">
        <f t="shared" si="0"/>
        <v>17</v>
      </c>
      <c r="C25" s="9">
        <f t="shared" si="1"/>
        <v>46172</v>
      </c>
      <c r="D25" s="13"/>
      <c r="E25" s="13"/>
      <c r="F25" s="13"/>
      <c r="G25" s="13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ht="9.75" customHeight="1">
      <c r="B26" s="8">
        <f t="shared" si="0"/>
        <v>18</v>
      </c>
      <c r="C26" s="9">
        <f t="shared" si="1"/>
        <v>46172</v>
      </c>
      <c r="D26" s="13"/>
      <c r="E26" s="13"/>
      <c r="F26" s="13"/>
      <c r="G26" s="13"/>
      <c r="H26" s="1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ht="9.75" customHeight="1">
      <c r="B27" s="8">
        <f t="shared" si="0"/>
        <v>19</v>
      </c>
      <c r="C27" s="9">
        <f t="shared" si="1"/>
        <v>46172</v>
      </c>
      <c r="D27" s="13"/>
      <c r="E27" s="13"/>
      <c r="F27" s="13"/>
      <c r="G27" s="13"/>
      <c r="H27" s="1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ht="9.75" customHeight="1">
      <c r="B28" s="8">
        <f t="shared" si="0"/>
        <v>20</v>
      </c>
      <c r="C28" s="9">
        <f t="shared" si="1"/>
        <v>46172</v>
      </c>
      <c r="D28" s="13"/>
      <c r="E28" s="13"/>
      <c r="F28" s="13"/>
      <c r="G28" s="13"/>
      <c r="H28" s="1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9.75" customHeight="1">
      <c r="B29" s="8">
        <f t="shared" si="0"/>
        <v>21</v>
      </c>
      <c r="C29" s="9">
        <f t="shared" si="1"/>
        <v>46172</v>
      </c>
      <c r="D29" s="13"/>
      <c r="E29" s="13"/>
      <c r="F29" s="13"/>
      <c r="G29" s="13"/>
      <c r="H29" s="1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9.75" customHeight="1">
      <c r="B30" s="8">
        <f t="shared" si="0"/>
        <v>22</v>
      </c>
      <c r="C30" s="9">
        <f t="shared" si="1"/>
        <v>46172</v>
      </c>
      <c r="D30" s="13"/>
      <c r="E30" s="13"/>
      <c r="F30" s="13"/>
      <c r="G30" s="13"/>
      <c r="H30" s="1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ht="9.75" customHeight="1">
      <c r="B31" s="8">
        <f t="shared" si="0"/>
        <v>23</v>
      </c>
      <c r="C31" s="9">
        <f t="shared" si="1"/>
        <v>46172</v>
      </c>
      <c r="D31" s="13"/>
      <c r="E31" s="13"/>
      <c r="F31" s="13"/>
      <c r="G31" s="13"/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9.75" customHeight="1">
      <c r="B32" s="8">
        <f t="shared" si="0"/>
        <v>24</v>
      </c>
      <c r="C32" s="9">
        <f t="shared" si="1"/>
        <v>46172</v>
      </c>
      <c r="D32" s="13"/>
      <c r="E32" s="13"/>
      <c r="F32" s="13"/>
      <c r="G32" s="13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9.75" customHeight="1">
      <c r="B33" s="8">
        <f t="shared" si="0"/>
        <v>25</v>
      </c>
      <c r="C33" s="9">
        <f t="shared" si="1"/>
        <v>46172</v>
      </c>
      <c r="D33" s="13"/>
      <c r="E33" s="13"/>
      <c r="F33" s="13"/>
      <c r="G33" s="13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ht="9.75" customHeight="1">
      <c r="B34" s="8">
        <f t="shared" si="0"/>
        <v>26</v>
      </c>
      <c r="C34" s="9">
        <f t="shared" si="1"/>
        <v>46172</v>
      </c>
      <c r="D34" s="13"/>
      <c r="E34" s="13"/>
      <c r="F34" s="13"/>
      <c r="G34" s="13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ht="9.75" customHeight="1">
      <c r="B35" s="8">
        <f t="shared" si="0"/>
        <v>27</v>
      </c>
      <c r="C35" s="9">
        <f t="shared" si="1"/>
        <v>46172</v>
      </c>
      <c r="D35" s="19"/>
      <c r="E35" s="19"/>
      <c r="F35" s="13"/>
      <c r="G35" s="19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ht="9.75" customHeight="1">
      <c r="B36" s="8">
        <f t="shared" si="0"/>
        <v>28</v>
      </c>
      <c r="C36" s="9">
        <f t="shared" si="1"/>
        <v>46172</v>
      </c>
      <c r="D36" s="19"/>
      <c r="E36" s="19"/>
      <c r="F36" s="19"/>
      <c r="G36" s="19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ht="9.75" customHeight="1">
      <c r="B37" s="8">
        <f t="shared" si="0"/>
        <v>29</v>
      </c>
      <c r="C37" s="9">
        <f t="shared" si="1"/>
        <v>46172</v>
      </c>
      <c r="D37" s="19"/>
      <c r="E37" s="19"/>
      <c r="F37" s="19"/>
      <c r="G37" s="19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9.75" customHeight="1">
      <c r="B38" s="8">
        <f t="shared" si="0"/>
        <v>30</v>
      </c>
      <c r="C38" s="9">
        <f t="shared" si="1"/>
        <v>46172</v>
      </c>
      <c r="D38" s="19"/>
      <c r="E38" s="19"/>
      <c r="F38" s="19"/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9.75" customHeight="1">
      <c r="B39" s="8">
        <f t="shared" si="0"/>
        <v>31</v>
      </c>
      <c r="C39" s="9">
        <f t="shared" si="1"/>
        <v>46172</v>
      </c>
      <c r="D39" s="19"/>
      <c r="E39" s="19"/>
      <c r="F39" s="19"/>
      <c r="G39" s="19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9.75" customHeight="1">
      <c r="B40" s="8">
        <f t="shared" si="0"/>
        <v>32</v>
      </c>
      <c r="C40" s="9">
        <f t="shared" si="1"/>
        <v>46172</v>
      </c>
      <c r="D40" s="19"/>
      <c r="E40" s="19"/>
      <c r="F40" s="19"/>
      <c r="G40" s="19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t="9.75" customHeight="1">
      <c r="B41" s="8">
        <f t="shared" si="0"/>
        <v>33</v>
      </c>
      <c r="C41" s="9">
        <f t="shared" si="1"/>
        <v>46172</v>
      </c>
      <c r="D41" s="19"/>
      <c r="E41" s="19"/>
      <c r="F41" s="19"/>
      <c r="G41" s="19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t="9.75" customHeight="1">
      <c r="B42" s="8">
        <f t="shared" si="0"/>
        <v>34</v>
      </c>
      <c r="C42" s="9">
        <f t="shared" si="1"/>
        <v>46172</v>
      </c>
      <c r="D42" s="19"/>
      <c r="E42" s="19"/>
      <c r="F42" s="19"/>
      <c r="G42" s="19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9.75" customHeight="1">
      <c r="B43" s="8">
        <f t="shared" si="0"/>
        <v>35</v>
      </c>
      <c r="C43" s="9">
        <f t="shared" si="1"/>
        <v>46172</v>
      </c>
      <c r="D43" s="19"/>
      <c r="E43" s="19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9.75" customHeight="1">
      <c r="B44" s="8">
        <f t="shared" si="0"/>
        <v>36</v>
      </c>
      <c r="C44" s="9">
        <f t="shared" si="1"/>
        <v>46172</v>
      </c>
      <c r="D44" s="19"/>
      <c r="E44" s="19"/>
      <c r="F44" s="19"/>
      <c r="G44" s="19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9.75" customHeight="1">
      <c r="B45" s="8">
        <f t="shared" si="0"/>
        <v>37</v>
      </c>
      <c r="C45" s="9">
        <f t="shared" si="1"/>
        <v>46172</v>
      </c>
      <c r="D45" s="19"/>
      <c r="E45" s="19"/>
      <c r="F45" s="19"/>
      <c r="G45" s="19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9.75" customHeight="1">
      <c r="B46" s="8">
        <f t="shared" si="0"/>
        <v>38</v>
      </c>
      <c r="C46" s="9">
        <f t="shared" si="1"/>
        <v>46172</v>
      </c>
      <c r="D46" s="19"/>
      <c r="E46" s="19"/>
      <c r="F46" s="19"/>
      <c r="G46" s="19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9.75" customHeight="1">
      <c r="B47" s="8">
        <f t="shared" si="0"/>
        <v>39</v>
      </c>
      <c r="C47" s="9">
        <f t="shared" si="1"/>
        <v>46172</v>
      </c>
      <c r="D47" s="19"/>
      <c r="E47" s="19"/>
      <c r="F47" s="19"/>
      <c r="G47" s="19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9.75" customHeight="1">
      <c r="B48" s="8">
        <f t="shared" si="0"/>
        <v>40</v>
      </c>
      <c r="C48" s="9">
        <f t="shared" si="1"/>
        <v>46172</v>
      </c>
      <c r="D48" s="19"/>
      <c r="E48" s="19"/>
      <c r="F48" s="19"/>
      <c r="G48" s="19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9.75" customHeight="1">
      <c r="B49" s="8">
        <f t="shared" si="0"/>
        <v>41</v>
      </c>
      <c r="C49" s="9">
        <f t="shared" si="1"/>
        <v>46172</v>
      </c>
      <c r="D49" s="19"/>
      <c r="E49" s="19"/>
      <c r="F49" s="19"/>
      <c r="G49" s="19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9.75" customHeight="1">
      <c r="B50" s="8">
        <f t="shared" si="0"/>
        <v>42</v>
      </c>
      <c r="C50" s="9">
        <f t="shared" si="1"/>
        <v>46172</v>
      </c>
      <c r="D50" s="19"/>
      <c r="E50" s="19"/>
      <c r="F50" s="19"/>
      <c r="G50" s="19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9.75" customHeight="1">
      <c r="B51" s="8">
        <f t="shared" si="0"/>
        <v>43</v>
      </c>
      <c r="C51" s="9">
        <f t="shared" si="1"/>
        <v>46172</v>
      </c>
      <c r="D51" s="19"/>
      <c r="E51" s="19"/>
      <c r="F51" s="19"/>
      <c r="G51" s="19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9.75" customHeight="1">
      <c r="B52" s="8">
        <f t="shared" si="0"/>
        <v>44</v>
      </c>
      <c r="C52" s="9">
        <f t="shared" si="1"/>
        <v>46172</v>
      </c>
      <c r="D52" s="19"/>
      <c r="E52" s="19"/>
      <c r="F52" s="19"/>
      <c r="G52" s="19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9.75" customHeight="1">
      <c r="B53" s="8">
        <f t="shared" si="0"/>
        <v>45</v>
      </c>
      <c r="C53" s="9">
        <f t="shared" si="1"/>
        <v>46172</v>
      </c>
      <c r="D53" s="19"/>
      <c r="E53" s="19"/>
      <c r="F53" s="19"/>
      <c r="G53" s="19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9.75" customHeight="1">
      <c r="B54" s="8">
        <f t="shared" si="0"/>
        <v>46</v>
      </c>
      <c r="C54" s="9">
        <f t="shared" si="1"/>
        <v>46172</v>
      </c>
      <c r="D54" s="19"/>
      <c r="E54" s="19"/>
      <c r="F54" s="19"/>
      <c r="G54" s="19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9.75" customHeight="1">
      <c r="B55" s="8">
        <f t="shared" si="0"/>
        <v>47</v>
      </c>
      <c r="C55" s="9">
        <f t="shared" si="1"/>
        <v>46172</v>
      </c>
      <c r="D55" s="19"/>
      <c r="E55" s="19"/>
      <c r="F55" s="19"/>
      <c r="G55" s="19"/>
      <c r="H55" s="19"/>
    </row>
    <row r="56" spans="2:23" ht="9.75" customHeight="1">
      <c r="B56" s="8">
        <f t="shared" si="0"/>
        <v>48</v>
      </c>
      <c r="C56" s="9">
        <f t="shared" si="1"/>
        <v>46172</v>
      </c>
      <c r="D56" s="19"/>
      <c r="E56" s="19"/>
      <c r="F56" s="19"/>
      <c r="G56" s="19"/>
      <c r="H56" s="19"/>
    </row>
    <row r="57" spans="2:23" ht="9.75" customHeight="1">
      <c r="B57" s="8">
        <f t="shared" si="0"/>
        <v>49</v>
      </c>
      <c r="C57" s="9">
        <f t="shared" si="1"/>
        <v>46172</v>
      </c>
      <c r="D57" s="19"/>
      <c r="E57" s="19"/>
      <c r="F57" s="19"/>
      <c r="G57" s="19"/>
      <c r="H57" s="19"/>
    </row>
    <row r="58" spans="2:23" ht="9.75" customHeight="1">
      <c r="B58" s="8">
        <f t="shared" si="0"/>
        <v>50</v>
      </c>
      <c r="C58" s="9">
        <f t="shared" si="1"/>
        <v>46172</v>
      </c>
      <c r="D58" s="19"/>
      <c r="E58" s="19"/>
      <c r="F58" s="19"/>
      <c r="G58" s="19"/>
      <c r="H58" s="19"/>
    </row>
    <row r="59" spans="2:23" ht="9.75" customHeight="1">
      <c r="B59" s="8">
        <f t="shared" si="0"/>
        <v>51</v>
      </c>
      <c r="C59" s="9">
        <f t="shared" si="1"/>
        <v>46172</v>
      </c>
      <c r="D59" s="19"/>
      <c r="E59" s="19"/>
      <c r="F59" s="19"/>
      <c r="G59" s="19"/>
      <c r="H59" s="19"/>
    </row>
    <row r="60" spans="2:23" ht="9.75" customHeight="1">
      <c r="B60" s="8">
        <f t="shared" si="0"/>
        <v>52</v>
      </c>
      <c r="C60" s="9">
        <f t="shared" si="1"/>
        <v>46172</v>
      </c>
      <c r="D60" s="19"/>
      <c r="E60" s="19"/>
      <c r="F60" s="19"/>
      <c r="G60" s="19"/>
      <c r="H60" s="19"/>
    </row>
    <row r="61" spans="2:23" ht="9.75" customHeight="1">
      <c r="B61" s="8">
        <f t="shared" si="0"/>
        <v>53</v>
      </c>
      <c r="C61" s="9">
        <f t="shared" si="1"/>
        <v>46172</v>
      </c>
      <c r="D61" s="19"/>
      <c r="E61" s="19"/>
      <c r="F61" s="19"/>
      <c r="G61" s="19"/>
      <c r="H61" s="19"/>
    </row>
    <row r="62" spans="2:23" ht="9.75" customHeight="1">
      <c r="B62" s="8">
        <f t="shared" si="0"/>
        <v>54</v>
      </c>
      <c r="C62" s="9">
        <f t="shared" si="1"/>
        <v>46172</v>
      </c>
      <c r="D62" s="19"/>
      <c r="E62" s="19"/>
      <c r="F62" s="19"/>
      <c r="G62" s="19"/>
      <c r="H62" s="19"/>
    </row>
    <row r="63" spans="2:23" ht="9.75" customHeight="1">
      <c r="B63" s="8">
        <f t="shared" si="0"/>
        <v>55</v>
      </c>
      <c r="C63" s="9">
        <f t="shared" si="1"/>
        <v>46172</v>
      </c>
      <c r="D63" s="19"/>
      <c r="E63" s="19"/>
      <c r="F63" s="19"/>
      <c r="G63" s="19"/>
      <c r="H63" s="19"/>
    </row>
    <row r="64" spans="2:23" ht="9.75" customHeight="1">
      <c r="B64" s="8">
        <f t="shared" si="0"/>
        <v>56</v>
      </c>
      <c r="C64" s="9">
        <f t="shared" si="1"/>
        <v>46172</v>
      </c>
      <c r="D64" s="19"/>
      <c r="E64" s="19"/>
      <c r="F64" s="19"/>
      <c r="G64" s="19"/>
      <c r="H64" s="19"/>
    </row>
    <row r="65" spans="2:8" ht="9.75" customHeight="1">
      <c r="B65" s="8">
        <f t="shared" si="0"/>
        <v>57</v>
      </c>
      <c r="C65" s="9">
        <f t="shared" si="1"/>
        <v>46172</v>
      </c>
      <c r="D65" s="19"/>
      <c r="E65" s="19"/>
      <c r="F65" s="19"/>
      <c r="G65" s="19"/>
      <c r="H65" s="19"/>
    </row>
    <row r="66" spans="2:8" ht="9.75" customHeight="1">
      <c r="B66" s="8">
        <f t="shared" si="0"/>
        <v>58</v>
      </c>
      <c r="C66" s="9">
        <f t="shared" si="1"/>
        <v>46172</v>
      </c>
      <c r="D66" s="19"/>
      <c r="E66" s="19"/>
      <c r="F66" s="19"/>
      <c r="G66" s="19"/>
      <c r="H66" s="19"/>
    </row>
    <row r="67" spans="2:8" ht="9.75" customHeight="1">
      <c r="B67" s="8">
        <f t="shared" si="0"/>
        <v>59</v>
      </c>
      <c r="C67" s="9">
        <f t="shared" si="1"/>
        <v>46172</v>
      </c>
      <c r="D67" s="19"/>
      <c r="E67" s="19"/>
      <c r="F67" s="19"/>
      <c r="G67" s="19"/>
      <c r="H67" s="19"/>
    </row>
    <row r="68" spans="2:8" ht="9.75" customHeight="1">
      <c r="B68" s="8">
        <f t="shared" si="0"/>
        <v>60</v>
      </c>
      <c r="C68" s="9">
        <f t="shared" si="1"/>
        <v>46172</v>
      </c>
      <c r="D68" s="19"/>
      <c r="E68" s="19"/>
      <c r="F68" s="19"/>
      <c r="G68" s="19"/>
      <c r="H68" s="19"/>
    </row>
    <row r="69" spans="2:8" ht="9.75" customHeight="1">
      <c r="B69" s="8">
        <f t="shared" si="0"/>
        <v>61</v>
      </c>
      <c r="C69" s="9">
        <f t="shared" si="1"/>
        <v>46172</v>
      </c>
      <c r="D69" s="19"/>
      <c r="E69" s="19"/>
      <c r="F69" s="19"/>
      <c r="G69" s="19"/>
      <c r="H69" s="19"/>
    </row>
    <row r="70" spans="2:8" ht="9.75" customHeight="1">
      <c r="B70" s="8">
        <f t="shared" si="0"/>
        <v>62</v>
      </c>
      <c r="C70" s="9">
        <f t="shared" si="1"/>
        <v>46172</v>
      </c>
      <c r="D70" s="19"/>
      <c r="E70" s="19"/>
      <c r="F70" s="19"/>
      <c r="G70" s="19"/>
      <c r="H70" s="19"/>
    </row>
    <row r="71" spans="2:8" ht="9.75" customHeight="1">
      <c r="B71" s="8">
        <f t="shared" si="0"/>
        <v>63</v>
      </c>
      <c r="C71" s="9">
        <f t="shared" si="1"/>
        <v>46172</v>
      </c>
      <c r="D71" s="19"/>
      <c r="E71" s="19"/>
      <c r="F71" s="19"/>
      <c r="G71" s="19"/>
      <c r="H71" s="19"/>
    </row>
    <row r="72" spans="2:8" ht="9.75" customHeight="1">
      <c r="B72" s="8">
        <f t="shared" si="0"/>
        <v>64</v>
      </c>
      <c r="C72" s="9">
        <f t="shared" si="1"/>
        <v>46172</v>
      </c>
      <c r="D72" s="19"/>
      <c r="E72" s="19"/>
      <c r="F72" s="19"/>
      <c r="G72" s="19"/>
      <c r="H72" s="19"/>
    </row>
    <row r="73" spans="2:8" ht="9.75" customHeight="1">
      <c r="B73" s="8">
        <f t="shared" si="0"/>
        <v>65</v>
      </c>
      <c r="C73" s="9">
        <f t="shared" si="1"/>
        <v>46172</v>
      </c>
      <c r="D73" s="19"/>
      <c r="E73" s="19"/>
      <c r="F73" s="19"/>
      <c r="G73" s="19"/>
      <c r="H73" s="19"/>
    </row>
    <row r="74" spans="2:8" ht="9.75" customHeight="1">
      <c r="B74" s="8">
        <f t="shared" si="0"/>
        <v>66</v>
      </c>
      <c r="C74" s="9">
        <f t="shared" si="1"/>
        <v>46172</v>
      </c>
      <c r="D74" s="19"/>
      <c r="E74" s="19"/>
      <c r="F74" s="19"/>
      <c r="G74" s="19"/>
      <c r="H74" s="19"/>
    </row>
    <row r="75" spans="2:8" ht="9.75" customHeight="1">
      <c r="B75" s="8">
        <f t="shared" si="0"/>
        <v>67</v>
      </c>
      <c r="C75" s="9">
        <f t="shared" si="1"/>
        <v>46172</v>
      </c>
      <c r="D75" s="19"/>
      <c r="E75" s="19"/>
      <c r="F75" s="19"/>
      <c r="G75" s="19"/>
      <c r="H75" s="19"/>
    </row>
    <row r="76" spans="2:8" ht="9.75" customHeight="1">
      <c r="B76" s="8">
        <f t="shared" si="0"/>
        <v>68</v>
      </c>
      <c r="C76" s="9">
        <f t="shared" si="1"/>
        <v>46172</v>
      </c>
      <c r="D76" s="19"/>
      <c r="E76" s="19"/>
      <c r="F76" s="19"/>
      <c r="G76" s="19"/>
      <c r="H76" s="19"/>
    </row>
    <row r="77" spans="2:8" ht="9.75" customHeight="1">
      <c r="B77" s="8">
        <f t="shared" si="0"/>
        <v>69</v>
      </c>
      <c r="C77" s="9">
        <f t="shared" si="1"/>
        <v>46172</v>
      </c>
      <c r="D77" s="19"/>
      <c r="E77" s="19"/>
      <c r="F77" s="19"/>
      <c r="G77" s="19"/>
      <c r="H77" s="19"/>
    </row>
    <row r="78" spans="2:8" ht="9.75" customHeight="1">
      <c r="B78" s="8">
        <f t="shared" si="0"/>
        <v>70</v>
      </c>
      <c r="C78" s="9">
        <f t="shared" si="1"/>
        <v>46172</v>
      </c>
      <c r="D78" s="19"/>
      <c r="E78" s="19"/>
      <c r="F78" s="19"/>
      <c r="G78" s="19"/>
      <c r="H78" s="19"/>
    </row>
    <row r="79" spans="2:8" ht="9.75" customHeight="1">
      <c r="B79" s="8">
        <f t="shared" si="0"/>
        <v>71</v>
      </c>
      <c r="C79" s="9">
        <f t="shared" si="1"/>
        <v>46172</v>
      </c>
      <c r="D79" s="19"/>
      <c r="E79" s="19"/>
      <c r="F79" s="19"/>
      <c r="G79" s="19"/>
      <c r="H79" s="19"/>
    </row>
    <row r="80" spans="2:8" ht="9.75" customHeight="1">
      <c r="B80" s="8">
        <f t="shared" si="0"/>
        <v>72</v>
      </c>
      <c r="C80" s="9">
        <f t="shared" si="1"/>
        <v>46172</v>
      </c>
      <c r="D80" s="19"/>
      <c r="E80" s="19"/>
      <c r="F80" s="19"/>
      <c r="G80" s="19"/>
      <c r="H80" s="19"/>
    </row>
    <row r="81" spans="2:8" ht="9.75" customHeight="1">
      <c r="B81" s="8">
        <f t="shared" si="0"/>
        <v>73</v>
      </c>
      <c r="C81" s="9">
        <f t="shared" si="1"/>
        <v>46172</v>
      </c>
      <c r="D81" s="19"/>
      <c r="E81" s="19"/>
      <c r="F81" s="19"/>
      <c r="G81" s="19"/>
      <c r="H81" s="19"/>
    </row>
    <row r="82" spans="2:8" ht="9.75" customHeight="1">
      <c r="B82" s="8">
        <f t="shared" si="0"/>
        <v>74</v>
      </c>
      <c r="C82" s="9">
        <f t="shared" si="1"/>
        <v>46172</v>
      </c>
      <c r="D82" s="19"/>
      <c r="E82" s="19"/>
      <c r="F82" s="19"/>
      <c r="G82" s="19"/>
      <c r="H82" s="19"/>
    </row>
    <row r="83" spans="2:8" ht="9.75" customHeight="1">
      <c r="B83" s="8">
        <f t="shared" si="0"/>
        <v>75</v>
      </c>
      <c r="C83" s="9">
        <f t="shared" si="1"/>
        <v>46172</v>
      </c>
      <c r="D83" s="19"/>
      <c r="E83" s="19"/>
      <c r="F83" s="19"/>
      <c r="G83" s="19"/>
      <c r="H83" s="19"/>
    </row>
    <row r="84" spans="2:8" ht="9.75" customHeight="1">
      <c r="B84" s="8">
        <f t="shared" si="0"/>
        <v>76</v>
      </c>
      <c r="C84" s="9">
        <f t="shared" si="1"/>
        <v>46172</v>
      </c>
      <c r="D84" s="19"/>
      <c r="E84" s="19"/>
      <c r="F84" s="19"/>
      <c r="G84" s="19"/>
      <c r="H84" s="19"/>
    </row>
    <row r="85" spans="2:8" ht="9.75" customHeight="1">
      <c r="B85" s="8">
        <f t="shared" si="0"/>
        <v>77</v>
      </c>
      <c r="C85" s="9">
        <f t="shared" si="1"/>
        <v>46172</v>
      </c>
      <c r="D85" s="19"/>
      <c r="E85" s="19"/>
      <c r="F85" s="19"/>
      <c r="G85" s="19"/>
      <c r="H85" s="19"/>
    </row>
    <row r="86" spans="2:8" ht="9.75" customHeight="1">
      <c r="B86" s="8">
        <f t="shared" si="0"/>
        <v>78</v>
      </c>
      <c r="C86" s="9">
        <f t="shared" si="1"/>
        <v>46172</v>
      </c>
      <c r="D86" s="19"/>
      <c r="E86" s="19"/>
      <c r="F86" s="19"/>
      <c r="G86" s="19"/>
      <c r="H86" s="19"/>
    </row>
    <row r="87" spans="2:8" ht="9.75" customHeight="1">
      <c r="B87" s="8">
        <f t="shared" si="0"/>
        <v>79</v>
      </c>
      <c r="C87" s="9">
        <f t="shared" si="1"/>
        <v>46172</v>
      </c>
      <c r="D87" s="19"/>
      <c r="E87" s="19"/>
      <c r="F87" s="19"/>
      <c r="G87" s="19"/>
      <c r="H87" s="19"/>
    </row>
    <row r="88" spans="2:8" ht="9.75" customHeight="1">
      <c r="B88" s="8">
        <f t="shared" si="0"/>
        <v>80</v>
      </c>
      <c r="C88" s="9">
        <f t="shared" si="1"/>
        <v>46172</v>
      </c>
      <c r="D88" s="19"/>
      <c r="E88" s="19"/>
      <c r="F88" s="19"/>
      <c r="G88" s="19"/>
      <c r="H88" s="19"/>
    </row>
    <row r="89" spans="2:8" ht="9.75" customHeight="1">
      <c r="B89" s="8">
        <f t="shared" si="0"/>
        <v>81</v>
      </c>
      <c r="C89" s="9">
        <f t="shared" si="1"/>
        <v>46172</v>
      </c>
      <c r="D89" s="19"/>
      <c r="E89" s="19"/>
      <c r="F89" s="19"/>
      <c r="G89" s="19"/>
      <c r="H89" s="19"/>
    </row>
    <row r="90" spans="2:8" ht="9.75" customHeight="1">
      <c r="B90" s="8">
        <f t="shared" si="0"/>
        <v>82</v>
      </c>
      <c r="C90" s="9">
        <f t="shared" si="1"/>
        <v>46172</v>
      </c>
      <c r="D90" s="19"/>
      <c r="E90" s="19"/>
      <c r="F90" s="19"/>
      <c r="G90" s="19"/>
      <c r="H90" s="19"/>
    </row>
    <row r="91" spans="2:8" ht="9.75" customHeight="1">
      <c r="B91" s="8">
        <f t="shared" si="0"/>
        <v>83</v>
      </c>
      <c r="C91" s="9">
        <f t="shared" si="1"/>
        <v>46172</v>
      </c>
      <c r="D91" s="19"/>
      <c r="E91" s="19"/>
      <c r="F91" s="19"/>
      <c r="G91" s="19"/>
      <c r="H91" s="19"/>
    </row>
    <row r="92" spans="2:8" ht="9.75" customHeight="1">
      <c r="B92" s="8">
        <f t="shared" si="0"/>
        <v>84</v>
      </c>
      <c r="C92" s="9">
        <f t="shared" si="1"/>
        <v>46172</v>
      </c>
      <c r="D92" s="19"/>
      <c r="E92" s="19"/>
      <c r="F92" s="19"/>
      <c r="G92" s="19"/>
      <c r="H92" s="19"/>
    </row>
    <row r="93" spans="2:8" ht="9.75" customHeight="1">
      <c r="B93" s="8">
        <f t="shared" si="0"/>
        <v>85</v>
      </c>
      <c r="C93" s="9">
        <f t="shared" si="1"/>
        <v>46172</v>
      </c>
      <c r="D93" s="19"/>
      <c r="E93" s="19"/>
      <c r="F93" s="19"/>
      <c r="G93" s="19"/>
      <c r="H93" s="19"/>
    </row>
    <row r="94" spans="2:8" ht="9.75" customHeight="1">
      <c r="B94" s="8">
        <f t="shared" si="0"/>
        <v>86</v>
      </c>
      <c r="C94" s="9">
        <f t="shared" si="1"/>
        <v>46172</v>
      </c>
      <c r="D94" s="19"/>
      <c r="E94" s="19"/>
      <c r="F94" s="19"/>
      <c r="G94" s="19"/>
      <c r="H94" s="19"/>
    </row>
    <row r="95" spans="2:8" ht="9.75" customHeight="1">
      <c r="B95" s="8">
        <f t="shared" si="0"/>
        <v>87</v>
      </c>
      <c r="C95" s="9">
        <f t="shared" si="1"/>
        <v>46172</v>
      </c>
      <c r="D95" s="19"/>
      <c r="E95" s="19"/>
      <c r="F95" s="19"/>
      <c r="G95" s="19"/>
      <c r="H95" s="19"/>
    </row>
    <row r="96" spans="2:8" ht="9.75" customHeight="1">
      <c r="B96" s="8">
        <f t="shared" si="0"/>
        <v>88</v>
      </c>
      <c r="C96" s="9">
        <f t="shared" si="1"/>
        <v>46172</v>
      </c>
      <c r="D96" s="19"/>
      <c r="E96" s="19"/>
      <c r="F96" s="19"/>
      <c r="G96" s="19"/>
      <c r="H96" s="19"/>
    </row>
    <row r="97" spans="2:8" ht="9.75" customHeight="1">
      <c r="B97" s="8">
        <f t="shared" si="0"/>
        <v>89</v>
      </c>
      <c r="C97" s="9">
        <f t="shared" si="1"/>
        <v>46172</v>
      </c>
      <c r="D97" s="19"/>
      <c r="E97" s="19"/>
      <c r="F97" s="19"/>
      <c r="G97" s="19"/>
      <c r="H97" s="19"/>
    </row>
    <row r="98" spans="2:8" ht="9.75" customHeight="1">
      <c r="B98" s="8">
        <f t="shared" si="0"/>
        <v>90</v>
      </c>
      <c r="C98" s="9">
        <f t="shared" si="1"/>
        <v>46172</v>
      </c>
      <c r="D98" s="19"/>
      <c r="E98" s="19"/>
      <c r="F98" s="19"/>
      <c r="G98" s="19"/>
      <c r="H98" s="19"/>
    </row>
    <row r="99" spans="2:8" ht="9.75" customHeight="1">
      <c r="B99" s="8">
        <f t="shared" si="0"/>
        <v>91</v>
      </c>
      <c r="C99" s="9">
        <f t="shared" si="1"/>
        <v>46172</v>
      </c>
      <c r="D99" s="19"/>
      <c r="E99" s="19"/>
      <c r="F99" s="19"/>
      <c r="G99" s="19"/>
      <c r="H99" s="19"/>
    </row>
    <row r="100" spans="2:8" ht="9.75" customHeight="1">
      <c r="B100" s="8">
        <f t="shared" si="0"/>
        <v>92</v>
      </c>
      <c r="C100" s="9">
        <f t="shared" si="1"/>
        <v>46172</v>
      </c>
      <c r="D100" s="19"/>
      <c r="E100" s="19"/>
      <c r="F100" s="19"/>
      <c r="G100" s="19"/>
      <c r="H100" s="19"/>
    </row>
    <row r="101" spans="2:8" ht="9.75" customHeight="1">
      <c r="B101" s="8">
        <f t="shared" si="0"/>
        <v>93</v>
      </c>
      <c r="C101" s="9">
        <f t="shared" si="1"/>
        <v>46172</v>
      </c>
      <c r="D101" s="19"/>
      <c r="E101" s="19"/>
      <c r="F101" s="19"/>
      <c r="G101" s="19"/>
      <c r="H101" s="19"/>
    </row>
    <row r="102" spans="2:8" ht="9.75" customHeight="1">
      <c r="B102" s="8">
        <f t="shared" si="0"/>
        <v>94</v>
      </c>
      <c r="C102" s="9">
        <f t="shared" si="1"/>
        <v>46172</v>
      </c>
      <c r="D102" s="19"/>
      <c r="E102" s="19"/>
      <c r="F102" s="19"/>
      <c r="G102" s="19"/>
      <c r="H102" s="19"/>
    </row>
    <row r="103" spans="2:8" ht="9.75" customHeight="1">
      <c r="B103" s="8">
        <f t="shared" si="0"/>
        <v>95</v>
      </c>
      <c r="C103" s="9">
        <f t="shared" si="1"/>
        <v>46172</v>
      </c>
      <c r="D103" s="19"/>
      <c r="E103" s="19"/>
      <c r="F103" s="19"/>
      <c r="G103" s="19"/>
      <c r="H103" s="19"/>
    </row>
    <row r="104" spans="2:8" ht="9.75" customHeight="1">
      <c r="B104" s="8">
        <f t="shared" si="0"/>
        <v>96</v>
      </c>
      <c r="C104" s="9">
        <f t="shared" si="1"/>
        <v>46172</v>
      </c>
      <c r="D104" s="19"/>
      <c r="E104" s="19"/>
      <c r="F104" s="19"/>
      <c r="G104" s="19"/>
      <c r="H104" s="19"/>
    </row>
    <row r="105" spans="2:8" ht="9.75" customHeight="1">
      <c r="B105" s="8">
        <f t="shared" si="0"/>
        <v>97</v>
      </c>
      <c r="C105" s="9">
        <f t="shared" si="1"/>
        <v>46172</v>
      </c>
      <c r="D105" s="19"/>
      <c r="E105" s="19"/>
      <c r="F105" s="19"/>
      <c r="G105" s="19"/>
      <c r="H105" s="19"/>
    </row>
    <row r="106" spans="2:8" ht="9.75" customHeight="1">
      <c r="B106" s="8">
        <f t="shared" si="0"/>
        <v>98</v>
      </c>
      <c r="C106" s="9">
        <f t="shared" si="1"/>
        <v>46172</v>
      </c>
      <c r="D106" s="19"/>
      <c r="E106" s="19"/>
      <c r="F106" s="19"/>
      <c r="G106" s="19"/>
      <c r="H106" s="19"/>
    </row>
    <row r="107" spans="2:8" ht="9.75" customHeight="1">
      <c r="B107" s="8">
        <f t="shared" si="0"/>
        <v>99</v>
      </c>
      <c r="C107" s="9">
        <f t="shared" si="1"/>
        <v>46172</v>
      </c>
      <c r="D107" s="19"/>
      <c r="E107" s="19"/>
      <c r="F107" s="19"/>
      <c r="G107" s="19"/>
      <c r="H107" s="19"/>
    </row>
    <row r="108" spans="2:8" ht="9.75" customHeight="1">
      <c r="B108" s="8">
        <f t="shared" si="0"/>
        <v>100</v>
      </c>
      <c r="C108" s="9">
        <f t="shared" si="1"/>
        <v>46172</v>
      </c>
      <c r="D108" s="19"/>
      <c r="E108" s="19"/>
      <c r="F108" s="19"/>
      <c r="G108" s="19"/>
      <c r="H108" s="19"/>
    </row>
    <row r="109" spans="2:8" ht="9.75" customHeight="1"/>
    <row r="110" spans="2:8" ht="15.75" customHeight="1"/>
    <row r="111" spans="2:8" ht="15.75" customHeight="1"/>
    <row r="112" spans="2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H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01JUL</vt:lpstr>
      <vt:lpstr>31MAIO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Dan</dc:creator>
  <cp:lastModifiedBy>Carlos Eduardo</cp:lastModifiedBy>
  <dcterms:created xsi:type="dcterms:W3CDTF">2026-02-20T18:05:42Z</dcterms:created>
  <dcterms:modified xsi:type="dcterms:W3CDTF">2026-08-04T11:55:28Z</dcterms:modified>
</cp:coreProperties>
</file>