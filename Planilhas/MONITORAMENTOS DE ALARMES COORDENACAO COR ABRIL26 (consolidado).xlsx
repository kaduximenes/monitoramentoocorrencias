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2980" windowHeight="9024"/>
  </bookViews>
  <sheets>
    <sheet name="abr" sheetId="1" r:id="rId1"/>
  </sheets>
  <calcPr calcId="145621"/>
</workbook>
</file>

<file path=xl/calcChain.xml><?xml version="1.0" encoding="utf-8"?>
<calcChain xmlns="http://schemas.openxmlformats.org/spreadsheetml/2006/main">
  <c r="C270" i="1" l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45" i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41" i="1"/>
  <c r="C242" i="1" s="1"/>
  <c r="C243" i="1" s="1"/>
  <c r="C240" i="1"/>
  <c r="C234" i="1"/>
  <c r="C235" i="1" s="1"/>
  <c r="C236" i="1" s="1"/>
  <c r="C237" i="1" s="1"/>
  <c r="C238" i="1" s="1"/>
  <c r="C216" i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15" i="1"/>
  <c r="C201" i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193" i="1"/>
  <c r="C194" i="1" s="1"/>
  <c r="C195" i="1" s="1"/>
  <c r="C196" i="1" s="1"/>
  <c r="C197" i="1" s="1"/>
  <c r="C198" i="1" s="1"/>
  <c r="C199" i="1" s="1"/>
  <c r="C170" i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56" i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55" i="1"/>
  <c r="C149" i="1"/>
  <c r="C150" i="1" s="1"/>
  <c r="C151" i="1" s="1"/>
  <c r="C152" i="1" s="1"/>
  <c r="C153" i="1" s="1"/>
  <c r="C148" i="1"/>
  <c r="C137" i="1"/>
  <c r="C138" i="1" s="1"/>
  <c r="C139" i="1" s="1"/>
  <c r="C140" i="1" s="1"/>
  <c r="C141" i="1" s="1"/>
  <c r="C142" i="1" s="1"/>
  <c r="C143" i="1" s="1"/>
  <c r="C144" i="1" s="1"/>
  <c r="C145" i="1" s="1"/>
  <c r="C146" i="1" s="1"/>
  <c r="C136" i="1"/>
  <c r="C126" i="1"/>
  <c r="C127" i="1" s="1"/>
  <c r="C128" i="1" s="1"/>
  <c r="C129" i="1" s="1"/>
  <c r="C130" i="1" s="1"/>
  <c r="C131" i="1" s="1"/>
  <c r="C132" i="1" s="1"/>
  <c r="C133" i="1" s="1"/>
  <c r="C134" i="1" s="1"/>
  <c r="C125" i="1"/>
  <c r="C122" i="1"/>
  <c r="C123" i="1" s="1"/>
  <c r="C121" i="1"/>
  <c r="C103" i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85" i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84" i="1"/>
  <c r="C72" i="1"/>
  <c r="C73" i="1" s="1"/>
  <c r="C74" i="1" s="1"/>
  <c r="C75" i="1" s="1"/>
  <c r="C76" i="1" s="1"/>
  <c r="C77" i="1" s="1"/>
  <c r="C78" i="1" s="1"/>
  <c r="C79" i="1" s="1"/>
  <c r="C80" i="1" s="1"/>
  <c r="C81" i="1" s="1"/>
  <c r="C71" i="1"/>
  <c r="C63" i="1"/>
  <c r="C64" i="1" s="1"/>
  <c r="C65" i="1" s="1"/>
  <c r="C66" i="1" s="1"/>
  <c r="C67" i="1" s="1"/>
  <c r="C68" i="1" s="1"/>
  <c r="C69" i="1" s="1"/>
  <c r="C61" i="1"/>
  <c r="C48" i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41" i="1"/>
  <c r="C42" i="1" s="1"/>
  <c r="C43" i="1" s="1"/>
  <c r="C44" i="1" s="1"/>
  <c r="C45" i="1" s="1"/>
  <c r="C46" i="1" s="1"/>
  <c r="C40" i="1"/>
  <c r="C27" i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24" i="1"/>
  <c r="C25" i="1" s="1"/>
  <c r="C23" i="1"/>
  <c r="C16" i="1"/>
  <c r="C17" i="1" s="1"/>
  <c r="C18" i="1" s="1"/>
  <c r="C19" i="1" s="1"/>
  <c r="C20" i="1" s="1"/>
  <c r="C21" i="1" s="1"/>
  <c r="C15" i="1"/>
  <c r="C13" i="1"/>
  <c r="C12" i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11" i="1"/>
  <c r="C10" i="1"/>
  <c r="B10" i="1"/>
</calcChain>
</file>

<file path=xl/sharedStrings.xml><?xml version="1.0" encoding="utf-8"?>
<sst xmlns="http://schemas.openxmlformats.org/spreadsheetml/2006/main" count="1362" uniqueCount="507">
  <si>
    <t>MONITORAMENTO DE OCORRÊNCIAS APURADAS PELA COORDENAÇÃO COR</t>
  </si>
  <si>
    <t>QTE</t>
  </si>
  <si>
    <t>Data</t>
  </si>
  <si>
    <t>Alarmes utilizados</t>
  </si>
  <si>
    <t>Ocorrência</t>
  </si>
  <si>
    <t>Equipe</t>
  </si>
  <si>
    <t>Endereço</t>
  </si>
  <si>
    <t>Agência Validadora</t>
  </si>
  <si>
    <t>Videowall - TIXXI - Cam - 45</t>
  </si>
  <si>
    <t>AC 2 MT</t>
  </si>
  <si>
    <t>Matheus/Vinícius/Alex</t>
  </si>
  <si>
    <t>Av Padre Leonel Franca - Alt. Praça Sibélius - Sent. Lagoa</t>
  </si>
  <si>
    <t>VideoWall - TIXX - 4398</t>
  </si>
  <si>
    <t>Enguiço UT</t>
  </si>
  <si>
    <t>Av Brasil - Alt. Marinha Mercante - Sent. Z. Oeste - P. Central</t>
  </si>
  <si>
    <t xml:space="preserve">Google maps </t>
  </si>
  <si>
    <t xml:space="preserve">Operação Policial </t>
  </si>
  <si>
    <t xml:space="preserve">Ricardo/Matheus/Márcio </t>
  </si>
  <si>
    <t xml:space="preserve">Av. Dom João VI - Alt. Saída do túnel - Sent. Santa Cruz - Guaratiba </t>
  </si>
  <si>
    <t xml:space="preserve">CET-RIO </t>
  </si>
  <si>
    <t>Wazer - TIXXI - Cam - 493</t>
  </si>
  <si>
    <t>AC 2 VP</t>
  </si>
  <si>
    <t>Vinícius/Diego/Marcio</t>
  </si>
  <si>
    <t>Estrada de Jacarépagua - Alt. N° 7690 - Sent. Estrada do Gabinal</t>
  </si>
  <si>
    <t>Wazer - TIXXI - Cam - 4348</t>
  </si>
  <si>
    <t>AC VP xPoste</t>
  </si>
  <si>
    <t>Av Brasil - Caju - Alt. Estação BRT Vasco da Gama - Sent. Centro</t>
  </si>
  <si>
    <t>Google Maps - Tixxi</t>
  </si>
  <si>
    <t>Maggessi - Hugo - Leonardo</t>
  </si>
  <si>
    <t>Avenida Brasil - Alt. Passarela 14 - Sent. Centro - Olaria</t>
  </si>
  <si>
    <t>CET-RIO</t>
  </si>
  <si>
    <t>Manutenção na via (COMLURB)</t>
  </si>
  <si>
    <t>Avenida Brasil - Alt. Passarela 35 - Ambos sentidos - Guadalupe</t>
  </si>
  <si>
    <t>TIXXI</t>
  </si>
  <si>
    <t xml:space="preserve">Google Maps </t>
  </si>
  <si>
    <t>Manutenção na via (SECONSERVA)</t>
  </si>
  <si>
    <t>Elevado Engenheiro Freyssinet - Sent. Lagoa - Rio Comprido</t>
  </si>
  <si>
    <t>AC ON x MT</t>
  </si>
  <si>
    <t>Av. Dom Helder Câmara - Alt. Rua Eng. Nazareth - Sent. Benfica - Abolição</t>
  </si>
  <si>
    <t>Av. Eng. Carlos de Carvalho - Alt. Av. Imperatriz Leopoldina - Sent. Av. Ayrton Senna - Barra Olímpica</t>
  </si>
  <si>
    <t>CICC</t>
  </si>
  <si>
    <t>Enguiço VP</t>
  </si>
  <si>
    <t>Avenida Brasil - Alt. Passarela 2 - Sent. Centro - Caju</t>
  </si>
  <si>
    <t>AC VP x MT</t>
  </si>
  <si>
    <t>Avenida Brasil - Alt. Passarela 5 - Sent. Z. Oeste - Benfica</t>
  </si>
  <si>
    <t>Avenida Brasil - Alt. Passarela 8 - Sent. Centro - Bonsucesso</t>
  </si>
  <si>
    <t>Wazer - TIXXI -Cam - 5580</t>
  </si>
  <si>
    <t>Vinícius/Diego/Alex</t>
  </si>
  <si>
    <t>Rua Prefeito Olímpio de Melo - Alt. ALERJ - Ambos sentidos( Meio da Via )</t>
  </si>
  <si>
    <t xml:space="preserve">Tixxi - Cam 112 </t>
  </si>
  <si>
    <t xml:space="preserve">Matheus/Ricardo/Alex </t>
  </si>
  <si>
    <t xml:space="preserve">Av. Borges de Medeiros - Alt. Av. Epitácio Pessoa - Sent. Centro - Lagoa </t>
  </si>
  <si>
    <t xml:space="preserve">TIXXI </t>
  </si>
  <si>
    <t xml:space="preserve">Enguiço VP </t>
  </si>
  <si>
    <t xml:space="preserve">Linha Amarela - Alt. Acesso 8 - Sent. Barra da Tijuca - Bonsucesso </t>
  </si>
  <si>
    <t xml:space="preserve">LAMSA </t>
  </si>
  <si>
    <t>Tixxi - Cam 18</t>
  </si>
  <si>
    <t xml:space="preserve">AC TX x MT </t>
  </si>
  <si>
    <t xml:space="preserve">Av. Borges de Medeiros - Alt. R. Márioi Ribeiro - Sent. Leblon - Lagoa </t>
  </si>
  <si>
    <t xml:space="preserve">TIXXI - CET-RIO </t>
  </si>
  <si>
    <t>Google Maps - Tixxi - Cam 4209</t>
  </si>
  <si>
    <t xml:space="preserve">AC ON x VP </t>
  </si>
  <si>
    <t xml:space="preserve">Avenida Dom Hélder Câmara - Alt. Vto. de Cascadura - Sent. Del Castilho - Cascadura </t>
  </si>
  <si>
    <t xml:space="preserve">AC 2 VP </t>
  </si>
  <si>
    <t xml:space="preserve">Avenida Brasil - Alt. R. Petroria - Sent. Centro - Bangu </t>
  </si>
  <si>
    <t xml:space="preserve">CICC </t>
  </si>
  <si>
    <t>Google.maps</t>
  </si>
  <si>
    <t>Daniel/Vitor/Leonardo</t>
  </si>
  <si>
    <t>Túnel Rebouças, 1º galeria - Santa Teresa - Sentido Lagoa</t>
  </si>
  <si>
    <t>Informação coletada com o CBMERJ</t>
  </si>
  <si>
    <t xml:space="preserve">Incêndio em Imóvel </t>
  </si>
  <si>
    <t>Av. São Francisco Xavier, Alt. UERJ - Maracanã</t>
  </si>
  <si>
    <t>CBMERJ</t>
  </si>
  <si>
    <t>Alarme Hexagon, Jarvis, Google.maps</t>
  </si>
  <si>
    <t>Av. das Américas, Alt. Golfe Olímpico - Barra da Tijuca - Sentido S. Conrado</t>
  </si>
  <si>
    <t>Av. Ayrton Senna, Alt. Ponte Santos Dumont - Sentido Orla</t>
  </si>
  <si>
    <t>Av. Ayrton Senna, Alt. Hospital Lourenço Jorge - Barra da Tijuca - Sentido Linha Amarela</t>
  </si>
  <si>
    <t>Google.maps, Tixxi</t>
  </si>
  <si>
    <t>Enguiço ON</t>
  </si>
  <si>
    <t>Av. Brasil, ALt. Passarela 14 - Olaria - Sentido Oeste</t>
  </si>
  <si>
    <t>Obra na via (LIGHT)</t>
  </si>
  <si>
    <t xml:space="preserve">R. das Laranjeiras, 125 - Laranjeiras </t>
  </si>
  <si>
    <t>CET-RIO, LIGHT</t>
  </si>
  <si>
    <t>Operação Policial</t>
  </si>
  <si>
    <t>Av. Rei Pelé, Alt. Museu do Índio - Maracanã - Sentido Meier</t>
  </si>
  <si>
    <t>Tixxi</t>
  </si>
  <si>
    <t>Linha Vermelha, Km 11 - Sentido Baixada</t>
  </si>
  <si>
    <t>AC 6 VP</t>
  </si>
  <si>
    <t>Matheus/Ricardo/Márcio</t>
  </si>
  <si>
    <t xml:space="preserve">Transolímpica - Alt. Est. Marechal Fontenelle - Sent. Av. Brasil - Jardim Sulacap </t>
  </si>
  <si>
    <t xml:space="preserve">CCO Transolímpica </t>
  </si>
  <si>
    <t>Tixxi - Cam 6729</t>
  </si>
  <si>
    <t xml:space="preserve">Matheus/Ricardo/Márcio </t>
  </si>
  <si>
    <t xml:space="preserve">Av. das Américas - Alt. Est. BRT Nova Barra - Sent. Barra da Tijuca - Recreio dos Bandeirantes </t>
  </si>
  <si>
    <t>Maps</t>
  </si>
  <si>
    <t>Maggessi / Hugo / Carlos</t>
  </si>
  <si>
    <t>Av. Lucio Costa. Alt Posto 8 - Sent. São Conrado</t>
  </si>
  <si>
    <t>CET RIO</t>
  </si>
  <si>
    <t>Maps / Tixxi</t>
  </si>
  <si>
    <t>Enguiço CM</t>
  </si>
  <si>
    <t>Elevado do gasômetro - Sent. Centro</t>
  </si>
  <si>
    <t>Atropelamento</t>
  </si>
  <si>
    <t xml:space="preserve">AV LUIS CARLOS PRESTES,  ALT. BARRA SHOOPING </t>
  </si>
  <si>
    <t>AV DAS AMERICAS , 7907 - BRT AMERICAS PARQUES</t>
  </si>
  <si>
    <t>AC VP x BC</t>
  </si>
  <si>
    <t>AV BRASIL , 17515 - IRAJA - ALT. INSS DE IRAJA - SENTIDO CENTRO</t>
  </si>
  <si>
    <t>Av. Brasil, Caju - Alt. Acesso a Ponte Rio Niterói - Sent. Niterói.</t>
  </si>
  <si>
    <t>Maps - TIXXI - Cam 65</t>
  </si>
  <si>
    <t>AC UT x MT</t>
  </si>
  <si>
    <t>Vinícius/Diego/Márcio</t>
  </si>
  <si>
    <t>Av das Américas - Barra - Alt. Bosque Marapendi - Sent. Recreio</t>
  </si>
  <si>
    <t>CET RIO - TIXXI</t>
  </si>
  <si>
    <t>Maps - TIXXI - Cam 03</t>
  </si>
  <si>
    <t>Emguiço VP</t>
  </si>
  <si>
    <t>Av Presidente Vargas - P. Central - Alt. Central do Brasil - Sent. Praça da Bandeira.</t>
  </si>
  <si>
    <t xml:space="preserve">Carlos / Maggessi / Hugo / Felipe </t>
  </si>
  <si>
    <t>LINHA VERMELHA - ALT. KM 12 - SENT. CENTRO - CORDOVIL</t>
  </si>
  <si>
    <t xml:space="preserve">Google Maps / wase </t>
  </si>
  <si>
    <t>ac 3 VP</t>
  </si>
  <si>
    <t>LINHA AMARELA - ALT. VIADUTO DA GABINAL, SENT. BARRA - CIDADE DE DEUS</t>
  </si>
  <si>
    <t>OPVIA</t>
  </si>
  <si>
    <t>AVENIDA AYRTON SENNA - ALT. CIDADE DAS ARTES - SENT. ORLA - BARRA DA TIJUCA</t>
  </si>
  <si>
    <t xml:space="preserve">Google Maps / wase / Tixxi </t>
  </si>
  <si>
    <t>Atropelamento VP</t>
  </si>
  <si>
    <t>AVENIDA DAS AMÉRICAS - ALT. AV. ALFREDO BALTHAZAR DA SILVEIRA - SENT. SÃO CONRADO - RECREIO DOS BANDEIRANTES</t>
  </si>
  <si>
    <t>ELEVADO DAS BANDEIRAS - SENT. SÃO CONRADO - JOÁ</t>
  </si>
  <si>
    <t xml:space="preserve">AC UT x VP   </t>
  </si>
  <si>
    <t>AVENIDA ATLÂNTICA - ALT. AV. PRINCESA ISABEL - COPACABANA</t>
  </si>
  <si>
    <t xml:space="preserve">Manifestação </t>
  </si>
  <si>
    <t xml:space="preserve"> LINHA VERMELHA - ALT. KM 3.5 - SENT. CENTRO - CAJU</t>
  </si>
  <si>
    <t>TIxxi</t>
  </si>
  <si>
    <t>TÚNEL ANDRÉ REBOUÇAS - 1° GALERIA SENT. CENTRO - COSME VELHO</t>
  </si>
  <si>
    <t>Wazer - TIXXI - Cam - 4049</t>
  </si>
  <si>
    <t>Estrada do Monteiro - Alt. N° 648</t>
  </si>
  <si>
    <t>VideoWall - TIXXI - Cam 135</t>
  </si>
  <si>
    <t>Avenida Ayrton Senna - Acesso para Gardênia</t>
  </si>
  <si>
    <t>VideoWall - TIXXI</t>
  </si>
  <si>
    <t>Incêndio em Imóvel</t>
  </si>
  <si>
    <t>Avenida Ayrton Senna - N° 4260</t>
  </si>
  <si>
    <t xml:space="preserve">AC Envol. VP </t>
  </si>
  <si>
    <t>Matheus/Ricardo/Alex</t>
  </si>
  <si>
    <t xml:space="preserve">Estr. da Barra da Tijuca - Alt. Av. Armando Lombardi - Sent. Recreio dos Bandeirantes - Barra da Tijuca </t>
  </si>
  <si>
    <t xml:space="preserve">Enguiçio VP </t>
  </si>
  <si>
    <t xml:space="preserve">R. Voluntários da Pátria - Alt. R. Nelson Mandela - Botafogo </t>
  </si>
  <si>
    <t>Av. Ayrton Senna - Alt. Ponte Santos Dumont - Sent. Linha Amarela - Barra da Tijuca</t>
  </si>
  <si>
    <t>Wazer - TIXXI - Cam 4018</t>
  </si>
  <si>
    <t>AC MT x Poste</t>
  </si>
  <si>
    <t>Estrada dos Bandeirantes - N° 100 - Taquara - Sent. Tanque</t>
  </si>
  <si>
    <t>CBMERJ COR - TIXXI</t>
  </si>
  <si>
    <t>Wazer - Google Maps</t>
  </si>
  <si>
    <t>Capotamento VP</t>
  </si>
  <si>
    <t>Av. Infante Dom Henrique - Alt. Museu Carmen Miranda - Sent. Centro</t>
  </si>
  <si>
    <t>GM - Wazer</t>
  </si>
  <si>
    <t>Wazer - Google Maps - TIXXI - Cam 3212</t>
  </si>
  <si>
    <t>Av Ayrton Senna - Alt. Ponte Santos Drumont - Sent. Orla</t>
  </si>
  <si>
    <t>TIXXI - Wazer - Google Maps</t>
  </si>
  <si>
    <t xml:space="preserve">Wazzer - Google Maps - TIXXI - Cam </t>
  </si>
  <si>
    <t>OperaçãoPolicial</t>
  </si>
  <si>
    <t>Rua Humaitá - Alt. N° 425 - Sent. Gávea</t>
  </si>
  <si>
    <t>TIXXI - Cam 112</t>
  </si>
  <si>
    <t>Acesso Viaduto Saint Hilaire - Sent. Centro</t>
  </si>
  <si>
    <t>Ocorrência CBMERJ</t>
  </si>
  <si>
    <t>Ponte Santos Drumont - P. Lateral - Sent. Linha Amarela</t>
  </si>
  <si>
    <t>Wazer - CET RIO</t>
  </si>
  <si>
    <t>Wazer - TIXXI - Cam 421</t>
  </si>
  <si>
    <t>Av Brigadeiro Trompowski - Alt. Av Horácio de Macedo</t>
  </si>
  <si>
    <t>Wazer - TIXXI</t>
  </si>
  <si>
    <t>Wazer - TIXXI - Cam - 7183</t>
  </si>
  <si>
    <t>Av Geremário Dantas - Alt. Estrada do Timdiba</t>
  </si>
  <si>
    <t>TIXXI - Cam - 5217</t>
  </si>
  <si>
    <t>Rua araújo de Porto Alegre - Alt. Av Graça Aranha</t>
  </si>
  <si>
    <t>Google.maps / Tixxi</t>
  </si>
  <si>
    <t>Manutenção na via (LIGHT)</t>
  </si>
  <si>
    <t>Daniel / Hugo / Carlos e Felipe</t>
  </si>
  <si>
    <t>Av. Geremário Dantas x Estr. dos Três Rios - Freguesia</t>
  </si>
  <si>
    <t>Alarme Hexagon, Google.maps</t>
  </si>
  <si>
    <t>AC TX x MT</t>
  </si>
  <si>
    <t>Av. Brasil, Alt. Vila Militar - Sentido Centro</t>
  </si>
  <si>
    <t>Elevado 31 de Março, Alt. Sambódromo - Sentido Sto Cristo</t>
  </si>
  <si>
    <t>Av. Prudente de Moraes, 830- Ipanema</t>
  </si>
  <si>
    <t>Estr. do Tindiba, 673 - Taquara</t>
  </si>
  <si>
    <t>AC 2 VPs</t>
  </si>
  <si>
    <t>R. Adelaide Badajos, 15 - Osvaldo Cruz</t>
  </si>
  <si>
    <t>R. Vinte de Abril - Centro</t>
  </si>
  <si>
    <t>Av. Emb. Abelardo Bueno, Alt. BRT Minha Praia - Barra Olímpica</t>
  </si>
  <si>
    <t>Google Maps</t>
  </si>
  <si>
    <t>Operação Lei Seca</t>
  </si>
  <si>
    <t>Avenida Salvador Allende - Alt. N° 6300 - P. lateral - Sent. Transolímpica.</t>
  </si>
  <si>
    <t>Google Maps - CET RIO</t>
  </si>
  <si>
    <t>AC 3 VPs</t>
  </si>
  <si>
    <t>Avenida Brasil - P. Central - Alt. Hospital Municipal Albert Schweitzer - Sent. Z. Oeste</t>
  </si>
  <si>
    <t>Google Maps - TIXXI - Cam 5330</t>
  </si>
  <si>
    <t>Av Borgues de Medeiros - Alt. N° 1627 - Sent. Gávea.</t>
  </si>
  <si>
    <t>Av. Brasil - Alt. Batan - P. Central - Sent. Z. Oeste</t>
  </si>
  <si>
    <t xml:space="preserve">Enguiço vp </t>
  </si>
  <si>
    <t xml:space="preserve">Daniel / Hugo / Felipe </t>
  </si>
  <si>
    <t>LINHA AMARELA - ALT. SAÍDA 07 - SENT. FUNDÃO - BONSUCESSO</t>
  </si>
  <si>
    <t xml:space="preserve">Tixxi </t>
  </si>
  <si>
    <t>AC CM X 2VP</t>
  </si>
  <si>
    <t xml:space="preserve"> TRANSOLÍMPICA - ALT. R. SAMPAIO CORRÊA - SENT. RECREIO DOS BANDEIRANTES - CURICICA</t>
  </si>
  <si>
    <t>ELEVADO DAS BANDEIRAS - TABLADO SUPERIOR - SENT. SÃO CONRADO - JOÁ</t>
  </si>
  <si>
    <t>CET</t>
  </si>
  <si>
    <t>Google maps / Tixxi</t>
  </si>
  <si>
    <t>ENguiço Tx</t>
  </si>
  <si>
    <t>ELEVADO DO GASÔMETRO - ALT. INTO - SENT. CENTRO - CAJU</t>
  </si>
  <si>
    <t>MANUTENÇÃO NA VIA (ÁGUAS DO RIO)</t>
  </si>
  <si>
    <t>RUA TEIXEIRA SOARES - ALT. R. PARÁ - - MARACANÃ</t>
  </si>
  <si>
    <t>Google maps / TIxxi</t>
  </si>
  <si>
    <t>ATROPELAMENTO MT</t>
  </si>
  <si>
    <t>VIADUTO SAN TIAGO DANTAS - SENT. CENTRO - BOTAFOGO</t>
  </si>
  <si>
    <t>OPERAÇÃO POLICIAL</t>
  </si>
  <si>
    <t>AVENIDA REI PELÉ - ALT. MUSEU DO ÍNDIO - SENT. MÉIER - MARACANÃ</t>
  </si>
  <si>
    <t>AC UT x VP</t>
  </si>
  <si>
    <t xml:space="preserve">Rua Elias Da Silva - Piedade - Alt. Viaduto </t>
  </si>
  <si>
    <t>Av. Embaixador Abelardo Bueno, 1316 - Barra Olímpica</t>
  </si>
  <si>
    <t>INCÊNDIO EM IMÓVEL RESIDENCIAL</t>
  </si>
  <si>
    <t>RUA HENRIQUE DE ALBUQUERQUE - MARECHAL HERMES - N° 07</t>
  </si>
  <si>
    <t>AC VP X MT</t>
  </si>
  <si>
    <t>AVENIDA MARECHAL RONDON - SAMPAIO - ALT. N° 2500</t>
  </si>
  <si>
    <t>QUEDA MT</t>
  </si>
  <si>
    <t>AVENIDA DAS AMÉRICAS - BARRA DA TIJUCA - ALT. PONTE DA JOATINGA - SENT. SÃO CONRADO</t>
  </si>
  <si>
    <t>AVENIDA TRINTA E UM DE MARÇO - ALT. AV. PRESIDENTE VARGAS - SENT. SANTO CRISTO - CIDADE NOVA</t>
  </si>
  <si>
    <t>AVENIDA BRASIL - ALT. EST. BRT  VIGÁRIO GERAL  - SENT. CENTRO - CORDOVIL</t>
  </si>
  <si>
    <t>Queda MT</t>
  </si>
  <si>
    <t xml:space="preserve"> PRAIA DE BOTAFOGO - ALT. R. VISC. DE OURO PRETO - BOTAFOGO</t>
  </si>
  <si>
    <t>Google Maps - TIXXI</t>
  </si>
  <si>
    <t>Ponte Presidente Costa e Silva - Alt. Vão Central - Sent. Niteroi</t>
  </si>
  <si>
    <t>ECOVIAS</t>
  </si>
  <si>
    <t>TIXXI - Cam 7156</t>
  </si>
  <si>
    <t>Estrada do Tindiba - Sent. Pechincha</t>
  </si>
  <si>
    <t>TIXXI - Cam 471</t>
  </si>
  <si>
    <t>AC VP x Poste Informativo</t>
  </si>
  <si>
    <t>Av Salvador Allende - Alt. Rua Abrahão Jabour - Sent. Av das Américas</t>
  </si>
  <si>
    <t>TIXXI - CAM 116</t>
  </si>
  <si>
    <t>AC Envol. VP</t>
  </si>
  <si>
    <t>Av Borgues de Medeiros - Alt. Posto BR - Sent. Rebouças</t>
  </si>
  <si>
    <t>AC 3 VPS</t>
  </si>
  <si>
    <t xml:space="preserve">Daniel / Vitor / Leonardo / Felipe </t>
  </si>
  <si>
    <t>Avenida das Américas - Alt. BRT Bosque Marapendi - Sent. São Conrado - Barra da Tijuca</t>
  </si>
  <si>
    <t>Avenida Brasil - Alt. Posto Vagão - Sent. Centro - Realengo</t>
  </si>
  <si>
    <t>Estrada do Monteiro - Alt. Park Shopping - Sent. Guaratiba - Campo Grande</t>
  </si>
  <si>
    <t>Av. Ayrton Senna - Alt. Ponte Santos Dumont - Sent. Orla - Barra da Tijuca</t>
  </si>
  <si>
    <t>Linha Vermelha - Alt. KM 2 - Sent. Centro - Caju</t>
  </si>
  <si>
    <t xml:space="preserve">Manutenção na via </t>
  </si>
  <si>
    <t>Avenida Meriti - Alt. Av. Padre Roser - Sent. Vicente de Carvalho - Vila da Penha</t>
  </si>
  <si>
    <t>GMSUBTRAN</t>
  </si>
  <si>
    <t>Ponte da Joatinga - Sent. São Conrado - Barra da Tijuca</t>
  </si>
  <si>
    <t>Ponte Rio Niterói - Alt. Vão Central - Sent. Niterói - Caju</t>
  </si>
  <si>
    <t>ECOPONTE</t>
  </si>
  <si>
    <t>Av. Armando Lombardi - Alt. Mergulhão - Sent. São Conrado - Barra da Tijuca</t>
  </si>
  <si>
    <t>Estrada do Galeão - Alt. N° 646 - Cacuia</t>
  </si>
  <si>
    <t>Av. Nilo Peçanha - Alt. R. Debret - Centro</t>
  </si>
  <si>
    <t xml:space="preserve">Av. Salvador Allende - Alt. Est. BRT Ilha Pura - Sent. Transolímpica - Barra Olímpica </t>
  </si>
  <si>
    <t>Atropelamento envolv. ON</t>
  </si>
  <si>
    <t>Av. Vicente de Carvalho - Alt. N° 1096 - Sent. Penha - Vila Cosmos</t>
  </si>
  <si>
    <t xml:space="preserve">Av. Amaro Cavalcanti - Alt. R. Dois de Fevereiro - Sent. Engenho de Dentro - Encantado </t>
  </si>
  <si>
    <t>R. Edgard Werneck - Alt. N° 1622 - Sent. Taquara - Cidade de Deus</t>
  </si>
  <si>
    <t>Av. Ayrton Senna - Alt. Espaço Hall - Sent. Orla - Barra da Tijuca</t>
  </si>
  <si>
    <t>R. Olívia Maia - Alt. Praça Magno - Sent. Irajá - Madureira</t>
  </si>
  <si>
    <t>Alex/Jackson/Matheus</t>
  </si>
  <si>
    <t>Túnel André Rebouças - Primeira Galeria - Sent. Centro.</t>
  </si>
  <si>
    <t>Google Maps - Alarme HXG - Tixxi</t>
  </si>
  <si>
    <t>AC UT x 2 VP</t>
  </si>
  <si>
    <t>Maggessi / Vitor / Leonardo</t>
  </si>
  <si>
    <t>Linha Vermelha  - Alt. Km 1,5 - Sent. Centro - Caju</t>
  </si>
  <si>
    <t>Linha Vermelha - Alt. Km 10 - Sent. Baixada - Galeão</t>
  </si>
  <si>
    <t>Enguiço TX</t>
  </si>
  <si>
    <t>Túnel Rebouças - 1ª Galeria - Sent. Centro - Cosme Velho</t>
  </si>
  <si>
    <t>CAM - 4395</t>
  </si>
  <si>
    <t xml:space="preserve">AC VP x Mureta </t>
  </si>
  <si>
    <t xml:space="preserve">Matheus/Márcio/Jackson </t>
  </si>
  <si>
    <t xml:space="preserve">Av. Brasil - Alt. Est. BRT Lobo Júnior - Sent. Z. Oeste - Penha </t>
  </si>
  <si>
    <t xml:space="preserve">Google Maps - Tixxi </t>
  </si>
  <si>
    <t>Daniel / Hugo / Leonardo</t>
  </si>
  <si>
    <t>Elevado Engenheiro Freyssinet - Sent. Centro - Rio Comprido</t>
  </si>
  <si>
    <t>Google Maps - Tixxi - Alarme HXG</t>
  </si>
  <si>
    <t>AC 3 VP</t>
  </si>
  <si>
    <t>Rua Uranos - Alt. N° 1469 - Sent. Bonsucesso - Olaria</t>
  </si>
  <si>
    <t>Avenida Brasil - Alt. Passarela 9 - Sent. Z. Oeste - Bonsucesso</t>
  </si>
  <si>
    <t>Avenida Brasil - Alt. Taigo - Sent. Santa Cruz - Santíssimo</t>
  </si>
  <si>
    <t>Linha Vermelha - Alt. Km 7 - Sent. Centro - Cidade Universitária</t>
  </si>
  <si>
    <t xml:space="preserve">Linha Vermelha - Alt. Km 1,5 - Sent. Centro - São Cristóvão - </t>
  </si>
  <si>
    <t>Avenida das Américas - Alt. BRT Pedra de Itaúna - Sent. São Conrado - Barra da Tijuca</t>
  </si>
  <si>
    <t>Avenida Marechal Rondon - Alt. R. São Paulo - Sampaio</t>
  </si>
  <si>
    <t>Avenida Salvador Allende - Alt. BRT Tapebuias - Sent. Transolímpica - Barra de Tijuca</t>
  </si>
  <si>
    <t>VP x MT</t>
  </si>
  <si>
    <t>Daniel / Hugo / Carlos Henrique / Felipe</t>
  </si>
  <si>
    <t>Av. das Américas, Alt. BRT Guimar de Novaes - Recreio</t>
  </si>
  <si>
    <t>3 VPs</t>
  </si>
  <si>
    <t>Av. Ayrton Senna, Alt. Ponte Santos Dumont - Barra da Tijuca</t>
  </si>
  <si>
    <t>Estr. da Barra da Tijuca, Alt. Av. Fidelfo de Azevedo - Itanhangá</t>
  </si>
  <si>
    <t>CBMERJ, CET-RIO</t>
  </si>
  <si>
    <t>BRT x VP</t>
  </si>
  <si>
    <t>Av. das Américas, Alt. BRT Pontões/Barra Sul - Recreio</t>
  </si>
  <si>
    <t>Ocorrência Policial</t>
  </si>
  <si>
    <t>Av. Radial Oeste, Alt. R. Gal Canabarro - Maracanã</t>
  </si>
  <si>
    <t>PMERJ</t>
  </si>
  <si>
    <t>Ocorrência coletada com o CBMERJ</t>
  </si>
  <si>
    <t>R. Augusto de Vasconcelos, 680 - Campo Grande</t>
  </si>
  <si>
    <t>CM x ON x MT</t>
  </si>
  <si>
    <t>R. Mal Rondon, Alt. R. Mal Bittencourt - Sampaio</t>
  </si>
  <si>
    <t>ON x MT</t>
  </si>
  <si>
    <t>R. Marmiari, Alt. CMS Alexander Fleming - Senador Camará</t>
  </si>
  <si>
    <t>TIXXI - Cam 4666</t>
  </si>
  <si>
    <t>Estrada Marechal Alencastro - Alt. Praça Claudio de Souza - Sent. Deodoro</t>
  </si>
  <si>
    <t>TIXXI - Cam 324</t>
  </si>
  <si>
    <t>Rua Pompeu Loureiro x Rua Bolivar</t>
  </si>
  <si>
    <t>TIXXI - Cam 7323</t>
  </si>
  <si>
    <t>Enguiço MT</t>
  </si>
  <si>
    <t>Estrada Intendente Magalhães x Rua Jambeiro</t>
  </si>
  <si>
    <t>TIXX</t>
  </si>
  <si>
    <t xml:space="preserve">Google Maps / Tixxi </t>
  </si>
  <si>
    <t xml:space="preserve">Maggessi / Felipe / Carlos / Vitor </t>
  </si>
  <si>
    <t>ESTRADA DOS BANDEIRANTES - ALT. R. SOLDADO JOSÉ COSTA - SENT. BARRA DA TIJUCA - TAQUARA</t>
  </si>
  <si>
    <t>Manutenção na via (SMARTLUZ)</t>
  </si>
  <si>
    <t>AVENIDA PADRE LEONEL FRANCA - ALT. PRAÇA SIBÉLIUS - SENT. LAGOA - GÁVEA</t>
  </si>
  <si>
    <t xml:space="preserve"> LINHA VERMELHA - ALT. KM 12 - SENT. BAIXADA - CORDOVIL</t>
  </si>
  <si>
    <t>AVENIDA BRASIL - BATAN - SENT. CENTRO - REALENGO</t>
  </si>
  <si>
    <t xml:space="preserve"> TÚNEL SANTA BÁRBARA - SENT. LARANJEIRAS - SANTA TERESA</t>
  </si>
  <si>
    <t>TÚNEL SANTA BÁRBARA - SENT. LARANJEIRAS - SANTA TERESA</t>
  </si>
  <si>
    <t>LINHA VERMELHA - ALT. KM 17 - SENT. BAIXADA - PAVUNA</t>
  </si>
  <si>
    <t>Av. das Américas - Alt. Est. BRT Interlagos - Sent. São Conrado - Barra da Tijuca</t>
  </si>
  <si>
    <t>Transolímpica - Alt. BRT Outeiro Santo - Sent. Recreio - Taquara</t>
  </si>
  <si>
    <t>VIA-RIO</t>
  </si>
  <si>
    <t>Av. Marechal Alencastro - Alt. Parque Radical - Ambos sentidos - Deodoro</t>
  </si>
  <si>
    <t>Google Maps - TIxxi</t>
  </si>
  <si>
    <t>AC VTR X VP</t>
  </si>
  <si>
    <t>Rua Conde de Bonfim - Alt. R. Alves de Brito - Sent. Centro - Tijuca</t>
  </si>
  <si>
    <t>Av. Brasil - Alt. Passarela 32 - Sent. Z. Oeste - Guadalupe</t>
  </si>
  <si>
    <t>Av. Brasil - Alt. Passarela 32 - Sent. Centro - Guadalupe</t>
  </si>
  <si>
    <t xml:space="preserve">Viaduto dos Aviadores - Sent. Centro - Praça da Bandeira </t>
  </si>
  <si>
    <t>Av. Ayrton Senna - Alt. Espaço Hall - Sent. Orla - Gardênia Azul</t>
  </si>
  <si>
    <t>Incêndio ON</t>
  </si>
  <si>
    <t>Av. Nuta James - Alt. Condado do Caiscais - Barra da Tijuca</t>
  </si>
  <si>
    <t>AC envolv. VP</t>
  </si>
  <si>
    <t>Av. das Américas - Alt. Est. BRT Nova Barra - Sent. Barra - Recreio dos Bandeirantes</t>
  </si>
  <si>
    <t>Av. Ayrton Senna - Alt. UPTOWN - Sent. Orla - Gardênia Azul</t>
  </si>
  <si>
    <t>Linha Vermelha - Alt. KM 13 - Sent. Baixada - Cordovil</t>
  </si>
  <si>
    <t xml:space="preserve">Av. Salvador Allende - Alt. Est. BRT Catedral do Recreio - Sent. Transolímpica - Recreio dos Bandeirantes </t>
  </si>
  <si>
    <t>Av. Ayrton Senna - Alt. Assaí - Sent. Linha Amarela - Gardênia Azul</t>
  </si>
  <si>
    <t>Linha Vermelha - Alt. Km 8 - Sent. Baixada - Cidade Universitária</t>
  </si>
  <si>
    <t>Daniel / Hugo / Carlos</t>
  </si>
  <si>
    <t>Túnel Rebouças, Alt 2º Galeria - Sentido Lagoa</t>
  </si>
  <si>
    <t>Av. Borges de Medeiros, Alt. R. Maria Angélica - Sentido Rebouças</t>
  </si>
  <si>
    <t>UT x 4 VPs</t>
  </si>
  <si>
    <t>Av. Brasil, Alt. Passarela 5 - Manguinhos - Sentido Centro</t>
  </si>
  <si>
    <t>Linha Verrmelha, Km 10 - Sentido Baixada</t>
  </si>
  <si>
    <t>VP x Mureta</t>
  </si>
  <si>
    <t>Túnel Rebouças, Alt 2º Galeria - Sentido Centro</t>
  </si>
  <si>
    <t>Queda de MT</t>
  </si>
  <si>
    <t>Av. Brasil, Alt. Passarela 15 - Senti Centro</t>
  </si>
  <si>
    <t>Av. Brasil, Alt. Passarela 8 - Sentido Oeste</t>
  </si>
  <si>
    <t>Estr. da Posse, 1.206 - Campo Grande - Sentido Guaratiba</t>
  </si>
  <si>
    <t>2 MTs</t>
  </si>
  <si>
    <t>Estr. do Campinho. 4.591 - Inhoaíba - Sent. Campo Grande</t>
  </si>
  <si>
    <t xml:space="preserve">Av. de Santa Cruz, Alt. Cavalo de Aço - Senador Camará </t>
  </si>
  <si>
    <t>Incêndio imóvel Residencial</t>
  </si>
  <si>
    <t>R. Estácio de Sá, 67 - Estácio</t>
  </si>
  <si>
    <t>Estr. Guandu do Sena, 1.440 - Bangu</t>
  </si>
  <si>
    <t>Av. Brig. Delamare, 55 - Mal. Hermes</t>
  </si>
  <si>
    <t>R. Nepomuceno, Alt. R. Limites - Realengo</t>
  </si>
  <si>
    <t>Av. Areia Branca, 1.370 - Santa Cruz</t>
  </si>
  <si>
    <t>R. Dias da Cruz, 371 - Méier - Sentido Centro</t>
  </si>
  <si>
    <t>R. Ibipoara, 46 - Santa Cruz</t>
  </si>
  <si>
    <t>Av. Lúcio Costa, Alt. Ilha 9 - Barra da Tijuca</t>
  </si>
  <si>
    <t>Av. Dom João VI, Alt. BRT Magarça - Guaratiba - Sent. Barra</t>
  </si>
  <si>
    <t>Av. Pastor Martin Luther King, Alt. Nova América - Del Castilho, Sentido Pavuna</t>
  </si>
  <si>
    <t>Estr. do Cabuçu, 4356 - Campo Gande</t>
  </si>
  <si>
    <t>R. Manhuaçu, Alt. Bar Ortega - Vargem Grande</t>
  </si>
  <si>
    <t>Av. Rodrigues Alves, Alt. R. Prof. Pereira Reis - Sto. Cristo</t>
  </si>
  <si>
    <t>Enguiço CR</t>
  </si>
  <si>
    <t xml:space="preserve">Maggessi / Hugo / Felipe / Carlos </t>
  </si>
  <si>
    <t>AVENIDA BRASIL - ALT. PASSARELA 08 - SENT. CENTRO - BONSUCESSO</t>
  </si>
  <si>
    <t xml:space="preserve"> ELEVADO ENGENHEIRO FREYSSINET - SENT. LAGOA - RIO COMPRIDO</t>
  </si>
  <si>
    <t>AVENIDA BRASIL - ALT. VIADUTO DE DEODORO - SENT. Z. OESTE - DEODORO</t>
  </si>
  <si>
    <t>AVENIDA BRASIL - ALT. VIADUTO - SENT. CENTRO - DEODORO</t>
  </si>
  <si>
    <t>AVENIDA BRASIL - ALT. VIADUTO DEODORO - SENT. CENTRO - DEODORO</t>
  </si>
  <si>
    <t>AVENIDA BRASIL - ALT. PASSARELA 08 - SENT. Z. OESTE - BONSUCESSO</t>
  </si>
  <si>
    <t>LINHA VERMELHA - ALT. KM 11 - SENT. BAIXADA - GALEÃO</t>
  </si>
  <si>
    <t>Wazer - TIXXI - Cam 482</t>
  </si>
  <si>
    <t>Av. Ministro Ivan Lins - Alt. Ponte da Joatinga - Sent. Recreio</t>
  </si>
  <si>
    <t>Linha Vermelha - Alt. Km 11 - Sent. Centro - Galeão</t>
  </si>
  <si>
    <t>Av. Brasil - Alt. Linha Amarela - Sent. Centro - Bonsucesso</t>
  </si>
  <si>
    <t>Elevado Eng. Freyssinet - Alt. Entrada do Túnel Rebouças - Sent. Lagoa - Rio Comprido</t>
  </si>
  <si>
    <t>Queda de carga na via</t>
  </si>
  <si>
    <t>Av. Brasil - Alt. Av. Lobo Júnior - Sent. Z. Oeste - Penha</t>
  </si>
  <si>
    <t>Elevado Eng. Freyssinet - Sent. Lagoa - Rio Comprido</t>
  </si>
  <si>
    <t>Estr. do Mato Alto - Alt. N° 509 - Campo Grande</t>
  </si>
  <si>
    <t>Linha Vermelha - Alt. KM 1,5 - Sent. Centro - Caju</t>
  </si>
  <si>
    <t>Linha Amarela - Alt. Saída 8 - Sent. Barra - Bonsucesso</t>
  </si>
  <si>
    <t>LAMSA</t>
  </si>
  <si>
    <t>Linha Vermelha - Alt. Km 11 - Sent. Baixada - Galeão</t>
  </si>
  <si>
    <t>Linha Vermelha - Alt. kM 16 - Sent. Centro - Cordovil</t>
  </si>
  <si>
    <t>AC CM x VP</t>
  </si>
  <si>
    <t>Av. Brasil - Alt. Passarela 15 - Sent. Z. Oeste - Penha</t>
  </si>
  <si>
    <t>Av. Embaixador Abelardo Bueno - Alt. Rio II - Sent. Av. Salvador Allende - Barra Olímpica</t>
  </si>
  <si>
    <t>Atropelamento envolv. BRT</t>
  </si>
  <si>
    <t>Av. Vicente de Carvalho - Alt. R. Soldado Servino Mengarda - Sent. Penha - Vila da Penha</t>
  </si>
  <si>
    <t>CICC/CBMERJ</t>
  </si>
  <si>
    <t>Google Maps - Tixxi - CAM 69</t>
  </si>
  <si>
    <t xml:space="preserve">AC 2 VP x MT </t>
  </si>
  <si>
    <t xml:space="preserve">Alex / Matheus / Jackson </t>
  </si>
  <si>
    <t xml:space="preserve">Av. Rei Pelé - Alt. Vto Oduvaldo Cozzi - Sent. Méier - Maracanã </t>
  </si>
  <si>
    <t>Google Maps - Tixxi - Cam 3212</t>
  </si>
  <si>
    <t xml:space="preserve">Av. Ayrton Senna - Alt. Ponte Santos Dumont - Sent. Orla - Barra da Tijuca </t>
  </si>
  <si>
    <t xml:space="preserve">AC VP x MT </t>
  </si>
  <si>
    <t xml:space="preserve">Transolímpica - Alt. Est. BRT Marechal Fontenelle - Sent. Av. Brasil - Vila Militar </t>
  </si>
  <si>
    <t>Daniel / Leonardo / Felipe</t>
  </si>
  <si>
    <t>Linha Vermelha - Alt. Km 14 - Sent. Centro - Cordovil</t>
  </si>
  <si>
    <t>Rua São Clemente - Alt. R. Sorocaca - Botafogo</t>
  </si>
  <si>
    <t>AC 2 VP x MT</t>
  </si>
  <si>
    <t>Estr. dos Bandeirantes - Alt. Estr. do Guerenguê - Sent. Curicica - Taquara</t>
  </si>
  <si>
    <t>Av. Ayrton Senna - Alt. Giro do Cebolinha - Sent. Orla - Gardenia Azul</t>
  </si>
  <si>
    <t>Viaduto Alim Pedro - Sent. Guaratiba - Campo Grande</t>
  </si>
  <si>
    <t>Elevado do Gasômetro - Alt. INTO - Sent. Av. Brasil - Caju</t>
  </si>
  <si>
    <t>AC VP x 2 MT</t>
  </si>
  <si>
    <t xml:space="preserve"> LINHA VERMELHA - ALT. KM 8 - SENT. CENTRO - GALEÃO</t>
  </si>
  <si>
    <t>LIinha Vermelha - Alt. Km 13 - Sent. Centro - Cordovil</t>
  </si>
  <si>
    <t>Estr. dos Açudes - Alt. N° 41 - Alto da Boa Vista</t>
  </si>
  <si>
    <t>Av. Brasil - Alt. Passarela 17 -  Sent. Centro - Penha</t>
  </si>
  <si>
    <t>Linha Vermelha - Alt. Km 12 - Sent. Centro - Galeão</t>
  </si>
  <si>
    <t>Av. Brasil - Alt. Viaduto Ataulfo Alves - Sent. Z. Oeste - Benfica</t>
  </si>
  <si>
    <t>AC CR x VP</t>
  </si>
  <si>
    <t>Av. Brasil - Alt. Canal do Cunha - Sent. Z. Oeste - Benfica</t>
  </si>
  <si>
    <t>Atropelamento MT</t>
  </si>
  <si>
    <t>RUA MÁRIO RIBEIRO - ALT. HOSPITAL MUNICIPAL MIGUEL COUTO - SENT. LAGOA - LEBLON</t>
  </si>
  <si>
    <t>Cet-RIO</t>
  </si>
  <si>
    <t>Google Maps - Tixxi - Cam 58</t>
  </si>
  <si>
    <t xml:space="preserve">Enguiço UT </t>
  </si>
  <si>
    <t xml:space="preserve">Matheus / Jackson / Márcio </t>
  </si>
  <si>
    <t xml:space="preserve">Av. Ayrton Senna - Alt. Via Parque - Sent. Linha Amarela - Barra da Tijuca </t>
  </si>
  <si>
    <t>Google Maps - Tixxi - Cam 778</t>
  </si>
  <si>
    <t xml:space="preserve">Av. Francisco Bicalho - Alt. R. Idalina Sena - Sent. Praça da Bandeira - Santo Cristo </t>
  </si>
  <si>
    <t>Tixxi - Cam - 4580</t>
  </si>
  <si>
    <t>Matheus / Márcio / Jackson</t>
  </si>
  <si>
    <t xml:space="preserve">Av. Francisco Bicalho - Alt. Linha férrea - Sent. Av. Brasil - Praça da Bandeira </t>
  </si>
  <si>
    <t>Maps - Tixxi - Cam - 432 - 07:46</t>
  </si>
  <si>
    <t>Daniel / Hugo / Carlos H.</t>
  </si>
  <si>
    <t>Linha Vermelha, Alt. Km 7.5 - Cidade Universitária - Sent. Centro</t>
  </si>
  <si>
    <t xml:space="preserve">Maps  </t>
  </si>
  <si>
    <t>Elevado do Gasômetro - Alt. INTO - Sent. Centro</t>
  </si>
  <si>
    <t>Drone</t>
  </si>
  <si>
    <t>Linha Vermelha - Alt. Fundão - Sent. Baixada.</t>
  </si>
  <si>
    <t>Wazer - TIXXI - Cam 1083</t>
  </si>
  <si>
    <t>Ocorrência PMERJ</t>
  </si>
  <si>
    <t>Rua Bela, 909</t>
  </si>
  <si>
    <t>Google Maps - Tixxi Cam 335</t>
  </si>
  <si>
    <t xml:space="preserve">Maggessi / Hugo / Carlos / Felipe </t>
  </si>
  <si>
    <t xml:space="preserve"> RUA CONDE DE BONFIM - ALT. RUA ABELARDO CHACRINHA BARBOSA - SENT. PRAÇA DA BANDEIRA - TIJUCA</t>
  </si>
  <si>
    <t>RUA ARTUR RIOS - ALT. R. FRANCISCO MOTA - SENT. BANGU - SENADOR VASCONCELOS</t>
  </si>
  <si>
    <t>ESTRADA DOS BANDEIRANTES - ALT. ESTR. CEL. PEDRO CORRÊA  - SENT. JACAREPAGUÁ - CURICICA</t>
  </si>
  <si>
    <t>AVENIDA AYRTON SENNA - ALT. CIDADE DAS ARTES - SENT. SÃO CONRADO - BARRA DA TIJUCA</t>
  </si>
  <si>
    <t>Daniel / Vitor / Leonardo / Felipe</t>
  </si>
  <si>
    <t>Transolímpica - Alt. Est. BRT Marechal Fontenelle - Sent. Recreio - Sulacap</t>
  </si>
  <si>
    <t>VIA RIO</t>
  </si>
  <si>
    <t xml:space="preserve">Av. das Américas - Alt. Est. Guignard - Sent. Barra - Recreio dos Bandeirantes </t>
  </si>
  <si>
    <t>Linha Amarela - Alt. Saída 2 - Sent. Fundão - Água Santa</t>
  </si>
  <si>
    <t>Av. Brasil - Alt. Passarela 4 - Sent. Centro - Benfica</t>
  </si>
  <si>
    <t>Concentração de manifestantes</t>
  </si>
  <si>
    <t>Rua da Ajuda - Alt. Alerj - Centro</t>
  </si>
  <si>
    <t>Rua Boa Vista - Alt. R. Jorn. Guima - Sent. Itanhangá - Alto da Boa Vista</t>
  </si>
  <si>
    <t>Av. Salvador Allende - Alt. BRT Asa Branca - Sent. Recreio - Barra Olímpica</t>
  </si>
  <si>
    <t>Túnel Zuzu Angel - Sent. Lagoa - Rocinha</t>
  </si>
  <si>
    <t>Atropelamento envolv. MT</t>
  </si>
  <si>
    <t>Rua Real Grandeza - Alt. Cemitério - Sent. Humaitá - Botafogo</t>
  </si>
  <si>
    <t>Av. Trinta e Um de Março - Alt. R. Dr. Ladgen - Sent. Laranjeiras - Catumbi</t>
  </si>
  <si>
    <t>Av. Ayrton Senna - Alt. Espaço Hall - Sent. Linha Amarela - Gardenia Azul</t>
  </si>
  <si>
    <t>Av. Ayrton Senna - Alt. Cidade das Artes - Sent. Orla - Barra da Tijuca</t>
  </si>
  <si>
    <t>Linha Vermelha - Alt. Km 12 - Sent. Baixada - Galeão</t>
  </si>
  <si>
    <t>Av. Francisco Bicalho - Alt. Detran - Sent. Centro - Santo Cristo</t>
  </si>
  <si>
    <t>Estr. de Jacarepaguá - Alt. N° 7153 - Freguesia (Jacarepagua)</t>
  </si>
  <si>
    <t>Av. Marechal Fontenelle - Alt. N° 3610 - Sent. Bangu - Jardim Sulacap</t>
  </si>
  <si>
    <t>Av. Lúcio Costa - Alt. Av. Érico Veríssimo - Sent. São Conrado - Barra da Tijuca</t>
  </si>
  <si>
    <t>Av. Nelson Cardoso - Alt. Est. BRT Aracy Cabral - Sent. Madureira - Taquara</t>
  </si>
  <si>
    <t>Google Maps - Tixxi - Cam 1010</t>
  </si>
  <si>
    <t xml:space="preserve">Matheus / Alex / Jackson </t>
  </si>
  <si>
    <t xml:space="preserve">Av. Francisco Bicalho - Alt. Elevado da Perimetral - Sent. Av. Brasil - Santo Cristo </t>
  </si>
  <si>
    <t xml:space="preserve">Av. Brasil - Alt. BRT Baixa do Sapateiro - Sent. Centro - Bonsucesso </t>
  </si>
  <si>
    <t>Google Maps - Tiixi - Cam - 5916</t>
  </si>
  <si>
    <t xml:space="preserve">Ponte Rio - Niterói - Alt. Subida da Ponte - Sent. Niterói - Caju </t>
  </si>
  <si>
    <t>Google Mapas - Tixxi - Cam - 216</t>
  </si>
  <si>
    <t xml:space="preserve">Av. Brasil - Alt. Subida da Ponte - Sent. Niterói - Caju </t>
  </si>
  <si>
    <t>Tixxi - Cam - 112</t>
  </si>
  <si>
    <t xml:space="preserve">AC 3 VP </t>
  </si>
  <si>
    <t xml:space="preserve">Matheus / Alex /Jackson </t>
  </si>
  <si>
    <t xml:space="preserve">Viaduto Saint Hilaire - Sent. Lagoa - Jardim Botânico </t>
  </si>
  <si>
    <t>Tixxi - Cam - 92</t>
  </si>
  <si>
    <t xml:space="preserve">Atropelamento VP </t>
  </si>
  <si>
    <t xml:space="preserve">Av. Brasil - Alt. Passarela 4 - Sent. Centro - São Cristóvão </t>
  </si>
  <si>
    <t>Google Maps - Tixxi - Cam 4412</t>
  </si>
  <si>
    <t xml:space="preserve">Enguiço CM </t>
  </si>
  <si>
    <t xml:space="preserve">Av. Brasil - Alt. BRT Fazenda Botafogo - Sent. Centro - Coelho Neto </t>
  </si>
  <si>
    <t>Tixxi - Cam 58</t>
  </si>
  <si>
    <t>Av. Ayrton Senna - Alt. Via Parque - Sent. Linha Amarela - Barra da Tijuca</t>
  </si>
  <si>
    <t>Google Maps - Tixxi - Cam 138</t>
  </si>
  <si>
    <t>Av. Pastor Martin Luther King Jr. - Alt. Estr. Adhemar Bebiano - Sent. Pavuna - Engenho da Rainha</t>
  </si>
  <si>
    <t>Av. Brasil - Alt. Fiocruz - Sent. Centro - Maré</t>
  </si>
  <si>
    <t>Av. Francisco Bicalho - Alt. Leopoldina - Sent. Rodoviária - Centro</t>
  </si>
  <si>
    <t>Linha Vermelha - Alt. Km 6,5 - Sent. Centro - Cidade Universitária</t>
  </si>
  <si>
    <t xml:space="preserve">Av. Ayrton Senna - Alt. Ponte Santos Dumont - Sent. Linha Amarela - Barra da Tijuca </t>
  </si>
  <si>
    <t>Linha Vermelha - Alt. Km 7 - Sent. Baixada - Cidade Universitária</t>
  </si>
  <si>
    <t xml:space="preserve">Matheus / Márcio / Jackson </t>
  </si>
  <si>
    <t xml:space="preserve">Ponte Rio - Niterói - Santo Cristo </t>
  </si>
  <si>
    <t>Google Maps - Tixxi - Cam 571</t>
  </si>
  <si>
    <t xml:space="preserve">Óleo na via </t>
  </si>
  <si>
    <t xml:space="preserve">Av. Cesário de Melo - Alt. R. Artur Rios - Sent. Estr. da Caroba - Campo Grande </t>
  </si>
  <si>
    <t xml:space="preserve">ECOPONTE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</si>
</sst>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"/>
  </numFmts>
  <fonts count="10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0"/>
      <name val="Aptos Narrow"/>
    </font>
    <font>
      <sz val="11"/>
      <name val="Aptos Narrow"/>
    </font>
    <font>
      <sz val="8"/>
      <color theme="0"/>
      <name val="Aptos Narrow"/>
    </font>
    <font>
      <sz val="8"/>
      <color theme="1"/>
      <name val="Aptos Narrow"/>
    </font>
    <font>
      <sz val="8"/>
      <color theme="1"/>
      <name val="Arial"/>
    </font>
    <font>
      <sz val="8"/>
      <color rgb="FF333333"/>
      <name val="Arial"/>
    </font>
    <font>
      <sz val="11"/>
      <color theme="1"/>
      <name val="Arial"/>
    </font>
    <font>
      <sz val="11"/>
      <color rgb="FF333333"/>
      <name val="-apple-system"/>
    </font>
  </fonts>
  <fills count="5">
    <fill>
      <patternFill patternType="none"/>
    </fill>
    <fill>
      <patternFill patternType="gray125"/>
    </fill>
    <fill>
      <patternFill patternType="solid">
        <fgColor rgb="FF074F6A"/>
        <bgColor rgb="FF074F6A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ont="1" applyAlignme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3" borderId="9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6" fontId="6" fillId="0" borderId="10" xfId="0" applyNumberFormat="1" applyFont="1" applyBorder="1" applyAlignment="1">
      <alignment horizontal="center"/>
    </xf>
    <xf numFmtId="0" fontId="6" fillId="0" borderId="11" xfId="0" applyFont="1" applyBorder="1" applyAlignment="1"/>
    <xf numFmtId="0" fontId="5" fillId="0" borderId="0" xfId="0" applyFont="1"/>
    <xf numFmtId="0" fontId="5" fillId="0" borderId="11" xfId="0" applyFont="1" applyBorder="1" applyAlignment="1">
      <alignment horizontal="center"/>
    </xf>
    <xf numFmtId="16" fontId="5" fillId="0" borderId="11" xfId="0" applyNumberFormat="1" applyFont="1" applyBorder="1" applyAlignment="1">
      <alignment horizontal="center"/>
    </xf>
    <xf numFmtId="0" fontId="6" fillId="0" borderId="10" xfId="0" applyFont="1" applyBorder="1" applyAlignment="1"/>
    <xf numFmtId="0" fontId="6" fillId="0" borderId="11" xfId="0" applyFont="1" applyBorder="1"/>
    <xf numFmtId="0" fontId="6" fillId="0" borderId="10" xfId="0" applyFont="1" applyBorder="1"/>
    <xf numFmtId="0" fontId="5" fillId="0" borderId="11" xfId="0" applyFont="1" applyBorder="1" applyAlignment="1"/>
    <xf numFmtId="0" fontId="5" fillId="0" borderId="11" xfId="0" applyFont="1" applyBorder="1"/>
    <xf numFmtId="0" fontId="7" fillId="4" borderId="0" xfId="0" applyFont="1" applyFill="1" applyAlignment="1"/>
    <xf numFmtId="0" fontId="8" fillId="0" borderId="0" xfId="0" applyFont="1" applyAlignment="1"/>
    <xf numFmtId="0" fontId="1" fillId="0" borderId="0" xfId="0" applyFont="1" applyAlignment="1"/>
    <xf numFmtId="164" fontId="6" fillId="0" borderId="11" xfId="0" applyNumberFormat="1" applyFont="1" applyBorder="1" applyAlignment="1">
      <alignment horizontal="center"/>
    </xf>
    <xf numFmtId="0" fontId="6" fillId="0" borderId="0" xfId="0" applyFont="1" applyAlignment="1"/>
    <xf numFmtId="0" fontId="9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96"/>
  <sheetViews>
    <sheetView tabSelected="1" topLeftCell="A277" workbookViewId="0">
      <selection activeCell="B104" sqref="B104:B283"/>
    </sheetView>
  </sheetViews>
  <sheetFormatPr defaultColWidth="14" defaultRowHeight="15" customHeight="1"/>
  <cols>
    <col min="1" max="3" width="11.88671875" style="1" customWidth="1"/>
    <col min="4" max="4" width="43" style="1" customWidth="1"/>
    <col min="5" max="5" width="20.44140625" style="1" customWidth="1"/>
    <col min="6" max="6" width="33" style="1" customWidth="1"/>
    <col min="7" max="7" width="78.5546875" style="1" customWidth="1"/>
    <col min="8" max="8" width="23" style="1" customWidth="1"/>
    <col min="9" max="18" width="11.88671875" style="1" customWidth="1"/>
    <col min="19" max="26" width="9.5546875" style="1" customWidth="1"/>
    <col min="27" max="16384" width="14" style="1"/>
  </cols>
  <sheetData>
    <row r="1" spans="2:23" ht="9.75" customHeight="1"/>
    <row r="2" spans="2:23" ht="9.75" customHeight="1"/>
    <row r="3" spans="2:23" ht="9.75" customHeight="1" thickBot="1"/>
    <row r="4" spans="2:23" ht="9.75" customHeight="1">
      <c r="B4" s="2" t="s">
        <v>0</v>
      </c>
      <c r="C4" s="3"/>
      <c r="D4" s="3"/>
      <c r="E4" s="3"/>
      <c r="F4" s="3"/>
      <c r="G4" s="3"/>
      <c r="H4" s="4"/>
    </row>
    <row r="5" spans="2:23" ht="9.75" customHeight="1">
      <c r="B5" s="5"/>
      <c r="C5" s="6"/>
      <c r="D5" s="6"/>
      <c r="E5" s="6"/>
      <c r="F5" s="6"/>
      <c r="G5" s="6"/>
      <c r="H5" s="7"/>
    </row>
    <row r="6" spans="2:23" ht="9.75" customHeight="1" thickBot="1">
      <c r="B6" s="8"/>
      <c r="C6" s="9"/>
      <c r="D6" s="9"/>
      <c r="E6" s="9"/>
      <c r="F6" s="9"/>
      <c r="G6" s="9"/>
      <c r="H6" s="10"/>
    </row>
    <row r="7" spans="2:23" ht="9.75" customHeight="1" thickBot="1"/>
    <row r="8" spans="2:23" ht="9.75" customHeight="1" thickBot="1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</row>
    <row r="9" spans="2:23" ht="9.75" customHeight="1">
      <c r="B9" s="12">
        <v>1</v>
      </c>
      <c r="C9" s="13">
        <v>46113</v>
      </c>
      <c r="D9" s="14" t="s">
        <v>8</v>
      </c>
      <c r="E9" s="14" t="s">
        <v>9</v>
      </c>
      <c r="F9" s="14" t="s">
        <v>10</v>
      </c>
      <c r="G9" s="14" t="s">
        <v>11</v>
      </c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2:23" ht="9.75" customHeight="1">
      <c r="B10" s="16">
        <f t="shared" ref="B10:B73" si="0">B9+1</f>
        <v>2</v>
      </c>
      <c r="C10" s="17">
        <f t="shared" ref="C10" si="1">C9</f>
        <v>46113</v>
      </c>
      <c r="D10" s="14" t="s">
        <v>12</v>
      </c>
      <c r="E10" s="14" t="s">
        <v>13</v>
      </c>
      <c r="F10" s="14" t="s">
        <v>10</v>
      </c>
      <c r="G10" s="14" t="s">
        <v>14</v>
      </c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2:23" ht="9.75" customHeight="1">
      <c r="B11" s="16">
        <f t="shared" si="0"/>
        <v>3</v>
      </c>
      <c r="C11" s="13">
        <v>46115</v>
      </c>
      <c r="D11" s="18" t="s">
        <v>15</v>
      </c>
      <c r="E11" s="18" t="s">
        <v>16</v>
      </c>
      <c r="F11" s="18" t="s">
        <v>17</v>
      </c>
      <c r="G11" s="18" t="s">
        <v>18</v>
      </c>
      <c r="H11" s="18" t="s">
        <v>19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2:23" ht="9.75" customHeight="1">
      <c r="B12" s="16">
        <f t="shared" si="0"/>
        <v>4</v>
      </c>
      <c r="C12" s="17">
        <f t="shared" ref="C12:C13" si="2">C11</f>
        <v>46115</v>
      </c>
      <c r="D12" s="14" t="s">
        <v>20</v>
      </c>
      <c r="E12" s="14" t="s">
        <v>21</v>
      </c>
      <c r="F12" s="18" t="s">
        <v>22</v>
      </c>
      <c r="G12" s="18" t="s">
        <v>23</v>
      </c>
      <c r="H12" s="19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2:23" ht="9.75" customHeight="1">
      <c r="B13" s="16">
        <f t="shared" si="0"/>
        <v>5</v>
      </c>
      <c r="C13" s="17">
        <f t="shared" si="2"/>
        <v>46115</v>
      </c>
      <c r="D13" s="14" t="s">
        <v>24</v>
      </c>
      <c r="E13" s="14" t="s">
        <v>25</v>
      </c>
      <c r="F13" s="18" t="s">
        <v>22</v>
      </c>
      <c r="G13" s="14" t="s">
        <v>26</v>
      </c>
      <c r="H13" s="19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2:23" ht="9.75" customHeight="1">
      <c r="B14" s="16">
        <f t="shared" si="0"/>
        <v>6</v>
      </c>
      <c r="C14" s="13">
        <v>46116</v>
      </c>
      <c r="D14" s="18" t="s">
        <v>27</v>
      </c>
      <c r="E14" s="14" t="s">
        <v>13</v>
      </c>
      <c r="F14" s="14" t="s">
        <v>28</v>
      </c>
      <c r="G14" s="14" t="s">
        <v>29</v>
      </c>
      <c r="H14" s="14" t="s">
        <v>30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2:23" ht="9.75" customHeight="1">
      <c r="B15" s="16">
        <f t="shared" si="0"/>
        <v>7</v>
      </c>
      <c r="C15" s="17">
        <f t="shared" ref="C15:C21" si="3">C14</f>
        <v>46116</v>
      </c>
      <c r="D15" s="14" t="s">
        <v>27</v>
      </c>
      <c r="E15" s="14" t="s">
        <v>31</v>
      </c>
      <c r="F15" s="14" t="s">
        <v>28</v>
      </c>
      <c r="G15" s="14" t="s">
        <v>32</v>
      </c>
      <c r="H15" s="14" t="s">
        <v>33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2:23" ht="9.75" customHeight="1">
      <c r="B16" s="16">
        <f t="shared" si="0"/>
        <v>8</v>
      </c>
      <c r="C16" s="17">
        <f t="shared" si="3"/>
        <v>46116</v>
      </c>
      <c r="D16" s="14" t="s">
        <v>34</v>
      </c>
      <c r="E16" s="14" t="s">
        <v>35</v>
      </c>
      <c r="F16" s="14" t="s">
        <v>28</v>
      </c>
      <c r="G16" s="14" t="s">
        <v>36</v>
      </c>
      <c r="H16" s="14" t="s">
        <v>30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2:23" ht="9.75" customHeight="1">
      <c r="B17" s="16">
        <f t="shared" si="0"/>
        <v>9</v>
      </c>
      <c r="C17" s="17">
        <f t="shared" si="3"/>
        <v>46116</v>
      </c>
      <c r="D17" s="14" t="s">
        <v>27</v>
      </c>
      <c r="E17" s="14" t="s">
        <v>37</v>
      </c>
      <c r="F17" s="14" t="s">
        <v>28</v>
      </c>
      <c r="G17" s="14" t="s">
        <v>38</v>
      </c>
      <c r="H17" s="14" t="s">
        <v>33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2:23" ht="9.75" customHeight="1">
      <c r="B18" s="16">
        <f t="shared" si="0"/>
        <v>10</v>
      </c>
      <c r="C18" s="17">
        <f t="shared" si="3"/>
        <v>46116</v>
      </c>
      <c r="D18" s="14" t="s">
        <v>27</v>
      </c>
      <c r="E18" s="14" t="s">
        <v>21</v>
      </c>
      <c r="F18" s="14" t="s">
        <v>28</v>
      </c>
      <c r="G18" s="14" t="s">
        <v>39</v>
      </c>
      <c r="H18" s="14" t="s">
        <v>40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2:23" ht="9.75" customHeight="1">
      <c r="B19" s="16">
        <f t="shared" si="0"/>
        <v>11</v>
      </c>
      <c r="C19" s="17">
        <f t="shared" si="3"/>
        <v>46116</v>
      </c>
      <c r="D19" s="14" t="s">
        <v>27</v>
      </c>
      <c r="E19" s="14" t="s">
        <v>41</v>
      </c>
      <c r="F19" s="14" t="s">
        <v>28</v>
      </c>
      <c r="G19" s="14" t="s">
        <v>42</v>
      </c>
      <c r="H19" s="14" t="s">
        <v>33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2:23" ht="9.75" customHeight="1">
      <c r="B20" s="16">
        <f t="shared" si="0"/>
        <v>12</v>
      </c>
      <c r="C20" s="17">
        <f t="shared" si="3"/>
        <v>46116</v>
      </c>
      <c r="D20" s="14" t="s">
        <v>27</v>
      </c>
      <c r="E20" s="14" t="s">
        <v>43</v>
      </c>
      <c r="F20" s="14" t="s">
        <v>28</v>
      </c>
      <c r="G20" s="14" t="s">
        <v>44</v>
      </c>
      <c r="H20" s="14" t="s">
        <v>30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2:23" ht="9.75" customHeight="1">
      <c r="B21" s="16">
        <f t="shared" si="0"/>
        <v>13</v>
      </c>
      <c r="C21" s="17">
        <f t="shared" si="3"/>
        <v>46116</v>
      </c>
      <c r="D21" s="14" t="s">
        <v>27</v>
      </c>
      <c r="E21" s="14" t="s">
        <v>41</v>
      </c>
      <c r="F21" s="14" t="s">
        <v>28</v>
      </c>
      <c r="G21" s="14" t="s">
        <v>45</v>
      </c>
      <c r="H21" s="14" t="s">
        <v>30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2:23" ht="9.75" customHeight="1">
      <c r="B22" s="16">
        <f t="shared" si="0"/>
        <v>14</v>
      </c>
      <c r="C22" s="13">
        <v>46117</v>
      </c>
      <c r="D22" s="18" t="s">
        <v>46</v>
      </c>
      <c r="E22" s="14" t="s">
        <v>43</v>
      </c>
      <c r="F22" s="14" t="s">
        <v>47</v>
      </c>
      <c r="G22" s="18" t="s">
        <v>48</v>
      </c>
      <c r="H22" s="20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2:23" ht="9.75" customHeight="1">
      <c r="B23" s="16">
        <f t="shared" si="0"/>
        <v>15</v>
      </c>
      <c r="C23" s="17">
        <f t="shared" ref="C23:C25" si="4">C22</f>
        <v>46117</v>
      </c>
      <c r="D23" s="14" t="s">
        <v>49</v>
      </c>
      <c r="E23" s="14" t="s">
        <v>16</v>
      </c>
      <c r="F23" s="14" t="s">
        <v>50</v>
      </c>
      <c r="G23" s="14" t="s">
        <v>51</v>
      </c>
      <c r="H23" s="14" t="s">
        <v>52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2:23" ht="9.75" customHeight="1">
      <c r="B24" s="16">
        <f t="shared" si="0"/>
        <v>16</v>
      </c>
      <c r="C24" s="17">
        <f t="shared" si="4"/>
        <v>46117</v>
      </c>
      <c r="D24" s="14" t="s">
        <v>34</v>
      </c>
      <c r="E24" s="14" t="s">
        <v>53</v>
      </c>
      <c r="F24" s="14" t="s">
        <v>50</v>
      </c>
      <c r="G24" s="14" t="s">
        <v>54</v>
      </c>
      <c r="H24" s="14" t="s">
        <v>55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2:23" ht="9.75" customHeight="1">
      <c r="B25" s="16">
        <f t="shared" si="0"/>
        <v>17</v>
      </c>
      <c r="C25" s="17">
        <f t="shared" si="4"/>
        <v>46117</v>
      </c>
      <c r="D25" s="14" t="s">
        <v>56</v>
      </c>
      <c r="E25" s="14" t="s">
        <v>57</v>
      </c>
      <c r="F25" s="14" t="s">
        <v>50</v>
      </c>
      <c r="G25" s="14" t="s">
        <v>58</v>
      </c>
      <c r="H25" s="14" t="s">
        <v>59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2:23" ht="9.75" customHeight="1">
      <c r="B26" s="16">
        <f t="shared" si="0"/>
        <v>18</v>
      </c>
      <c r="C26" s="13">
        <v>46118</v>
      </c>
      <c r="D26" s="18" t="s">
        <v>60</v>
      </c>
      <c r="E26" s="18" t="s">
        <v>61</v>
      </c>
      <c r="F26" s="18" t="s">
        <v>50</v>
      </c>
      <c r="G26" s="18" t="s">
        <v>62</v>
      </c>
      <c r="H26" s="18" t="s">
        <v>52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2:23" ht="9.75" customHeight="1">
      <c r="B27" s="16">
        <f t="shared" si="0"/>
        <v>19</v>
      </c>
      <c r="C27" s="17">
        <f t="shared" ref="C27:C38" si="5">C26</f>
        <v>46118</v>
      </c>
      <c r="D27" s="14" t="s">
        <v>60</v>
      </c>
      <c r="E27" s="14" t="s">
        <v>63</v>
      </c>
      <c r="F27" s="14" t="s">
        <v>50</v>
      </c>
      <c r="G27" s="14" t="s">
        <v>64</v>
      </c>
      <c r="H27" s="14" t="s">
        <v>65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2:23" ht="9.75" customHeight="1">
      <c r="B28" s="16">
        <f t="shared" si="0"/>
        <v>20</v>
      </c>
      <c r="C28" s="17">
        <f t="shared" si="5"/>
        <v>46118</v>
      </c>
      <c r="D28" s="14" t="s">
        <v>66</v>
      </c>
      <c r="E28" s="14" t="s">
        <v>41</v>
      </c>
      <c r="F28" s="14" t="s">
        <v>67</v>
      </c>
      <c r="G28" s="14" t="s">
        <v>68</v>
      </c>
      <c r="H28" s="14" t="s">
        <v>30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2:23" ht="9.75" customHeight="1">
      <c r="B29" s="16">
        <f t="shared" si="0"/>
        <v>21</v>
      </c>
      <c r="C29" s="17">
        <f t="shared" si="5"/>
        <v>46118</v>
      </c>
      <c r="D29" s="14" t="s">
        <v>69</v>
      </c>
      <c r="E29" s="14" t="s">
        <v>70</v>
      </c>
      <c r="F29" s="14" t="s">
        <v>67</v>
      </c>
      <c r="G29" s="14" t="s">
        <v>71</v>
      </c>
      <c r="H29" s="14" t="s">
        <v>72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2:23" ht="9.75" customHeight="1">
      <c r="B30" s="16">
        <f t="shared" si="0"/>
        <v>22</v>
      </c>
      <c r="C30" s="17">
        <f t="shared" si="5"/>
        <v>46118</v>
      </c>
      <c r="D30" s="14" t="s">
        <v>73</v>
      </c>
      <c r="E30" s="14" t="s">
        <v>31</v>
      </c>
      <c r="F30" s="14" t="s">
        <v>67</v>
      </c>
      <c r="G30" s="14" t="s">
        <v>74</v>
      </c>
      <c r="H30" s="14" t="s">
        <v>30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2:23" ht="9.75" customHeight="1">
      <c r="B31" s="16">
        <f t="shared" si="0"/>
        <v>23</v>
      </c>
      <c r="C31" s="17">
        <f t="shared" si="5"/>
        <v>46118</v>
      </c>
      <c r="D31" s="14" t="s">
        <v>66</v>
      </c>
      <c r="E31" s="14" t="s">
        <v>41</v>
      </c>
      <c r="F31" s="14" t="s">
        <v>67</v>
      </c>
      <c r="G31" s="14" t="s">
        <v>75</v>
      </c>
      <c r="H31" s="14" t="s">
        <v>30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2:23" ht="9.75" customHeight="1">
      <c r="B32" s="16">
        <f t="shared" si="0"/>
        <v>24</v>
      </c>
      <c r="C32" s="17">
        <f t="shared" si="5"/>
        <v>46118</v>
      </c>
      <c r="D32" s="14" t="s">
        <v>66</v>
      </c>
      <c r="E32" s="14" t="s">
        <v>41</v>
      </c>
      <c r="F32" s="14" t="s">
        <v>67</v>
      </c>
      <c r="G32" s="14" t="s">
        <v>76</v>
      </c>
      <c r="H32" s="14" t="s">
        <v>30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2:23" ht="9.75" customHeight="1">
      <c r="B33" s="16">
        <f t="shared" si="0"/>
        <v>25</v>
      </c>
      <c r="C33" s="17">
        <f t="shared" si="5"/>
        <v>46118</v>
      </c>
      <c r="D33" s="14" t="s">
        <v>77</v>
      </c>
      <c r="E33" s="14" t="s">
        <v>78</v>
      </c>
      <c r="F33" s="14" t="s">
        <v>67</v>
      </c>
      <c r="G33" s="14" t="s">
        <v>79</v>
      </c>
      <c r="H33" s="14" t="s">
        <v>30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2:23" ht="9.75" customHeight="1">
      <c r="B34" s="16">
        <f t="shared" si="0"/>
        <v>26</v>
      </c>
      <c r="C34" s="17">
        <f t="shared" si="5"/>
        <v>46118</v>
      </c>
      <c r="D34" s="14" t="s">
        <v>77</v>
      </c>
      <c r="E34" s="14" t="s">
        <v>80</v>
      </c>
      <c r="F34" s="14" t="s">
        <v>67</v>
      </c>
      <c r="G34" s="14" t="s">
        <v>81</v>
      </c>
      <c r="H34" s="14" t="s">
        <v>82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2:23" ht="9.75" customHeight="1">
      <c r="B35" s="16">
        <f t="shared" si="0"/>
        <v>27</v>
      </c>
      <c r="C35" s="17">
        <f t="shared" si="5"/>
        <v>46118</v>
      </c>
      <c r="D35" s="14" t="s">
        <v>77</v>
      </c>
      <c r="E35" s="14" t="s">
        <v>83</v>
      </c>
      <c r="F35" s="14" t="s">
        <v>67</v>
      </c>
      <c r="G35" s="14" t="s">
        <v>84</v>
      </c>
      <c r="H35" s="14" t="s">
        <v>85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2:23" ht="9.75" customHeight="1">
      <c r="B36" s="16">
        <f t="shared" si="0"/>
        <v>28</v>
      </c>
      <c r="C36" s="17">
        <f t="shared" si="5"/>
        <v>46118</v>
      </c>
      <c r="D36" s="14" t="s">
        <v>66</v>
      </c>
      <c r="E36" s="14" t="s">
        <v>41</v>
      </c>
      <c r="F36" s="14" t="s">
        <v>67</v>
      </c>
      <c r="G36" s="14" t="s">
        <v>86</v>
      </c>
      <c r="H36" s="14" t="s">
        <v>30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2:23" ht="9.75" customHeight="1">
      <c r="B37" s="16">
        <f t="shared" si="0"/>
        <v>29</v>
      </c>
      <c r="C37" s="17">
        <f t="shared" si="5"/>
        <v>46118</v>
      </c>
      <c r="D37" s="14" t="s">
        <v>34</v>
      </c>
      <c r="E37" s="14" t="s">
        <v>87</v>
      </c>
      <c r="F37" s="14" t="s">
        <v>88</v>
      </c>
      <c r="G37" s="14" t="s">
        <v>89</v>
      </c>
      <c r="H37" s="14" t="s">
        <v>90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2:23" ht="9.75" customHeight="1">
      <c r="B38" s="16">
        <f t="shared" si="0"/>
        <v>30</v>
      </c>
      <c r="C38" s="17">
        <f t="shared" si="5"/>
        <v>46118</v>
      </c>
      <c r="D38" s="14" t="s">
        <v>91</v>
      </c>
      <c r="E38" s="14" t="s">
        <v>16</v>
      </c>
      <c r="F38" s="14" t="s">
        <v>92</v>
      </c>
      <c r="G38" s="14" t="s">
        <v>93</v>
      </c>
      <c r="H38" s="14" t="s">
        <v>19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2:23" ht="9.75" customHeight="1">
      <c r="B39" s="16">
        <f t="shared" si="0"/>
        <v>31</v>
      </c>
      <c r="C39" s="13">
        <v>46119</v>
      </c>
      <c r="D39" s="18" t="s">
        <v>94</v>
      </c>
      <c r="E39" s="18" t="s">
        <v>41</v>
      </c>
      <c r="F39" s="18" t="s">
        <v>95</v>
      </c>
      <c r="G39" s="18" t="s">
        <v>96</v>
      </c>
      <c r="H39" s="18" t="s">
        <v>97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2:23" ht="9.75" customHeight="1">
      <c r="B40" s="16">
        <f t="shared" si="0"/>
        <v>32</v>
      </c>
      <c r="C40" s="17">
        <f t="shared" ref="C40:C46" si="6">C39</f>
        <v>46119</v>
      </c>
      <c r="D40" s="14" t="s">
        <v>98</v>
      </c>
      <c r="E40" s="14" t="s">
        <v>99</v>
      </c>
      <c r="F40" s="18" t="s">
        <v>95</v>
      </c>
      <c r="G40" s="14" t="s">
        <v>100</v>
      </c>
      <c r="H40" s="18" t="s">
        <v>97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2:23" ht="9.75" customHeight="1">
      <c r="B41" s="16">
        <f t="shared" si="0"/>
        <v>33</v>
      </c>
      <c r="C41" s="17">
        <f t="shared" si="6"/>
        <v>46119</v>
      </c>
      <c r="D41" s="14" t="s">
        <v>98</v>
      </c>
      <c r="E41" s="14" t="s">
        <v>101</v>
      </c>
      <c r="F41" s="18" t="s">
        <v>95</v>
      </c>
      <c r="G41" s="14" t="s">
        <v>102</v>
      </c>
      <c r="H41" s="18" t="s">
        <v>97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2:23" ht="9.75" customHeight="1">
      <c r="B42" s="16">
        <f t="shared" si="0"/>
        <v>34</v>
      </c>
      <c r="C42" s="17">
        <f t="shared" si="6"/>
        <v>46119</v>
      </c>
      <c r="D42" s="14" t="s">
        <v>98</v>
      </c>
      <c r="E42" s="14" t="s">
        <v>101</v>
      </c>
      <c r="F42" s="18" t="s">
        <v>95</v>
      </c>
      <c r="G42" s="14" t="s">
        <v>103</v>
      </c>
      <c r="H42" s="18" t="s">
        <v>97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2:23" ht="9.75" customHeight="1">
      <c r="B43" s="16">
        <f t="shared" si="0"/>
        <v>35</v>
      </c>
      <c r="C43" s="17">
        <f t="shared" si="6"/>
        <v>46119</v>
      </c>
      <c r="D43" s="14" t="s">
        <v>98</v>
      </c>
      <c r="E43" s="14" t="s">
        <v>104</v>
      </c>
      <c r="F43" s="18" t="s">
        <v>95</v>
      </c>
      <c r="G43" s="14" t="s">
        <v>105</v>
      </c>
      <c r="H43" s="18" t="s">
        <v>97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2:23" ht="9.75" customHeight="1">
      <c r="B44" s="16">
        <f t="shared" si="0"/>
        <v>36</v>
      </c>
      <c r="C44" s="17">
        <f t="shared" si="6"/>
        <v>46119</v>
      </c>
      <c r="D44" s="14" t="s">
        <v>98</v>
      </c>
      <c r="E44" s="14" t="s">
        <v>41</v>
      </c>
      <c r="F44" s="14" t="s">
        <v>95</v>
      </c>
      <c r="G44" s="14" t="s">
        <v>106</v>
      </c>
      <c r="H44" s="18" t="s">
        <v>97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2:23" ht="9.75" customHeight="1">
      <c r="B45" s="16">
        <f t="shared" si="0"/>
        <v>37</v>
      </c>
      <c r="C45" s="17">
        <f t="shared" si="6"/>
        <v>46119</v>
      </c>
      <c r="D45" s="14" t="s">
        <v>107</v>
      </c>
      <c r="E45" s="14" t="s">
        <v>108</v>
      </c>
      <c r="F45" s="14" t="s">
        <v>109</v>
      </c>
      <c r="G45" s="14" t="s">
        <v>110</v>
      </c>
      <c r="H45" s="14" t="s">
        <v>111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2:23" ht="9.75" customHeight="1">
      <c r="B46" s="16">
        <f t="shared" si="0"/>
        <v>38</v>
      </c>
      <c r="C46" s="17">
        <f t="shared" si="6"/>
        <v>46119</v>
      </c>
      <c r="D46" s="14" t="s">
        <v>112</v>
      </c>
      <c r="E46" s="14" t="s">
        <v>113</v>
      </c>
      <c r="F46" s="14" t="s">
        <v>109</v>
      </c>
      <c r="G46" s="14" t="s">
        <v>114</v>
      </c>
      <c r="H46" s="19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2:23" ht="9.75" customHeight="1">
      <c r="B47" s="16">
        <f t="shared" si="0"/>
        <v>39</v>
      </c>
      <c r="C47" s="13">
        <v>46120</v>
      </c>
      <c r="D47" s="18" t="s">
        <v>34</v>
      </c>
      <c r="E47" s="18" t="s">
        <v>41</v>
      </c>
      <c r="F47" s="18" t="s">
        <v>115</v>
      </c>
      <c r="G47" s="18" t="s">
        <v>116</v>
      </c>
      <c r="H47" s="18" t="s">
        <v>30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2:23" ht="9.75" customHeight="1">
      <c r="B48" s="16">
        <f t="shared" si="0"/>
        <v>40</v>
      </c>
      <c r="C48" s="17">
        <f t="shared" ref="C48:C58" si="7">C47</f>
        <v>46120</v>
      </c>
      <c r="D48" s="18" t="s">
        <v>117</v>
      </c>
      <c r="E48" s="14" t="s">
        <v>118</v>
      </c>
      <c r="F48" s="18" t="s">
        <v>115</v>
      </c>
      <c r="G48" s="14" t="s">
        <v>119</v>
      </c>
      <c r="H48" s="14" t="s">
        <v>120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2:23" ht="9.75" customHeight="1">
      <c r="B49" s="16">
        <f t="shared" si="0"/>
        <v>41</v>
      </c>
      <c r="C49" s="17">
        <f t="shared" si="7"/>
        <v>46120</v>
      </c>
      <c r="D49" s="18" t="s">
        <v>117</v>
      </c>
      <c r="E49" s="14" t="s">
        <v>43</v>
      </c>
      <c r="F49" s="18" t="s">
        <v>115</v>
      </c>
      <c r="G49" s="14" t="s">
        <v>121</v>
      </c>
      <c r="H49" s="14" t="s">
        <v>30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2:23" ht="9.75" customHeight="1">
      <c r="B50" s="16">
        <f t="shared" si="0"/>
        <v>42</v>
      </c>
      <c r="C50" s="17">
        <f t="shared" si="7"/>
        <v>46120</v>
      </c>
      <c r="D50" s="18" t="s">
        <v>122</v>
      </c>
      <c r="E50" s="14" t="s">
        <v>123</v>
      </c>
      <c r="F50" s="18" t="s">
        <v>115</v>
      </c>
      <c r="G50" s="14" t="s">
        <v>124</v>
      </c>
      <c r="H50" s="14" t="s">
        <v>30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2:23" ht="9.75" customHeight="1">
      <c r="B51" s="16">
        <f t="shared" si="0"/>
        <v>43</v>
      </c>
      <c r="C51" s="17">
        <f t="shared" si="7"/>
        <v>46120</v>
      </c>
      <c r="D51" s="18" t="s">
        <v>117</v>
      </c>
      <c r="E51" s="14" t="s">
        <v>13</v>
      </c>
      <c r="F51" s="18" t="s">
        <v>115</v>
      </c>
      <c r="G51" s="14" t="s">
        <v>125</v>
      </c>
      <c r="H51" s="14" t="s">
        <v>30</v>
      </c>
    </row>
    <row r="52" spans="2:23" ht="9.75" customHeight="1">
      <c r="B52" s="16">
        <f t="shared" si="0"/>
        <v>44</v>
      </c>
      <c r="C52" s="17">
        <f t="shared" si="7"/>
        <v>46120</v>
      </c>
      <c r="D52" s="18" t="s">
        <v>117</v>
      </c>
      <c r="E52" s="14" t="s">
        <v>126</v>
      </c>
      <c r="F52" s="18" t="s">
        <v>115</v>
      </c>
      <c r="G52" s="14" t="s">
        <v>127</v>
      </c>
      <c r="H52" s="14" t="s">
        <v>85</v>
      </c>
    </row>
    <row r="53" spans="2:23" ht="9.75" customHeight="1">
      <c r="B53" s="16">
        <f t="shared" si="0"/>
        <v>45</v>
      </c>
      <c r="C53" s="17">
        <f t="shared" si="7"/>
        <v>46120</v>
      </c>
      <c r="D53" s="18" t="s">
        <v>122</v>
      </c>
      <c r="E53" s="14" t="s">
        <v>128</v>
      </c>
      <c r="F53" s="18" t="s">
        <v>115</v>
      </c>
      <c r="G53" s="21" t="s">
        <v>129</v>
      </c>
      <c r="H53" s="14" t="s">
        <v>130</v>
      </c>
    </row>
    <row r="54" spans="2:23" ht="9.75" customHeight="1">
      <c r="B54" s="16">
        <f t="shared" si="0"/>
        <v>46</v>
      </c>
      <c r="C54" s="17">
        <f t="shared" si="7"/>
        <v>46120</v>
      </c>
      <c r="D54" s="14" t="s">
        <v>34</v>
      </c>
      <c r="E54" s="14" t="s">
        <v>41</v>
      </c>
      <c r="F54" s="18" t="s">
        <v>115</v>
      </c>
      <c r="G54" s="21" t="s">
        <v>131</v>
      </c>
      <c r="H54" s="14" t="s">
        <v>30</v>
      </c>
    </row>
    <row r="55" spans="2:23" ht="9.75" customHeight="1">
      <c r="B55" s="16">
        <f t="shared" si="0"/>
        <v>47</v>
      </c>
      <c r="C55" s="17">
        <f t="shared" si="7"/>
        <v>46120</v>
      </c>
      <c r="D55" s="22"/>
      <c r="E55" s="22"/>
      <c r="F55" s="18" t="s">
        <v>115</v>
      </c>
      <c r="G55" s="22"/>
      <c r="H55" s="22"/>
    </row>
    <row r="56" spans="2:23" ht="9.75" customHeight="1">
      <c r="B56" s="16">
        <f t="shared" si="0"/>
        <v>48</v>
      </c>
      <c r="C56" s="17">
        <f t="shared" si="7"/>
        <v>46120</v>
      </c>
      <c r="D56" s="14" t="s">
        <v>132</v>
      </c>
      <c r="E56" s="14" t="s">
        <v>78</v>
      </c>
      <c r="F56" s="14" t="s">
        <v>47</v>
      </c>
      <c r="G56" s="14" t="s">
        <v>133</v>
      </c>
      <c r="H56" s="14" t="s">
        <v>33</v>
      </c>
    </row>
    <row r="57" spans="2:23" ht="9.75" customHeight="1">
      <c r="B57" s="16">
        <f t="shared" si="0"/>
        <v>49</v>
      </c>
      <c r="C57" s="17">
        <f t="shared" si="7"/>
        <v>46120</v>
      </c>
      <c r="D57" s="14" t="s">
        <v>134</v>
      </c>
      <c r="E57" s="14" t="s">
        <v>41</v>
      </c>
      <c r="F57" s="14" t="s">
        <v>47</v>
      </c>
      <c r="G57" s="14" t="s">
        <v>135</v>
      </c>
      <c r="H57" s="14" t="s">
        <v>136</v>
      </c>
    </row>
    <row r="58" spans="2:23" ht="9.75" customHeight="1">
      <c r="B58" s="16">
        <f t="shared" si="0"/>
        <v>50</v>
      </c>
      <c r="C58" s="17">
        <f t="shared" si="7"/>
        <v>46120</v>
      </c>
      <c r="D58" s="14" t="s">
        <v>134</v>
      </c>
      <c r="E58" s="14" t="s">
        <v>137</v>
      </c>
      <c r="F58" s="14" t="s">
        <v>47</v>
      </c>
      <c r="G58" s="14" t="s">
        <v>138</v>
      </c>
      <c r="H58" s="14" t="s">
        <v>33</v>
      </c>
    </row>
    <row r="59" spans="2:23" ht="9.75" customHeight="1">
      <c r="B59" s="16">
        <f t="shared" si="0"/>
        <v>51</v>
      </c>
      <c r="C59" s="13">
        <v>46121</v>
      </c>
      <c r="D59" s="18" t="s">
        <v>15</v>
      </c>
      <c r="E59" s="18" t="s">
        <v>139</v>
      </c>
      <c r="F59" s="18" t="s">
        <v>140</v>
      </c>
      <c r="G59" s="18" t="s">
        <v>141</v>
      </c>
      <c r="H59" s="18" t="s">
        <v>30</v>
      </c>
    </row>
    <row r="60" spans="2:23" ht="9.75" customHeight="1">
      <c r="B60" s="16">
        <f t="shared" si="0"/>
        <v>52</v>
      </c>
      <c r="C60" s="13">
        <v>46122</v>
      </c>
      <c r="D60" s="18" t="s">
        <v>34</v>
      </c>
      <c r="E60" s="18" t="s">
        <v>88</v>
      </c>
      <c r="F60" s="18" t="s">
        <v>142</v>
      </c>
      <c r="G60" s="18" t="s">
        <v>143</v>
      </c>
      <c r="H60" s="18" t="s">
        <v>30</v>
      </c>
    </row>
    <row r="61" spans="2:23" ht="9.75" customHeight="1">
      <c r="B61" s="16">
        <f t="shared" si="0"/>
        <v>53</v>
      </c>
      <c r="C61" s="17">
        <f t="shared" ref="C61" si="8">C60</f>
        <v>46122</v>
      </c>
      <c r="D61" s="14" t="s">
        <v>34</v>
      </c>
      <c r="E61" s="14" t="s">
        <v>88</v>
      </c>
      <c r="F61" s="18" t="s">
        <v>16</v>
      </c>
      <c r="G61" s="14" t="s">
        <v>144</v>
      </c>
      <c r="H61" s="14" t="s">
        <v>30</v>
      </c>
    </row>
    <row r="62" spans="2:23" ht="9.75" customHeight="1">
      <c r="B62" s="16">
        <f t="shared" si="0"/>
        <v>54</v>
      </c>
      <c r="C62" s="13">
        <v>46123</v>
      </c>
      <c r="D62" s="18" t="s">
        <v>145</v>
      </c>
      <c r="E62" s="18" t="s">
        <v>146</v>
      </c>
      <c r="F62" s="18" t="s">
        <v>109</v>
      </c>
      <c r="G62" s="18" t="s">
        <v>147</v>
      </c>
      <c r="H62" s="18" t="s">
        <v>148</v>
      </c>
    </row>
    <row r="63" spans="2:23" ht="9.75" customHeight="1">
      <c r="B63" s="16">
        <f t="shared" si="0"/>
        <v>55</v>
      </c>
      <c r="C63" s="17">
        <f t="shared" ref="C63:C69" si="9">C62</f>
        <v>46123</v>
      </c>
      <c r="D63" s="14" t="s">
        <v>149</v>
      </c>
      <c r="E63" s="14" t="s">
        <v>150</v>
      </c>
      <c r="F63" s="14" t="s">
        <v>109</v>
      </c>
      <c r="G63" s="14" t="s">
        <v>151</v>
      </c>
      <c r="H63" s="14" t="s">
        <v>152</v>
      </c>
    </row>
    <row r="64" spans="2:23" ht="9.75" customHeight="1">
      <c r="B64" s="16">
        <f t="shared" si="0"/>
        <v>56</v>
      </c>
      <c r="C64" s="17">
        <f t="shared" si="9"/>
        <v>46123</v>
      </c>
      <c r="D64" s="14" t="s">
        <v>153</v>
      </c>
      <c r="E64" s="14" t="s">
        <v>83</v>
      </c>
      <c r="F64" s="14" t="s">
        <v>109</v>
      </c>
      <c r="G64" s="14" t="s">
        <v>154</v>
      </c>
      <c r="H64" s="14" t="s">
        <v>155</v>
      </c>
    </row>
    <row r="65" spans="2:8" ht="9.75" customHeight="1">
      <c r="B65" s="16">
        <f t="shared" si="0"/>
        <v>57</v>
      </c>
      <c r="C65" s="17">
        <f t="shared" si="9"/>
        <v>46123</v>
      </c>
      <c r="D65" s="14" t="s">
        <v>156</v>
      </c>
      <c r="E65" s="14" t="s">
        <v>157</v>
      </c>
      <c r="F65" s="14" t="s">
        <v>109</v>
      </c>
      <c r="G65" s="14" t="s">
        <v>158</v>
      </c>
      <c r="H65" s="14" t="s">
        <v>155</v>
      </c>
    </row>
    <row r="66" spans="2:8" ht="9.75" customHeight="1">
      <c r="B66" s="16">
        <f t="shared" si="0"/>
        <v>58</v>
      </c>
      <c r="C66" s="17">
        <f t="shared" si="9"/>
        <v>46123</v>
      </c>
      <c r="D66" s="14" t="s">
        <v>159</v>
      </c>
      <c r="E66" s="14" t="s">
        <v>83</v>
      </c>
      <c r="F66" s="14" t="s">
        <v>109</v>
      </c>
      <c r="G66" s="14" t="s">
        <v>160</v>
      </c>
      <c r="H66" s="14" t="s">
        <v>155</v>
      </c>
    </row>
    <row r="67" spans="2:8" ht="9.75" customHeight="1">
      <c r="B67" s="16">
        <f t="shared" si="0"/>
        <v>59</v>
      </c>
      <c r="C67" s="17">
        <f t="shared" si="9"/>
        <v>46123</v>
      </c>
      <c r="D67" s="14" t="s">
        <v>149</v>
      </c>
      <c r="E67" s="14" t="s">
        <v>161</v>
      </c>
      <c r="F67" s="14" t="s">
        <v>109</v>
      </c>
      <c r="G67" s="14" t="s">
        <v>162</v>
      </c>
      <c r="H67" s="14" t="s">
        <v>163</v>
      </c>
    </row>
    <row r="68" spans="2:8" ht="9.75" customHeight="1">
      <c r="B68" s="16">
        <f t="shared" si="0"/>
        <v>60</v>
      </c>
      <c r="C68" s="17">
        <f t="shared" si="9"/>
        <v>46123</v>
      </c>
      <c r="D68" s="14" t="s">
        <v>164</v>
      </c>
      <c r="E68" s="14" t="s">
        <v>78</v>
      </c>
      <c r="F68" s="14" t="s">
        <v>109</v>
      </c>
      <c r="G68" s="14" t="s">
        <v>165</v>
      </c>
      <c r="H68" s="14" t="s">
        <v>166</v>
      </c>
    </row>
    <row r="69" spans="2:8" ht="9.75" customHeight="1">
      <c r="B69" s="16">
        <f t="shared" si="0"/>
        <v>61</v>
      </c>
      <c r="C69" s="17">
        <f t="shared" si="9"/>
        <v>46123</v>
      </c>
      <c r="D69" s="14" t="s">
        <v>167</v>
      </c>
      <c r="E69" s="14" t="s">
        <v>21</v>
      </c>
      <c r="F69" s="14" t="s">
        <v>109</v>
      </c>
      <c r="G69" s="14" t="s">
        <v>168</v>
      </c>
      <c r="H69" s="14" t="s">
        <v>166</v>
      </c>
    </row>
    <row r="70" spans="2:8" ht="9.75" customHeight="1">
      <c r="B70" s="16">
        <f t="shared" si="0"/>
        <v>62</v>
      </c>
      <c r="C70" s="13">
        <v>46124</v>
      </c>
      <c r="D70" s="18" t="s">
        <v>169</v>
      </c>
      <c r="E70" s="18" t="s">
        <v>21</v>
      </c>
      <c r="F70" s="18" t="s">
        <v>109</v>
      </c>
      <c r="G70" s="18" t="s">
        <v>170</v>
      </c>
      <c r="H70" s="20"/>
    </row>
    <row r="71" spans="2:8" ht="9.75" customHeight="1">
      <c r="B71" s="16">
        <f t="shared" si="0"/>
        <v>63</v>
      </c>
      <c r="C71" s="17">
        <f t="shared" ref="C71:C81" si="10">C70</f>
        <v>46124</v>
      </c>
      <c r="D71" s="14" t="s">
        <v>171</v>
      </c>
      <c r="E71" s="14" t="s">
        <v>172</v>
      </c>
      <c r="F71" s="14" t="s">
        <v>173</v>
      </c>
      <c r="G71" s="14" t="s">
        <v>174</v>
      </c>
      <c r="H71" s="14" t="s">
        <v>85</v>
      </c>
    </row>
    <row r="72" spans="2:8" ht="9.75" customHeight="1">
      <c r="B72" s="16">
        <f t="shared" si="0"/>
        <v>64</v>
      </c>
      <c r="C72" s="17">
        <f t="shared" si="10"/>
        <v>46124</v>
      </c>
      <c r="D72" s="14" t="s">
        <v>175</v>
      </c>
      <c r="E72" s="14" t="s">
        <v>176</v>
      </c>
      <c r="F72" s="14" t="s">
        <v>173</v>
      </c>
      <c r="G72" s="14" t="s">
        <v>177</v>
      </c>
      <c r="H72" s="14" t="s">
        <v>30</v>
      </c>
    </row>
    <row r="73" spans="2:8" ht="9.75" customHeight="1">
      <c r="B73" s="16">
        <f t="shared" si="0"/>
        <v>65</v>
      </c>
      <c r="C73" s="17">
        <f t="shared" si="10"/>
        <v>46124</v>
      </c>
      <c r="D73" s="14" t="s">
        <v>171</v>
      </c>
      <c r="E73" s="14" t="s">
        <v>41</v>
      </c>
      <c r="F73" s="14" t="s">
        <v>173</v>
      </c>
      <c r="G73" s="14" t="s">
        <v>178</v>
      </c>
      <c r="H73" s="14" t="s">
        <v>85</v>
      </c>
    </row>
    <row r="74" spans="2:8" ht="9.75" customHeight="1">
      <c r="B74" s="16">
        <f t="shared" ref="B74:B137" si="11">B73+1</f>
        <v>66</v>
      </c>
      <c r="C74" s="17">
        <f t="shared" si="10"/>
        <v>46124</v>
      </c>
      <c r="D74" s="14" t="s">
        <v>69</v>
      </c>
      <c r="E74" s="14" t="s">
        <v>123</v>
      </c>
      <c r="F74" s="14" t="s">
        <v>173</v>
      </c>
      <c r="G74" s="14" t="s">
        <v>179</v>
      </c>
      <c r="H74" s="14" t="s">
        <v>72</v>
      </c>
    </row>
    <row r="75" spans="2:8" ht="9.75" customHeight="1">
      <c r="B75" s="16">
        <f t="shared" si="11"/>
        <v>67</v>
      </c>
      <c r="C75" s="17">
        <f t="shared" si="10"/>
        <v>46124</v>
      </c>
      <c r="D75" s="14" t="s">
        <v>69</v>
      </c>
      <c r="E75" s="14" t="s">
        <v>43</v>
      </c>
      <c r="F75" s="14" t="s">
        <v>173</v>
      </c>
      <c r="G75" s="14" t="s">
        <v>180</v>
      </c>
      <c r="H75" s="14" t="s">
        <v>72</v>
      </c>
    </row>
    <row r="76" spans="2:8" ht="9.75" customHeight="1">
      <c r="B76" s="16">
        <f t="shared" si="11"/>
        <v>68</v>
      </c>
      <c r="C76" s="17">
        <f t="shared" si="10"/>
        <v>46124</v>
      </c>
      <c r="D76" s="14" t="s">
        <v>69</v>
      </c>
      <c r="E76" s="14" t="s">
        <v>181</v>
      </c>
      <c r="F76" s="14" t="s">
        <v>173</v>
      </c>
      <c r="G76" s="14" t="s">
        <v>182</v>
      </c>
      <c r="H76" s="14" t="s">
        <v>72</v>
      </c>
    </row>
    <row r="77" spans="2:8" ht="9.75" customHeight="1">
      <c r="B77" s="16">
        <f t="shared" si="11"/>
        <v>69</v>
      </c>
      <c r="C77" s="17">
        <f t="shared" si="10"/>
        <v>46124</v>
      </c>
      <c r="D77" s="14" t="s">
        <v>69</v>
      </c>
      <c r="E77" s="14" t="s">
        <v>123</v>
      </c>
      <c r="F77" s="14" t="s">
        <v>173</v>
      </c>
      <c r="G77" s="14" t="s">
        <v>183</v>
      </c>
      <c r="H77" s="14" t="s">
        <v>72</v>
      </c>
    </row>
    <row r="78" spans="2:8" ht="9.75" customHeight="1">
      <c r="B78" s="16">
        <f t="shared" si="11"/>
        <v>70</v>
      </c>
      <c r="C78" s="17">
        <f t="shared" si="10"/>
        <v>46124</v>
      </c>
      <c r="D78" s="14" t="s">
        <v>69</v>
      </c>
      <c r="E78" s="14" t="s">
        <v>181</v>
      </c>
      <c r="F78" s="14" t="s">
        <v>173</v>
      </c>
      <c r="G78" s="14" t="s">
        <v>184</v>
      </c>
      <c r="H78" s="14" t="s">
        <v>72</v>
      </c>
    </row>
    <row r="79" spans="2:8" ht="9.75" customHeight="1">
      <c r="B79" s="16">
        <f t="shared" si="11"/>
        <v>71</v>
      </c>
      <c r="C79" s="17">
        <f t="shared" si="10"/>
        <v>46124</v>
      </c>
      <c r="D79" s="14" t="s">
        <v>185</v>
      </c>
      <c r="E79" s="14" t="s">
        <v>186</v>
      </c>
      <c r="F79" s="14" t="s">
        <v>47</v>
      </c>
      <c r="G79" s="14" t="s">
        <v>187</v>
      </c>
      <c r="H79" s="14" t="s">
        <v>188</v>
      </c>
    </row>
    <row r="80" spans="2:8" ht="9.75" customHeight="1">
      <c r="B80" s="16">
        <f t="shared" si="11"/>
        <v>72</v>
      </c>
      <c r="C80" s="17">
        <f t="shared" si="10"/>
        <v>46124</v>
      </c>
      <c r="D80" s="14" t="s">
        <v>185</v>
      </c>
      <c r="E80" s="14" t="s">
        <v>189</v>
      </c>
      <c r="F80" s="14" t="s">
        <v>47</v>
      </c>
      <c r="G80" s="14" t="s">
        <v>190</v>
      </c>
      <c r="H80" s="14" t="s">
        <v>188</v>
      </c>
    </row>
    <row r="81" spans="2:8" ht="9.75" customHeight="1">
      <c r="B81" s="16">
        <f t="shared" si="11"/>
        <v>73</v>
      </c>
      <c r="C81" s="17">
        <f t="shared" si="10"/>
        <v>46124</v>
      </c>
      <c r="D81" s="14" t="s">
        <v>191</v>
      </c>
      <c r="E81" s="14" t="s">
        <v>83</v>
      </c>
      <c r="F81" s="14" t="s">
        <v>47</v>
      </c>
      <c r="G81" s="14" t="s">
        <v>192</v>
      </c>
      <c r="H81" s="19"/>
    </row>
    <row r="82" spans="2:8" ht="9.75" customHeight="1">
      <c r="B82" s="16">
        <f t="shared" si="11"/>
        <v>74</v>
      </c>
      <c r="C82" s="13">
        <v>46125</v>
      </c>
      <c r="D82" s="18" t="s">
        <v>149</v>
      </c>
      <c r="E82" s="18" t="s">
        <v>123</v>
      </c>
      <c r="F82" s="18" t="s">
        <v>47</v>
      </c>
      <c r="G82" s="18" t="s">
        <v>193</v>
      </c>
      <c r="H82" s="20"/>
    </row>
    <row r="83" spans="2:8" ht="9.75" customHeight="1">
      <c r="B83" s="16">
        <f t="shared" si="11"/>
        <v>75</v>
      </c>
      <c r="C83" s="13">
        <v>46128</v>
      </c>
      <c r="D83" s="18" t="s">
        <v>34</v>
      </c>
      <c r="E83" s="18" t="s">
        <v>194</v>
      </c>
      <c r="F83" s="18" t="s">
        <v>195</v>
      </c>
      <c r="G83" s="18" t="s">
        <v>196</v>
      </c>
      <c r="H83" s="18" t="s">
        <v>197</v>
      </c>
    </row>
    <row r="84" spans="2:8" ht="9.75" customHeight="1">
      <c r="B84" s="16">
        <f t="shared" si="11"/>
        <v>76</v>
      </c>
      <c r="C84" s="17">
        <f t="shared" ref="C84:C101" si="12">C83</f>
        <v>46128</v>
      </c>
      <c r="D84" s="18" t="s">
        <v>34</v>
      </c>
      <c r="E84" s="14" t="s">
        <v>198</v>
      </c>
      <c r="F84" s="18" t="s">
        <v>195</v>
      </c>
      <c r="G84" s="14" t="s">
        <v>199</v>
      </c>
      <c r="H84" s="14" t="s">
        <v>120</v>
      </c>
    </row>
    <row r="85" spans="2:8" ht="9.75" customHeight="1">
      <c r="B85" s="16">
        <f t="shared" si="11"/>
        <v>77</v>
      </c>
      <c r="C85" s="17">
        <f t="shared" si="12"/>
        <v>46128</v>
      </c>
      <c r="D85" s="14" t="s">
        <v>15</v>
      </c>
      <c r="E85" s="14" t="s">
        <v>53</v>
      </c>
      <c r="F85" s="18" t="s">
        <v>195</v>
      </c>
      <c r="G85" s="21" t="s">
        <v>200</v>
      </c>
      <c r="H85" s="14" t="s">
        <v>201</v>
      </c>
    </row>
    <row r="86" spans="2:8" ht="9.75" customHeight="1">
      <c r="B86" s="16">
        <f t="shared" si="11"/>
        <v>78</v>
      </c>
      <c r="C86" s="17">
        <f t="shared" si="12"/>
        <v>46128</v>
      </c>
      <c r="D86" s="14" t="s">
        <v>202</v>
      </c>
      <c r="E86" s="14" t="s">
        <v>203</v>
      </c>
      <c r="F86" s="18" t="s">
        <v>195</v>
      </c>
      <c r="G86" s="14" t="s">
        <v>204</v>
      </c>
      <c r="H86" s="14" t="s">
        <v>197</v>
      </c>
    </row>
    <row r="87" spans="2:8" ht="9.75" customHeight="1">
      <c r="B87" s="16">
        <f t="shared" si="11"/>
        <v>79</v>
      </c>
      <c r="C87" s="17">
        <f t="shared" si="12"/>
        <v>46128</v>
      </c>
      <c r="D87" s="14" t="s">
        <v>34</v>
      </c>
      <c r="E87" s="14" t="s">
        <v>205</v>
      </c>
      <c r="F87" s="18" t="s">
        <v>195</v>
      </c>
      <c r="G87" s="23" t="s">
        <v>206</v>
      </c>
      <c r="H87" s="14" t="s">
        <v>201</v>
      </c>
    </row>
    <row r="88" spans="2:8" ht="9.75" customHeight="1">
      <c r="B88" s="16">
        <f t="shared" si="11"/>
        <v>80</v>
      </c>
      <c r="C88" s="17">
        <f t="shared" si="12"/>
        <v>46128</v>
      </c>
      <c r="D88" s="14" t="s">
        <v>207</v>
      </c>
      <c r="E88" s="14" t="s">
        <v>208</v>
      </c>
      <c r="F88" s="18" t="s">
        <v>195</v>
      </c>
      <c r="G88" s="14" t="s">
        <v>209</v>
      </c>
      <c r="H88" s="14" t="s">
        <v>72</v>
      </c>
    </row>
    <row r="89" spans="2:8" ht="9.75" customHeight="1">
      <c r="B89" s="16">
        <f t="shared" si="11"/>
        <v>81</v>
      </c>
      <c r="C89" s="17">
        <f t="shared" si="12"/>
        <v>46128</v>
      </c>
      <c r="D89" s="14" t="s">
        <v>207</v>
      </c>
      <c r="E89" s="14" t="s">
        <v>210</v>
      </c>
      <c r="F89" s="18" t="s">
        <v>195</v>
      </c>
      <c r="G89" s="14" t="s">
        <v>211</v>
      </c>
      <c r="H89" s="14" t="s">
        <v>52</v>
      </c>
    </row>
    <row r="90" spans="2:8" ht="9.75" customHeight="1">
      <c r="B90" s="16">
        <f t="shared" si="11"/>
        <v>82</v>
      </c>
      <c r="C90" s="17">
        <f t="shared" si="12"/>
        <v>46128</v>
      </c>
      <c r="D90" s="14" t="s">
        <v>185</v>
      </c>
      <c r="E90" s="14" t="s">
        <v>212</v>
      </c>
      <c r="F90" s="18" t="s">
        <v>195</v>
      </c>
      <c r="G90" s="14" t="s">
        <v>213</v>
      </c>
      <c r="H90" s="14" t="s">
        <v>72</v>
      </c>
    </row>
    <row r="91" spans="2:8" ht="9.75" customHeight="1">
      <c r="B91" s="16">
        <f t="shared" si="11"/>
        <v>83</v>
      </c>
      <c r="C91" s="17">
        <f t="shared" si="12"/>
        <v>46128</v>
      </c>
      <c r="D91" s="14" t="s">
        <v>34</v>
      </c>
      <c r="E91" s="14" t="s">
        <v>123</v>
      </c>
      <c r="F91" s="18" t="s">
        <v>195</v>
      </c>
      <c r="G91" s="24" t="s">
        <v>214</v>
      </c>
      <c r="H91" s="14" t="s">
        <v>72</v>
      </c>
    </row>
    <row r="92" spans="2:8" ht="9.75" customHeight="1">
      <c r="B92" s="16">
        <f t="shared" si="11"/>
        <v>84</v>
      </c>
      <c r="C92" s="17">
        <f t="shared" si="12"/>
        <v>46128</v>
      </c>
      <c r="D92" s="14" t="s">
        <v>34</v>
      </c>
      <c r="E92" s="24" t="s">
        <v>215</v>
      </c>
      <c r="F92" s="18" t="s">
        <v>195</v>
      </c>
      <c r="G92" s="24" t="s">
        <v>216</v>
      </c>
      <c r="H92" s="14" t="s">
        <v>72</v>
      </c>
    </row>
    <row r="93" spans="2:8" ht="9.75" customHeight="1">
      <c r="B93" s="16">
        <f t="shared" si="11"/>
        <v>85</v>
      </c>
      <c r="C93" s="17">
        <f t="shared" si="12"/>
        <v>46128</v>
      </c>
      <c r="D93" s="14" t="s">
        <v>34</v>
      </c>
      <c r="E93" s="25" t="s">
        <v>217</v>
      </c>
      <c r="F93" s="18" t="s">
        <v>195</v>
      </c>
      <c r="G93" s="25" t="s">
        <v>218</v>
      </c>
      <c r="H93" s="14" t="s">
        <v>72</v>
      </c>
    </row>
    <row r="94" spans="2:8" ht="9.75" customHeight="1">
      <c r="B94" s="16">
        <f t="shared" si="11"/>
        <v>86</v>
      </c>
      <c r="C94" s="17">
        <f t="shared" si="12"/>
        <v>46128</v>
      </c>
      <c r="D94" s="14" t="s">
        <v>34</v>
      </c>
      <c r="E94" s="25" t="s">
        <v>219</v>
      </c>
      <c r="F94" s="18" t="s">
        <v>195</v>
      </c>
      <c r="G94" s="25" t="s">
        <v>220</v>
      </c>
      <c r="H94" s="14" t="s">
        <v>72</v>
      </c>
    </row>
    <row r="95" spans="2:8" ht="9.75" customHeight="1">
      <c r="B95" s="16">
        <f t="shared" si="11"/>
        <v>87</v>
      </c>
      <c r="C95" s="17">
        <f t="shared" si="12"/>
        <v>46128</v>
      </c>
      <c r="D95" s="14" t="s">
        <v>207</v>
      </c>
      <c r="E95" s="14" t="s">
        <v>21</v>
      </c>
      <c r="F95" s="18" t="s">
        <v>195</v>
      </c>
      <c r="G95" s="14" t="s">
        <v>221</v>
      </c>
      <c r="H95" s="14" t="s">
        <v>201</v>
      </c>
    </row>
    <row r="96" spans="2:8" ht="9.75" customHeight="1">
      <c r="B96" s="16">
        <f t="shared" si="11"/>
        <v>88</v>
      </c>
      <c r="C96" s="17">
        <f t="shared" si="12"/>
        <v>46128</v>
      </c>
      <c r="D96" s="14" t="s">
        <v>207</v>
      </c>
      <c r="E96" s="14" t="s">
        <v>99</v>
      </c>
      <c r="F96" s="18" t="s">
        <v>195</v>
      </c>
      <c r="G96" s="14" t="s">
        <v>222</v>
      </c>
      <c r="H96" s="14" t="s">
        <v>52</v>
      </c>
    </row>
    <row r="97" spans="2:8" ht="9.75" customHeight="1">
      <c r="B97" s="16">
        <f t="shared" si="11"/>
        <v>89</v>
      </c>
      <c r="C97" s="17">
        <f t="shared" si="12"/>
        <v>46128</v>
      </c>
      <c r="D97" s="14" t="s">
        <v>207</v>
      </c>
      <c r="E97" s="14" t="s">
        <v>223</v>
      </c>
      <c r="F97" s="18" t="s">
        <v>195</v>
      </c>
      <c r="G97" s="14" t="s">
        <v>224</v>
      </c>
      <c r="H97" s="14" t="s">
        <v>72</v>
      </c>
    </row>
    <row r="98" spans="2:8" ht="9.75" customHeight="1">
      <c r="B98" s="16">
        <f t="shared" si="11"/>
        <v>90</v>
      </c>
      <c r="C98" s="17">
        <f t="shared" si="12"/>
        <v>46128</v>
      </c>
      <c r="D98" s="14" t="s">
        <v>225</v>
      </c>
      <c r="E98" s="14" t="s">
        <v>43</v>
      </c>
      <c r="F98" s="14" t="s">
        <v>47</v>
      </c>
      <c r="G98" s="14" t="s">
        <v>226</v>
      </c>
      <c r="H98" s="14" t="s">
        <v>227</v>
      </c>
    </row>
    <row r="99" spans="2:8" ht="9.75" customHeight="1">
      <c r="B99" s="16">
        <f t="shared" si="11"/>
        <v>91</v>
      </c>
      <c r="C99" s="17">
        <f t="shared" si="12"/>
        <v>46128</v>
      </c>
      <c r="D99" s="14" t="s">
        <v>228</v>
      </c>
      <c r="E99" s="14" t="s">
        <v>78</v>
      </c>
      <c r="F99" s="14" t="s">
        <v>47</v>
      </c>
      <c r="G99" s="14" t="s">
        <v>229</v>
      </c>
      <c r="H99" s="14" t="s">
        <v>52</v>
      </c>
    </row>
    <row r="100" spans="2:8" ht="9.75" customHeight="1">
      <c r="B100" s="16">
        <f t="shared" si="11"/>
        <v>92</v>
      </c>
      <c r="C100" s="17">
        <f t="shared" si="12"/>
        <v>46128</v>
      </c>
      <c r="D100" s="14" t="s">
        <v>230</v>
      </c>
      <c r="E100" s="14" t="s">
        <v>231</v>
      </c>
      <c r="F100" s="14" t="s">
        <v>47</v>
      </c>
      <c r="G100" s="14" t="s">
        <v>232</v>
      </c>
      <c r="H100" s="14" t="s">
        <v>52</v>
      </c>
    </row>
    <row r="101" spans="2:8" ht="9.75" customHeight="1">
      <c r="B101" s="16">
        <f t="shared" si="11"/>
        <v>93</v>
      </c>
      <c r="C101" s="17">
        <f t="shared" si="12"/>
        <v>46128</v>
      </c>
      <c r="D101" s="14" t="s">
        <v>233</v>
      </c>
      <c r="E101" s="14" t="s">
        <v>234</v>
      </c>
      <c r="F101" s="14" t="s">
        <v>47</v>
      </c>
      <c r="G101" s="14" t="s">
        <v>235</v>
      </c>
      <c r="H101" s="14" t="s">
        <v>52</v>
      </c>
    </row>
    <row r="102" spans="2:8" ht="9.75" customHeight="1">
      <c r="B102" s="16">
        <f t="shared" si="11"/>
        <v>94</v>
      </c>
      <c r="C102" s="13">
        <v>46129</v>
      </c>
      <c r="D102" s="14" t="s">
        <v>34</v>
      </c>
      <c r="E102" s="14" t="s">
        <v>236</v>
      </c>
      <c r="F102" s="14" t="s">
        <v>237</v>
      </c>
      <c r="G102" s="14" t="s">
        <v>238</v>
      </c>
      <c r="H102" s="14" t="s">
        <v>30</v>
      </c>
    </row>
    <row r="103" spans="2:8" ht="9.75" customHeight="1">
      <c r="B103" s="16">
        <f t="shared" si="11"/>
        <v>95</v>
      </c>
      <c r="C103" s="17">
        <f t="shared" ref="C103:C119" si="13">C102</f>
        <v>46129</v>
      </c>
      <c r="D103" s="14" t="s">
        <v>34</v>
      </c>
      <c r="E103" s="14" t="s">
        <v>223</v>
      </c>
      <c r="F103" s="14" t="s">
        <v>237</v>
      </c>
      <c r="G103" s="14" t="s">
        <v>239</v>
      </c>
      <c r="H103" s="14" t="s">
        <v>30</v>
      </c>
    </row>
    <row r="104" spans="2:8" ht="9.75" customHeight="1">
      <c r="B104" s="16">
        <f t="shared" si="11"/>
        <v>96</v>
      </c>
      <c r="C104" s="17">
        <f t="shared" si="13"/>
        <v>46129</v>
      </c>
      <c r="D104" s="14" t="s">
        <v>27</v>
      </c>
      <c r="E104" s="14" t="s">
        <v>21</v>
      </c>
      <c r="F104" s="14" t="s">
        <v>237</v>
      </c>
      <c r="G104" s="14" t="s">
        <v>240</v>
      </c>
      <c r="H104" s="14" t="s">
        <v>30</v>
      </c>
    </row>
    <row r="105" spans="2:8" ht="9.75" customHeight="1">
      <c r="B105" s="16">
        <f t="shared" si="11"/>
        <v>97</v>
      </c>
      <c r="C105" s="17">
        <f t="shared" si="13"/>
        <v>46129</v>
      </c>
      <c r="D105" s="14" t="s">
        <v>27</v>
      </c>
      <c r="E105" s="14" t="s">
        <v>83</v>
      </c>
      <c r="F105" s="14" t="s">
        <v>237</v>
      </c>
      <c r="G105" s="14" t="s">
        <v>241</v>
      </c>
      <c r="H105" s="14" t="s">
        <v>33</v>
      </c>
    </row>
    <row r="106" spans="2:8" ht="15.75" customHeight="1">
      <c r="B106" s="16">
        <f t="shared" si="11"/>
        <v>98</v>
      </c>
      <c r="C106" s="17">
        <f t="shared" si="13"/>
        <v>46129</v>
      </c>
      <c r="D106" s="14" t="s">
        <v>185</v>
      </c>
      <c r="E106" s="14" t="s">
        <v>13</v>
      </c>
      <c r="F106" s="14" t="s">
        <v>237</v>
      </c>
      <c r="G106" s="14" t="s">
        <v>242</v>
      </c>
      <c r="H106" s="14" t="s">
        <v>30</v>
      </c>
    </row>
    <row r="107" spans="2:8" ht="15.75" customHeight="1">
      <c r="B107" s="16">
        <f t="shared" si="11"/>
        <v>99</v>
      </c>
      <c r="C107" s="17">
        <f t="shared" si="13"/>
        <v>46129</v>
      </c>
      <c r="D107" s="14" t="s">
        <v>27</v>
      </c>
      <c r="E107" s="14" t="s">
        <v>243</v>
      </c>
      <c r="F107" s="14" t="s">
        <v>237</v>
      </c>
      <c r="G107" s="14" t="s">
        <v>244</v>
      </c>
      <c r="H107" s="14" t="s">
        <v>245</v>
      </c>
    </row>
    <row r="108" spans="2:8" ht="15.75" customHeight="1">
      <c r="B108" s="16">
        <f t="shared" si="11"/>
        <v>100</v>
      </c>
      <c r="C108" s="17">
        <f t="shared" si="13"/>
        <v>46129</v>
      </c>
      <c r="D108" s="14" t="s">
        <v>27</v>
      </c>
      <c r="E108" s="14" t="s">
        <v>41</v>
      </c>
      <c r="F108" s="14" t="s">
        <v>237</v>
      </c>
      <c r="G108" s="14" t="s">
        <v>246</v>
      </c>
      <c r="H108" s="14" t="s">
        <v>30</v>
      </c>
    </row>
    <row r="109" spans="2:8" ht="15.75" customHeight="1">
      <c r="B109" s="16">
        <f t="shared" si="11"/>
        <v>101</v>
      </c>
      <c r="C109" s="17">
        <f t="shared" si="13"/>
        <v>46129</v>
      </c>
      <c r="D109" s="14" t="s">
        <v>185</v>
      </c>
      <c r="E109" s="14" t="s">
        <v>41</v>
      </c>
      <c r="F109" s="14" t="s">
        <v>237</v>
      </c>
      <c r="G109" s="14" t="s">
        <v>247</v>
      </c>
      <c r="H109" s="14" t="s">
        <v>248</v>
      </c>
    </row>
    <row r="110" spans="2:8" ht="15.75" customHeight="1">
      <c r="B110" s="16">
        <f t="shared" si="11"/>
        <v>102</v>
      </c>
      <c r="C110" s="17">
        <f t="shared" si="13"/>
        <v>46129</v>
      </c>
      <c r="D110" s="14" t="s">
        <v>27</v>
      </c>
      <c r="E110" s="14" t="s">
        <v>223</v>
      </c>
      <c r="F110" s="14" t="s">
        <v>237</v>
      </c>
      <c r="G110" s="14" t="s">
        <v>249</v>
      </c>
      <c r="H110" s="14" t="s">
        <v>72</v>
      </c>
    </row>
    <row r="111" spans="2:8" ht="15.75" customHeight="1">
      <c r="B111" s="16">
        <f t="shared" si="11"/>
        <v>103</v>
      </c>
      <c r="C111" s="17">
        <f t="shared" si="13"/>
        <v>46129</v>
      </c>
      <c r="D111" s="14" t="s">
        <v>27</v>
      </c>
      <c r="E111" s="14" t="s">
        <v>43</v>
      </c>
      <c r="F111" s="14" t="s">
        <v>237</v>
      </c>
      <c r="G111" s="14" t="s">
        <v>250</v>
      </c>
      <c r="H111" s="14" t="s">
        <v>33</v>
      </c>
    </row>
    <row r="112" spans="2:8" ht="15.75" customHeight="1">
      <c r="B112" s="16">
        <f t="shared" si="11"/>
        <v>104</v>
      </c>
      <c r="C112" s="17">
        <f t="shared" si="13"/>
        <v>46129</v>
      </c>
      <c r="D112" s="14" t="s">
        <v>185</v>
      </c>
      <c r="E112" s="14" t="s">
        <v>9</v>
      </c>
      <c r="F112" s="14" t="s">
        <v>237</v>
      </c>
      <c r="G112" s="14" t="s">
        <v>251</v>
      </c>
      <c r="H112" s="14" t="s">
        <v>72</v>
      </c>
    </row>
    <row r="113" spans="2:8" ht="15.75" customHeight="1">
      <c r="B113" s="16">
        <f t="shared" si="11"/>
        <v>105</v>
      </c>
      <c r="C113" s="17">
        <f t="shared" si="13"/>
        <v>46129</v>
      </c>
      <c r="D113" s="14" t="s">
        <v>27</v>
      </c>
      <c r="E113" s="14" t="s">
        <v>41</v>
      </c>
      <c r="F113" s="14" t="s">
        <v>237</v>
      </c>
      <c r="G113" s="14" t="s">
        <v>252</v>
      </c>
      <c r="H113" s="14" t="s">
        <v>30</v>
      </c>
    </row>
    <row r="114" spans="2:8" ht="15.75" customHeight="1">
      <c r="B114" s="16">
        <f t="shared" si="11"/>
        <v>106</v>
      </c>
      <c r="C114" s="17">
        <f t="shared" si="13"/>
        <v>46129</v>
      </c>
      <c r="D114" s="14" t="s">
        <v>27</v>
      </c>
      <c r="E114" s="14" t="s">
        <v>253</v>
      </c>
      <c r="F114" s="14" t="s">
        <v>237</v>
      </c>
      <c r="G114" s="14" t="s">
        <v>254</v>
      </c>
      <c r="H114" s="14" t="s">
        <v>72</v>
      </c>
    </row>
    <row r="115" spans="2:8" ht="15.75" customHeight="1">
      <c r="B115" s="16">
        <f t="shared" si="11"/>
        <v>107</v>
      </c>
      <c r="C115" s="17">
        <f t="shared" si="13"/>
        <v>46129</v>
      </c>
      <c r="D115" s="14" t="s">
        <v>27</v>
      </c>
      <c r="E115" s="14" t="s">
        <v>43</v>
      </c>
      <c r="F115" s="14" t="s">
        <v>237</v>
      </c>
      <c r="G115" s="14" t="s">
        <v>255</v>
      </c>
      <c r="H115" s="14" t="s">
        <v>72</v>
      </c>
    </row>
    <row r="116" spans="2:8" ht="15.75" customHeight="1">
      <c r="B116" s="16">
        <f t="shared" si="11"/>
        <v>108</v>
      </c>
      <c r="C116" s="17">
        <f t="shared" si="13"/>
        <v>46129</v>
      </c>
      <c r="D116" s="14" t="s">
        <v>185</v>
      </c>
      <c r="E116" s="14" t="s">
        <v>9</v>
      </c>
      <c r="F116" s="14" t="s">
        <v>237</v>
      </c>
      <c r="G116" s="14" t="s">
        <v>256</v>
      </c>
      <c r="H116" s="14" t="s">
        <v>30</v>
      </c>
    </row>
    <row r="117" spans="2:8" ht="15.75" customHeight="1">
      <c r="B117" s="16">
        <f t="shared" si="11"/>
        <v>109</v>
      </c>
      <c r="C117" s="17">
        <f t="shared" si="13"/>
        <v>46129</v>
      </c>
      <c r="D117" s="14" t="s">
        <v>27</v>
      </c>
      <c r="E117" s="14" t="s">
        <v>16</v>
      </c>
      <c r="F117" s="14" t="s">
        <v>237</v>
      </c>
      <c r="G117" s="14" t="s">
        <v>257</v>
      </c>
      <c r="H117" s="14" t="s">
        <v>33</v>
      </c>
    </row>
    <row r="118" spans="2:8" ht="15.75" customHeight="1">
      <c r="B118" s="16">
        <f t="shared" si="11"/>
        <v>110</v>
      </c>
      <c r="C118" s="17">
        <f t="shared" si="13"/>
        <v>46129</v>
      </c>
      <c r="D118" s="14" t="s">
        <v>27</v>
      </c>
      <c r="E118" s="14" t="s">
        <v>43</v>
      </c>
      <c r="F118" s="14" t="s">
        <v>237</v>
      </c>
      <c r="G118" s="14" t="s">
        <v>258</v>
      </c>
      <c r="H118" s="14" t="s">
        <v>72</v>
      </c>
    </row>
    <row r="119" spans="2:8" ht="15.75" customHeight="1">
      <c r="B119" s="16">
        <f t="shared" si="11"/>
        <v>111</v>
      </c>
      <c r="C119" s="17">
        <f t="shared" si="13"/>
        <v>46129</v>
      </c>
      <c r="D119" s="14" t="s">
        <v>27</v>
      </c>
      <c r="E119" s="14" t="s">
        <v>13</v>
      </c>
      <c r="F119" s="14" t="s">
        <v>259</v>
      </c>
      <c r="G119" s="14" t="s">
        <v>260</v>
      </c>
      <c r="H119" s="14" t="s">
        <v>30</v>
      </c>
    </row>
    <row r="120" spans="2:8" ht="15.75" customHeight="1">
      <c r="B120" s="16">
        <f t="shared" si="11"/>
        <v>112</v>
      </c>
      <c r="C120" s="13">
        <v>46130</v>
      </c>
      <c r="D120" s="18" t="s">
        <v>261</v>
      </c>
      <c r="E120" s="18" t="s">
        <v>262</v>
      </c>
      <c r="F120" s="18" t="s">
        <v>263</v>
      </c>
      <c r="G120" s="18" t="s">
        <v>264</v>
      </c>
      <c r="H120" s="18" t="s">
        <v>30</v>
      </c>
    </row>
    <row r="121" spans="2:8" ht="15.75" customHeight="1">
      <c r="B121" s="16">
        <f t="shared" si="11"/>
        <v>113</v>
      </c>
      <c r="C121" s="17">
        <f t="shared" ref="C121:C123" si="14">C120</f>
        <v>46130</v>
      </c>
      <c r="D121" s="14" t="s">
        <v>27</v>
      </c>
      <c r="E121" s="14" t="s">
        <v>41</v>
      </c>
      <c r="F121" s="18" t="s">
        <v>263</v>
      </c>
      <c r="G121" s="14" t="s">
        <v>257</v>
      </c>
      <c r="H121" s="14" t="s">
        <v>33</v>
      </c>
    </row>
    <row r="122" spans="2:8" ht="15.75" customHeight="1">
      <c r="B122" s="16">
        <f t="shared" si="11"/>
        <v>114</v>
      </c>
      <c r="C122" s="17">
        <f t="shared" si="14"/>
        <v>46130</v>
      </c>
      <c r="D122" s="14" t="s">
        <v>34</v>
      </c>
      <c r="E122" s="14" t="s">
        <v>41</v>
      </c>
      <c r="F122" s="18" t="s">
        <v>263</v>
      </c>
      <c r="G122" s="14" t="s">
        <v>265</v>
      </c>
      <c r="H122" s="14" t="s">
        <v>30</v>
      </c>
    </row>
    <row r="123" spans="2:8" ht="15.75" customHeight="1">
      <c r="B123" s="16">
        <f t="shared" si="11"/>
        <v>115</v>
      </c>
      <c r="C123" s="17">
        <f t="shared" si="14"/>
        <v>46130</v>
      </c>
      <c r="D123" s="14" t="s">
        <v>34</v>
      </c>
      <c r="E123" s="14" t="s">
        <v>266</v>
      </c>
      <c r="F123" s="18" t="s">
        <v>263</v>
      </c>
      <c r="G123" s="14" t="s">
        <v>267</v>
      </c>
      <c r="H123" s="14" t="s">
        <v>30</v>
      </c>
    </row>
    <row r="124" spans="2:8" ht="15.75" customHeight="1">
      <c r="B124" s="16">
        <f t="shared" si="11"/>
        <v>116</v>
      </c>
      <c r="C124" s="13">
        <v>46131</v>
      </c>
      <c r="D124" s="18" t="s">
        <v>268</v>
      </c>
      <c r="E124" s="18" t="s">
        <v>269</v>
      </c>
      <c r="F124" s="18" t="s">
        <v>270</v>
      </c>
      <c r="G124" s="18" t="s">
        <v>271</v>
      </c>
      <c r="H124" s="18" t="s">
        <v>52</v>
      </c>
    </row>
    <row r="125" spans="2:8" ht="15.75" customHeight="1">
      <c r="B125" s="16">
        <f t="shared" si="11"/>
        <v>117</v>
      </c>
      <c r="C125" s="17">
        <f t="shared" ref="C125:C134" si="15">C124</f>
        <v>46131</v>
      </c>
      <c r="D125" s="14" t="s">
        <v>272</v>
      </c>
      <c r="E125" s="14" t="s">
        <v>21</v>
      </c>
      <c r="F125" s="14" t="s">
        <v>273</v>
      </c>
      <c r="G125" s="14" t="s">
        <v>274</v>
      </c>
      <c r="H125" s="14" t="s">
        <v>30</v>
      </c>
    </row>
    <row r="126" spans="2:8" ht="15.75" customHeight="1">
      <c r="B126" s="16">
        <f t="shared" si="11"/>
        <v>118</v>
      </c>
      <c r="C126" s="17">
        <f t="shared" si="15"/>
        <v>46131</v>
      </c>
      <c r="D126" s="14" t="s">
        <v>275</v>
      </c>
      <c r="E126" s="14" t="s">
        <v>276</v>
      </c>
      <c r="F126" s="14" t="s">
        <v>273</v>
      </c>
      <c r="G126" s="14" t="s">
        <v>277</v>
      </c>
      <c r="H126" s="14" t="s">
        <v>40</v>
      </c>
    </row>
    <row r="127" spans="2:8" ht="15.75" customHeight="1">
      <c r="B127" s="16">
        <f t="shared" si="11"/>
        <v>119</v>
      </c>
      <c r="C127" s="17">
        <f t="shared" si="15"/>
        <v>46131</v>
      </c>
      <c r="D127" s="14" t="s">
        <v>272</v>
      </c>
      <c r="E127" s="14" t="s">
        <v>31</v>
      </c>
      <c r="F127" s="14" t="s">
        <v>273</v>
      </c>
      <c r="G127" s="14" t="s">
        <v>278</v>
      </c>
      <c r="H127" s="14" t="s">
        <v>52</v>
      </c>
    </row>
    <row r="128" spans="2:8" ht="15.75" customHeight="1">
      <c r="B128" s="16">
        <f t="shared" si="11"/>
        <v>120</v>
      </c>
      <c r="C128" s="17">
        <f t="shared" si="15"/>
        <v>46131</v>
      </c>
      <c r="D128" s="14" t="s">
        <v>185</v>
      </c>
      <c r="E128" s="14" t="s">
        <v>83</v>
      </c>
      <c r="F128" s="14" t="s">
        <v>273</v>
      </c>
      <c r="G128" s="14" t="s">
        <v>279</v>
      </c>
      <c r="H128" s="14" t="s">
        <v>30</v>
      </c>
    </row>
    <row r="129" spans="2:8" ht="15.75" customHeight="1">
      <c r="B129" s="16">
        <f t="shared" si="11"/>
        <v>121</v>
      </c>
      <c r="C129" s="17">
        <f t="shared" si="15"/>
        <v>46131</v>
      </c>
      <c r="D129" s="14" t="s">
        <v>272</v>
      </c>
      <c r="E129" s="14" t="s">
        <v>41</v>
      </c>
      <c r="F129" s="14" t="s">
        <v>273</v>
      </c>
      <c r="G129" s="14" t="s">
        <v>280</v>
      </c>
      <c r="H129" s="14" t="s">
        <v>52</v>
      </c>
    </row>
    <row r="130" spans="2:8" ht="15.75" customHeight="1">
      <c r="B130" s="16">
        <f t="shared" si="11"/>
        <v>122</v>
      </c>
      <c r="C130" s="17">
        <f t="shared" si="15"/>
        <v>46131</v>
      </c>
      <c r="D130" s="14" t="s">
        <v>34</v>
      </c>
      <c r="E130" s="14" t="s">
        <v>41</v>
      </c>
      <c r="F130" s="14" t="s">
        <v>273</v>
      </c>
      <c r="G130" s="14" t="s">
        <v>36</v>
      </c>
      <c r="H130" s="14" t="s">
        <v>30</v>
      </c>
    </row>
    <row r="131" spans="2:8" ht="15.75" customHeight="1">
      <c r="B131" s="16">
        <f t="shared" si="11"/>
        <v>123</v>
      </c>
      <c r="C131" s="17">
        <f t="shared" si="15"/>
        <v>46131</v>
      </c>
      <c r="D131" s="14" t="s">
        <v>27</v>
      </c>
      <c r="E131" s="14" t="s">
        <v>41</v>
      </c>
      <c r="F131" s="14" t="s">
        <v>273</v>
      </c>
      <c r="G131" s="14" t="s">
        <v>281</v>
      </c>
      <c r="H131" s="14" t="s">
        <v>52</v>
      </c>
    </row>
    <row r="132" spans="2:8" ht="15.75" customHeight="1">
      <c r="B132" s="16">
        <f t="shared" si="11"/>
        <v>124</v>
      </c>
      <c r="C132" s="17">
        <f t="shared" si="15"/>
        <v>46131</v>
      </c>
      <c r="D132" s="14" t="s">
        <v>275</v>
      </c>
      <c r="E132" s="14" t="s">
        <v>43</v>
      </c>
      <c r="F132" s="14" t="s">
        <v>273</v>
      </c>
      <c r="G132" s="14" t="s">
        <v>282</v>
      </c>
      <c r="H132" s="14" t="s">
        <v>72</v>
      </c>
    </row>
    <row r="133" spans="2:8" ht="15.75" customHeight="1">
      <c r="B133" s="16">
        <f t="shared" si="11"/>
        <v>125</v>
      </c>
      <c r="C133" s="17">
        <f t="shared" si="15"/>
        <v>46131</v>
      </c>
      <c r="D133" s="14" t="s">
        <v>275</v>
      </c>
      <c r="E133" s="14" t="s">
        <v>43</v>
      </c>
      <c r="F133" s="14" t="s">
        <v>273</v>
      </c>
      <c r="G133" s="14" t="s">
        <v>283</v>
      </c>
      <c r="H133" s="14" t="s">
        <v>40</v>
      </c>
    </row>
    <row r="134" spans="2:8" ht="15.75" customHeight="1">
      <c r="B134" s="16">
        <f t="shared" si="11"/>
        <v>126</v>
      </c>
      <c r="C134" s="17">
        <f t="shared" si="15"/>
        <v>46131</v>
      </c>
      <c r="D134" s="14" t="s">
        <v>27</v>
      </c>
      <c r="E134" s="14" t="s">
        <v>108</v>
      </c>
      <c r="F134" s="14" t="s">
        <v>273</v>
      </c>
      <c r="G134" s="14" t="s">
        <v>284</v>
      </c>
      <c r="H134" s="14" t="s">
        <v>52</v>
      </c>
    </row>
    <row r="135" spans="2:8" ht="15.75" customHeight="1">
      <c r="B135" s="16">
        <f t="shared" si="11"/>
        <v>127</v>
      </c>
      <c r="C135" s="13">
        <v>46132</v>
      </c>
      <c r="D135" s="14" t="s">
        <v>171</v>
      </c>
      <c r="E135" s="14" t="s">
        <v>285</v>
      </c>
      <c r="F135" s="14" t="s">
        <v>286</v>
      </c>
      <c r="G135" s="14" t="s">
        <v>287</v>
      </c>
      <c r="H135" s="14" t="s">
        <v>30</v>
      </c>
    </row>
    <row r="136" spans="2:8" ht="15.75" customHeight="1">
      <c r="B136" s="16">
        <f t="shared" si="11"/>
        <v>128</v>
      </c>
      <c r="C136" s="17">
        <f t="shared" ref="C136:C146" si="16">C135</f>
        <v>46132</v>
      </c>
      <c r="D136" s="14" t="s">
        <v>171</v>
      </c>
      <c r="E136" s="14" t="s">
        <v>288</v>
      </c>
      <c r="F136" s="14" t="s">
        <v>286</v>
      </c>
      <c r="G136" s="14" t="s">
        <v>289</v>
      </c>
      <c r="H136" s="14" t="s">
        <v>30</v>
      </c>
    </row>
    <row r="137" spans="2:8" ht="15.75" customHeight="1">
      <c r="B137" s="16">
        <f t="shared" si="11"/>
        <v>129</v>
      </c>
      <c r="C137" s="17">
        <f t="shared" si="16"/>
        <v>46132</v>
      </c>
      <c r="D137" s="14" t="s">
        <v>171</v>
      </c>
      <c r="E137" s="14" t="s">
        <v>285</v>
      </c>
      <c r="F137" s="14" t="s">
        <v>286</v>
      </c>
      <c r="G137" s="14" t="s">
        <v>290</v>
      </c>
      <c r="H137" s="14" t="s">
        <v>291</v>
      </c>
    </row>
    <row r="138" spans="2:8" ht="15.75" customHeight="1">
      <c r="B138" s="16">
        <f t="shared" ref="B138:B201" si="17">B137+1</f>
        <v>130</v>
      </c>
      <c r="C138" s="17">
        <f t="shared" si="16"/>
        <v>46132</v>
      </c>
      <c r="D138" s="14" t="s">
        <v>171</v>
      </c>
      <c r="E138" s="14" t="s">
        <v>292</v>
      </c>
      <c r="F138" s="14" t="s">
        <v>286</v>
      </c>
      <c r="G138" s="14" t="s">
        <v>293</v>
      </c>
      <c r="H138" s="14" t="s">
        <v>30</v>
      </c>
    </row>
    <row r="139" spans="2:8" ht="15.75" customHeight="1">
      <c r="B139" s="16">
        <f t="shared" si="17"/>
        <v>131</v>
      </c>
      <c r="C139" s="17">
        <f t="shared" si="16"/>
        <v>46132</v>
      </c>
      <c r="D139" s="14" t="s">
        <v>171</v>
      </c>
      <c r="E139" s="14" t="s">
        <v>294</v>
      </c>
      <c r="F139" s="14" t="s">
        <v>286</v>
      </c>
      <c r="G139" s="14" t="s">
        <v>295</v>
      </c>
      <c r="H139" s="14" t="s">
        <v>296</v>
      </c>
    </row>
    <row r="140" spans="2:8" ht="15.75" customHeight="1">
      <c r="B140" s="16">
        <f t="shared" si="17"/>
        <v>132</v>
      </c>
      <c r="C140" s="17">
        <f t="shared" si="16"/>
        <v>46132</v>
      </c>
      <c r="D140" s="14" t="s">
        <v>297</v>
      </c>
      <c r="E140" s="14" t="s">
        <v>123</v>
      </c>
      <c r="F140" s="14" t="s">
        <v>286</v>
      </c>
      <c r="G140" s="14" t="s">
        <v>298</v>
      </c>
      <c r="H140" s="14" t="s">
        <v>72</v>
      </c>
    </row>
    <row r="141" spans="2:8" ht="15.75" customHeight="1">
      <c r="B141" s="16">
        <f t="shared" si="17"/>
        <v>133</v>
      </c>
      <c r="C141" s="17">
        <f t="shared" si="16"/>
        <v>46132</v>
      </c>
      <c r="D141" s="14" t="s">
        <v>171</v>
      </c>
      <c r="E141" s="14" t="s">
        <v>299</v>
      </c>
      <c r="F141" s="14" t="s">
        <v>286</v>
      </c>
      <c r="G141" s="14" t="s">
        <v>300</v>
      </c>
      <c r="H141" s="14" t="s">
        <v>72</v>
      </c>
    </row>
    <row r="142" spans="2:8" ht="15.75" customHeight="1">
      <c r="B142" s="16">
        <f t="shared" si="17"/>
        <v>134</v>
      </c>
      <c r="C142" s="17">
        <f t="shared" si="16"/>
        <v>46132</v>
      </c>
      <c r="D142" s="14" t="s">
        <v>171</v>
      </c>
      <c r="E142" s="14" t="s">
        <v>301</v>
      </c>
      <c r="F142" s="14" t="s">
        <v>286</v>
      </c>
      <c r="G142" s="14" t="s">
        <v>302</v>
      </c>
      <c r="H142" s="14" t="s">
        <v>72</v>
      </c>
    </row>
    <row r="143" spans="2:8" ht="15.75" customHeight="1">
      <c r="B143" s="16">
        <f t="shared" si="17"/>
        <v>135</v>
      </c>
      <c r="C143" s="17">
        <f t="shared" si="16"/>
        <v>46132</v>
      </c>
      <c r="D143" s="14" t="s">
        <v>171</v>
      </c>
      <c r="E143" s="14" t="s">
        <v>41</v>
      </c>
      <c r="F143" s="14" t="s">
        <v>286</v>
      </c>
      <c r="G143" s="19"/>
      <c r="H143" s="22"/>
    </row>
    <row r="144" spans="2:8" ht="15.75" customHeight="1">
      <c r="B144" s="16">
        <f t="shared" si="17"/>
        <v>136</v>
      </c>
      <c r="C144" s="17">
        <f t="shared" si="16"/>
        <v>46132</v>
      </c>
      <c r="D144" s="14" t="s">
        <v>303</v>
      </c>
      <c r="E144" s="14" t="s">
        <v>78</v>
      </c>
      <c r="F144" s="14" t="s">
        <v>47</v>
      </c>
      <c r="G144" s="14" t="s">
        <v>304</v>
      </c>
      <c r="H144" s="14" t="s">
        <v>33</v>
      </c>
    </row>
    <row r="145" spans="2:8" ht="15.75" customHeight="1">
      <c r="B145" s="16">
        <f t="shared" si="17"/>
        <v>137</v>
      </c>
      <c r="C145" s="17">
        <f t="shared" si="16"/>
        <v>46132</v>
      </c>
      <c r="D145" s="14" t="s">
        <v>305</v>
      </c>
      <c r="E145" s="14" t="s">
        <v>13</v>
      </c>
      <c r="F145" s="14" t="s">
        <v>47</v>
      </c>
      <c r="G145" s="14" t="s">
        <v>306</v>
      </c>
      <c r="H145" s="22"/>
    </row>
    <row r="146" spans="2:8" ht="15.75" customHeight="1">
      <c r="B146" s="16">
        <f t="shared" si="17"/>
        <v>138</v>
      </c>
      <c r="C146" s="17">
        <f t="shared" si="16"/>
        <v>46132</v>
      </c>
      <c r="D146" s="14" t="s">
        <v>307</v>
      </c>
      <c r="E146" s="14" t="s">
        <v>308</v>
      </c>
      <c r="F146" s="14" t="s">
        <v>47</v>
      </c>
      <c r="G146" s="14" t="s">
        <v>309</v>
      </c>
      <c r="H146" s="14" t="s">
        <v>310</v>
      </c>
    </row>
    <row r="147" spans="2:8" ht="15.75" customHeight="1">
      <c r="B147" s="16">
        <f t="shared" si="17"/>
        <v>139</v>
      </c>
      <c r="C147" s="26">
        <v>46133</v>
      </c>
      <c r="D147" s="14" t="s">
        <v>311</v>
      </c>
      <c r="E147" s="25" t="s">
        <v>99</v>
      </c>
      <c r="F147" s="14" t="s">
        <v>312</v>
      </c>
      <c r="G147" s="14" t="s">
        <v>313</v>
      </c>
      <c r="H147" s="14" t="s">
        <v>85</v>
      </c>
    </row>
    <row r="148" spans="2:8" ht="15.75" customHeight="1">
      <c r="B148" s="16">
        <f t="shared" si="17"/>
        <v>140</v>
      </c>
      <c r="C148" s="17">
        <f t="shared" ref="C148:C153" si="18">C147</f>
        <v>46133</v>
      </c>
      <c r="D148" s="14" t="s">
        <v>311</v>
      </c>
      <c r="E148" s="14" t="s">
        <v>314</v>
      </c>
      <c r="F148" s="14" t="s">
        <v>312</v>
      </c>
      <c r="G148" s="14" t="s">
        <v>315</v>
      </c>
      <c r="H148" s="14" t="s">
        <v>85</v>
      </c>
    </row>
    <row r="149" spans="2:8" ht="15.75" customHeight="1">
      <c r="B149" s="16">
        <f t="shared" si="17"/>
        <v>141</v>
      </c>
      <c r="C149" s="17">
        <f t="shared" si="18"/>
        <v>46133</v>
      </c>
      <c r="D149" s="14" t="s">
        <v>34</v>
      </c>
      <c r="E149" s="14" t="s">
        <v>16</v>
      </c>
      <c r="F149" s="14" t="s">
        <v>312</v>
      </c>
      <c r="G149" s="14" t="s">
        <v>316</v>
      </c>
      <c r="H149" s="14" t="s">
        <v>30</v>
      </c>
    </row>
    <row r="150" spans="2:8" ht="15.75" customHeight="1">
      <c r="B150" s="16">
        <f t="shared" si="17"/>
        <v>142</v>
      </c>
      <c r="C150" s="17">
        <f t="shared" si="18"/>
        <v>46133</v>
      </c>
      <c r="D150" s="14" t="s">
        <v>34</v>
      </c>
      <c r="E150" s="14" t="s">
        <v>223</v>
      </c>
      <c r="F150" s="14" t="s">
        <v>312</v>
      </c>
      <c r="G150" s="14" t="s">
        <v>317</v>
      </c>
      <c r="H150" s="14" t="s">
        <v>30</v>
      </c>
    </row>
    <row r="151" spans="2:8" ht="15.75" customHeight="1">
      <c r="B151" s="16">
        <f t="shared" si="17"/>
        <v>143</v>
      </c>
      <c r="C151" s="17">
        <f t="shared" si="18"/>
        <v>46133</v>
      </c>
      <c r="D151" s="14" t="s">
        <v>185</v>
      </c>
      <c r="E151" s="14" t="s">
        <v>99</v>
      </c>
      <c r="F151" s="14" t="s">
        <v>312</v>
      </c>
      <c r="G151" s="14" t="s">
        <v>318</v>
      </c>
      <c r="H151" s="14" t="s">
        <v>30</v>
      </c>
    </row>
    <row r="152" spans="2:8" ht="15.75" customHeight="1">
      <c r="B152" s="16">
        <f t="shared" si="17"/>
        <v>144</v>
      </c>
      <c r="C152" s="17">
        <f t="shared" si="18"/>
        <v>46133</v>
      </c>
      <c r="D152" s="14" t="s">
        <v>185</v>
      </c>
      <c r="E152" s="14" t="s">
        <v>41</v>
      </c>
      <c r="F152" s="14" t="s">
        <v>312</v>
      </c>
      <c r="G152" s="14" t="s">
        <v>319</v>
      </c>
      <c r="H152" s="14" t="s">
        <v>30</v>
      </c>
    </row>
    <row r="153" spans="2:8" ht="15.75" customHeight="1">
      <c r="B153" s="16">
        <f t="shared" si="17"/>
        <v>145</v>
      </c>
      <c r="C153" s="17">
        <f t="shared" si="18"/>
        <v>46133</v>
      </c>
      <c r="D153" s="14" t="s">
        <v>185</v>
      </c>
      <c r="E153" s="14" t="s">
        <v>43</v>
      </c>
      <c r="F153" s="14" t="s">
        <v>312</v>
      </c>
      <c r="G153" s="21" t="s">
        <v>320</v>
      </c>
      <c r="H153" s="14" t="s">
        <v>30</v>
      </c>
    </row>
    <row r="154" spans="2:8" ht="15.75" customHeight="1">
      <c r="B154" s="16">
        <f t="shared" si="17"/>
        <v>146</v>
      </c>
      <c r="C154" s="13">
        <v>46134</v>
      </c>
      <c r="D154" s="18" t="s">
        <v>275</v>
      </c>
      <c r="E154" s="27" t="s">
        <v>9</v>
      </c>
      <c r="F154" s="18" t="s">
        <v>263</v>
      </c>
      <c r="G154" s="18" t="s">
        <v>321</v>
      </c>
      <c r="H154" s="18" t="s">
        <v>30</v>
      </c>
    </row>
    <row r="155" spans="2:8" ht="15.75" customHeight="1">
      <c r="B155" s="16">
        <f t="shared" si="17"/>
        <v>147</v>
      </c>
      <c r="C155" s="17">
        <f t="shared" ref="C155:C168" si="19">C154</f>
        <v>46134</v>
      </c>
      <c r="D155" s="14" t="s">
        <v>185</v>
      </c>
      <c r="E155" s="14" t="s">
        <v>78</v>
      </c>
      <c r="F155" s="18" t="s">
        <v>263</v>
      </c>
      <c r="G155" s="14" t="s">
        <v>322</v>
      </c>
      <c r="H155" s="14" t="s">
        <v>323</v>
      </c>
    </row>
    <row r="156" spans="2:8" ht="15.75" customHeight="1">
      <c r="B156" s="16">
        <f t="shared" si="17"/>
        <v>148</v>
      </c>
      <c r="C156" s="17">
        <f t="shared" si="19"/>
        <v>46134</v>
      </c>
      <c r="D156" s="14" t="s">
        <v>275</v>
      </c>
      <c r="E156" s="14" t="s">
        <v>31</v>
      </c>
      <c r="F156" s="18" t="s">
        <v>263</v>
      </c>
      <c r="G156" s="14" t="s">
        <v>324</v>
      </c>
      <c r="H156" s="14" t="s">
        <v>33</v>
      </c>
    </row>
    <row r="157" spans="2:8" ht="15.75" customHeight="1">
      <c r="B157" s="16">
        <f t="shared" si="17"/>
        <v>149</v>
      </c>
      <c r="C157" s="17">
        <f t="shared" si="19"/>
        <v>46134</v>
      </c>
      <c r="D157" s="14" t="s">
        <v>325</v>
      </c>
      <c r="E157" s="14" t="s">
        <v>326</v>
      </c>
      <c r="F157" s="18" t="s">
        <v>263</v>
      </c>
      <c r="G157" s="14" t="s">
        <v>327</v>
      </c>
      <c r="H157" s="14" t="s">
        <v>40</v>
      </c>
    </row>
    <row r="158" spans="2:8" ht="15.75" customHeight="1">
      <c r="B158" s="16">
        <f t="shared" si="17"/>
        <v>150</v>
      </c>
      <c r="C158" s="17">
        <f t="shared" si="19"/>
        <v>46134</v>
      </c>
      <c r="D158" s="14" t="s">
        <v>27</v>
      </c>
      <c r="E158" s="14" t="s">
        <v>31</v>
      </c>
      <c r="F158" s="18" t="s">
        <v>263</v>
      </c>
      <c r="G158" s="14" t="s">
        <v>328</v>
      </c>
      <c r="H158" s="14" t="s">
        <v>33</v>
      </c>
    </row>
    <row r="159" spans="2:8" ht="15.75" customHeight="1">
      <c r="B159" s="16">
        <f t="shared" si="17"/>
        <v>151</v>
      </c>
      <c r="C159" s="17">
        <f t="shared" si="19"/>
        <v>46134</v>
      </c>
      <c r="D159" s="14" t="s">
        <v>27</v>
      </c>
      <c r="E159" s="14" t="s">
        <v>31</v>
      </c>
      <c r="F159" s="18" t="s">
        <v>263</v>
      </c>
      <c r="G159" s="14" t="s">
        <v>329</v>
      </c>
      <c r="H159" s="14" t="s">
        <v>33</v>
      </c>
    </row>
    <row r="160" spans="2:8" ht="15.75" customHeight="1">
      <c r="B160" s="16">
        <f t="shared" si="17"/>
        <v>152</v>
      </c>
      <c r="C160" s="17">
        <f t="shared" si="19"/>
        <v>46134</v>
      </c>
      <c r="D160" s="14" t="s">
        <v>85</v>
      </c>
      <c r="E160" s="14" t="s">
        <v>35</v>
      </c>
      <c r="F160" s="18" t="s">
        <v>263</v>
      </c>
      <c r="G160" s="14" t="s">
        <v>330</v>
      </c>
      <c r="H160" s="14" t="s">
        <v>33</v>
      </c>
    </row>
    <row r="161" spans="2:8" ht="15.75" customHeight="1">
      <c r="B161" s="16">
        <f t="shared" si="17"/>
        <v>153</v>
      </c>
      <c r="C161" s="17">
        <f t="shared" si="19"/>
        <v>46134</v>
      </c>
      <c r="D161" s="14" t="s">
        <v>275</v>
      </c>
      <c r="E161" s="14" t="s">
        <v>43</v>
      </c>
      <c r="F161" s="18" t="s">
        <v>263</v>
      </c>
      <c r="G161" s="14" t="s">
        <v>331</v>
      </c>
      <c r="H161" s="14" t="s">
        <v>30</v>
      </c>
    </row>
    <row r="162" spans="2:8" ht="15.75" customHeight="1">
      <c r="B162" s="16">
        <f t="shared" si="17"/>
        <v>154</v>
      </c>
      <c r="C162" s="17">
        <f t="shared" si="19"/>
        <v>46134</v>
      </c>
      <c r="D162" s="14" t="s">
        <v>85</v>
      </c>
      <c r="E162" s="14" t="s">
        <v>332</v>
      </c>
      <c r="F162" s="18" t="s">
        <v>263</v>
      </c>
      <c r="G162" s="14" t="s">
        <v>333</v>
      </c>
      <c r="H162" s="14" t="s">
        <v>33</v>
      </c>
    </row>
    <row r="163" spans="2:8" ht="15.75" customHeight="1">
      <c r="B163" s="16">
        <f t="shared" si="17"/>
        <v>155</v>
      </c>
      <c r="C163" s="17">
        <f t="shared" si="19"/>
        <v>46134</v>
      </c>
      <c r="D163" s="14" t="s">
        <v>27</v>
      </c>
      <c r="E163" s="14" t="s">
        <v>334</v>
      </c>
      <c r="F163" s="18" t="s">
        <v>263</v>
      </c>
      <c r="G163" s="14" t="s">
        <v>335</v>
      </c>
      <c r="H163" s="14" t="s">
        <v>30</v>
      </c>
    </row>
    <row r="164" spans="2:8" ht="15.75" customHeight="1">
      <c r="B164" s="16">
        <f t="shared" si="17"/>
        <v>156</v>
      </c>
      <c r="C164" s="17">
        <f t="shared" si="19"/>
        <v>46134</v>
      </c>
      <c r="D164" s="14" t="s">
        <v>27</v>
      </c>
      <c r="E164" s="14" t="s">
        <v>41</v>
      </c>
      <c r="F164" s="18" t="s">
        <v>263</v>
      </c>
      <c r="G164" s="14" t="s">
        <v>336</v>
      </c>
      <c r="H164" s="14" t="s">
        <v>33</v>
      </c>
    </row>
    <row r="165" spans="2:8" ht="15.75" customHeight="1">
      <c r="B165" s="16">
        <f t="shared" si="17"/>
        <v>157</v>
      </c>
      <c r="C165" s="17">
        <f t="shared" si="19"/>
        <v>46134</v>
      </c>
      <c r="D165" s="14" t="s">
        <v>27</v>
      </c>
      <c r="E165" s="14" t="s">
        <v>262</v>
      </c>
      <c r="F165" s="18" t="s">
        <v>263</v>
      </c>
      <c r="G165" s="14" t="s">
        <v>337</v>
      </c>
      <c r="H165" s="14" t="s">
        <v>30</v>
      </c>
    </row>
    <row r="166" spans="2:8" ht="15.75" customHeight="1">
      <c r="B166" s="16">
        <f t="shared" si="17"/>
        <v>158</v>
      </c>
      <c r="C166" s="17">
        <f t="shared" si="19"/>
        <v>46134</v>
      </c>
      <c r="D166" s="14" t="s">
        <v>27</v>
      </c>
      <c r="E166" s="14" t="s">
        <v>99</v>
      </c>
      <c r="F166" s="18" t="s">
        <v>263</v>
      </c>
      <c r="G166" s="14" t="s">
        <v>338</v>
      </c>
      <c r="H166" s="14" t="s">
        <v>33</v>
      </c>
    </row>
    <row r="167" spans="2:8" ht="15.75" customHeight="1">
      <c r="B167" s="16">
        <f t="shared" si="17"/>
        <v>159</v>
      </c>
      <c r="C167" s="17">
        <f t="shared" si="19"/>
        <v>46134</v>
      </c>
      <c r="D167" s="14" t="s">
        <v>27</v>
      </c>
      <c r="E167" s="14" t="s">
        <v>41</v>
      </c>
      <c r="F167" s="18" t="s">
        <v>263</v>
      </c>
      <c r="G167" s="14" t="s">
        <v>339</v>
      </c>
      <c r="H167" s="14" t="s">
        <v>33</v>
      </c>
    </row>
    <row r="168" spans="2:8" ht="15.75" customHeight="1">
      <c r="B168" s="16">
        <f t="shared" si="17"/>
        <v>160</v>
      </c>
      <c r="C168" s="17">
        <f t="shared" si="19"/>
        <v>46134</v>
      </c>
      <c r="D168" s="14" t="s">
        <v>27</v>
      </c>
      <c r="E168" s="14" t="s">
        <v>43</v>
      </c>
      <c r="F168" s="18" t="s">
        <v>263</v>
      </c>
      <c r="G168" s="14" t="s">
        <v>340</v>
      </c>
      <c r="H168" s="14" t="s">
        <v>30</v>
      </c>
    </row>
    <row r="169" spans="2:8" ht="15.75" customHeight="1">
      <c r="B169" s="16">
        <f t="shared" si="17"/>
        <v>161</v>
      </c>
      <c r="C169" s="13">
        <v>46135</v>
      </c>
      <c r="D169" s="18" t="s">
        <v>66</v>
      </c>
      <c r="E169" s="18" t="s">
        <v>285</v>
      </c>
      <c r="F169" s="18" t="s">
        <v>341</v>
      </c>
      <c r="G169" s="18" t="s">
        <v>342</v>
      </c>
      <c r="H169" s="18" t="s">
        <v>30</v>
      </c>
    </row>
    <row r="170" spans="2:8" ht="15.75" customHeight="1">
      <c r="B170" s="16">
        <f t="shared" si="17"/>
        <v>162</v>
      </c>
      <c r="C170" s="17">
        <f t="shared" ref="C170:C191" si="20">C169</f>
        <v>46135</v>
      </c>
      <c r="D170" s="14" t="s">
        <v>77</v>
      </c>
      <c r="E170" s="18" t="s">
        <v>285</v>
      </c>
      <c r="F170" s="18" t="s">
        <v>341</v>
      </c>
      <c r="G170" s="14" t="s">
        <v>343</v>
      </c>
      <c r="H170" s="18" t="s">
        <v>30</v>
      </c>
    </row>
    <row r="171" spans="2:8" ht="15.75" customHeight="1">
      <c r="B171" s="16">
        <f t="shared" si="17"/>
        <v>163</v>
      </c>
      <c r="C171" s="17">
        <f t="shared" si="20"/>
        <v>46135</v>
      </c>
      <c r="D171" s="14" t="s">
        <v>77</v>
      </c>
      <c r="E171" s="14" t="s">
        <v>344</v>
      </c>
      <c r="F171" s="18" t="s">
        <v>341</v>
      </c>
      <c r="G171" s="14" t="s">
        <v>345</v>
      </c>
      <c r="H171" s="18" t="s">
        <v>30</v>
      </c>
    </row>
    <row r="172" spans="2:8" ht="15.75" customHeight="1">
      <c r="B172" s="16">
        <f t="shared" si="17"/>
        <v>164</v>
      </c>
      <c r="C172" s="17">
        <f t="shared" si="20"/>
        <v>46135</v>
      </c>
      <c r="D172" s="18" t="s">
        <v>66</v>
      </c>
      <c r="E172" s="14" t="s">
        <v>285</v>
      </c>
      <c r="F172" s="18" t="s">
        <v>341</v>
      </c>
      <c r="G172" s="14" t="s">
        <v>346</v>
      </c>
      <c r="H172" s="18" t="s">
        <v>30</v>
      </c>
    </row>
    <row r="173" spans="2:8" ht="15.75" customHeight="1">
      <c r="B173" s="16">
        <f t="shared" si="17"/>
        <v>165</v>
      </c>
      <c r="C173" s="17">
        <f t="shared" si="20"/>
        <v>46135</v>
      </c>
      <c r="D173" s="18" t="s">
        <v>66</v>
      </c>
      <c r="E173" s="14" t="s">
        <v>347</v>
      </c>
      <c r="F173" s="18" t="s">
        <v>341</v>
      </c>
      <c r="G173" s="18" t="s">
        <v>348</v>
      </c>
      <c r="H173" s="18" t="s">
        <v>30</v>
      </c>
    </row>
    <row r="174" spans="2:8" ht="15.75" customHeight="1">
      <c r="B174" s="16">
        <f t="shared" si="17"/>
        <v>166</v>
      </c>
      <c r="C174" s="17">
        <f t="shared" si="20"/>
        <v>46135</v>
      </c>
      <c r="D174" s="14" t="s">
        <v>77</v>
      </c>
      <c r="E174" s="14" t="s">
        <v>349</v>
      </c>
      <c r="F174" s="18" t="s">
        <v>341</v>
      </c>
      <c r="G174" s="18" t="s">
        <v>350</v>
      </c>
      <c r="H174" s="18" t="s">
        <v>30</v>
      </c>
    </row>
    <row r="175" spans="2:8" ht="15.75" customHeight="1">
      <c r="B175" s="16">
        <f t="shared" si="17"/>
        <v>167</v>
      </c>
      <c r="C175" s="17">
        <f t="shared" si="20"/>
        <v>46135</v>
      </c>
      <c r="D175" s="14" t="s">
        <v>77</v>
      </c>
      <c r="E175" s="14" t="s">
        <v>123</v>
      </c>
      <c r="F175" s="18" t="s">
        <v>341</v>
      </c>
      <c r="G175" s="14" t="s">
        <v>351</v>
      </c>
      <c r="H175" s="18" t="s">
        <v>30</v>
      </c>
    </row>
    <row r="176" spans="2:8" ht="15.75" customHeight="1">
      <c r="B176" s="16">
        <f t="shared" si="17"/>
        <v>168</v>
      </c>
      <c r="C176" s="17">
        <f t="shared" si="20"/>
        <v>46135</v>
      </c>
      <c r="D176" s="14" t="s">
        <v>69</v>
      </c>
      <c r="E176" s="14" t="s">
        <v>285</v>
      </c>
      <c r="F176" s="18" t="s">
        <v>341</v>
      </c>
      <c r="G176" s="14" t="s">
        <v>352</v>
      </c>
      <c r="H176" s="14" t="s">
        <v>72</v>
      </c>
    </row>
    <row r="177" spans="2:8" ht="15.75" customHeight="1">
      <c r="B177" s="16">
        <f t="shared" si="17"/>
        <v>169</v>
      </c>
      <c r="C177" s="17">
        <f t="shared" si="20"/>
        <v>46135</v>
      </c>
      <c r="D177" s="14" t="s">
        <v>69</v>
      </c>
      <c r="E177" s="14" t="s">
        <v>353</v>
      </c>
      <c r="F177" s="18" t="s">
        <v>341</v>
      </c>
      <c r="G177" s="14" t="s">
        <v>354</v>
      </c>
      <c r="H177" s="14" t="s">
        <v>72</v>
      </c>
    </row>
    <row r="178" spans="2:8" ht="15.75" customHeight="1">
      <c r="B178" s="16">
        <f t="shared" si="17"/>
        <v>170</v>
      </c>
      <c r="C178" s="17">
        <f t="shared" si="20"/>
        <v>46135</v>
      </c>
      <c r="D178" s="14" t="s">
        <v>69</v>
      </c>
      <c r="E178" s="14" t="s">
        <v>349</v>
      </c>
      <c r="F178" s="18" t="s">
        <v>341</v>
      </c>
      <c r="G178" s="14" t="s">
        <v>355</v>
      </c>
      <c r="H178" s="14" t="s">
        <v>72</v>
      </c>
    </row>
    <row r="179" spans="2:8" ht="15.75" customHeight="1">
      <c r="B179" s="16">
        <f t="shared" si="17"/>
        <v>171</v>
      </c>
      <c r="C179" s="17">
        <f t="shared" si="20"/>
        <v>46135</v>
      </c>
      <c r="D179" s="14" t="s">
        <v>69</v>
      </c>
      <c r="E179" s="14" t="s">
        <v>356</v>
      </c>
      <c r="F179" s="18" t="s">
        <v>341</v>
      </c>
      <c r="G179" s="14" t="s">
        <v>357</v>
      </c>
      <c r="H179" s="14" t="s">
        <v>72</v>
      </c>
    </row>
    <row r="180" spans="2:8" ht="15.75" customHeight="1">
      <c r="B180" s="16">
        <f t="shared" si="17"/>
        <v>172</v>
      </c>
      <c r="C180" s="17">
        <f t="shared" si="20"/>
        <v>46135</v>
      </c>
      <c r="D180" s="14" t="s">
        <v>69</v>
      </c>
      <c r="E180" s="14" t="s">
        <v>285</v>
      </c>
      <c r="F180" s="18" t="s">
        <v>341</v>
      </c>
      <c r="G180" s="14" t="s">
        <v>358</v>
      </c>
      <c r="H180" s="14" t="s">
        <v>72</v>
      </c>
    </row>
    <row r="181" spans="2:8" ht="15.75" customHeight="1">
      <c r="B181" s="16">
        <f t="shared" si="17"/>
        <v>173</v>
      </c>
      <c r="C181" s="17">
        <f t="shared" si="20"/>
        <v>46135</v>
      </c>
      <c r="D181" s="14" t="s">
        <v>69</v>
      </c>
      <c r="E181" s="14" t="s">
        <v>356</v>
      </c>
      <c r="F181" s="18" t="s">
        <v>341</v>
      </c>
      <c r="G181" s="14" t="s">
        <v>359</v>
      </c>
      <c r="H181" s="14" t="s">
        <v>72</v>
      </c>
    </row>
    <row r="182" spans="2:8" ht="15.75" customHeight="1">
      <c r="B182" s="16">
        <f t="shared" si="17"/>
        <v>174</v>
      </c>
      <c r="C182" s="17">
        <f t="shared" si="20"/>
        <v>46135</v>
      </c>
      <c r="D182" s="14" t="s">
        <v>69</v>
      </c>
      <c r="E182" s="14" t="s">
        <v>356</v>
      </c>
      <c r="F182" s="18" t="s">
        <v>341</v>
      </c>
      <c r="G182" s="14" t="s">
        <v>360</v>
      </c>
      <c r="H182" s="14" t="s">
        <v>72</v>
      </c>
    </row>
    <row r="183" spans="2:8" ht="15.75" customHeight="1">
      <c r="B183" s="16">
        <f t="shared" si="17"/>
        <v>175</v>
      </c>
      <c r="C183" s="17">
        <f t="shared" si="20"/>
        <v>46135</v>
      </c>
      <c r="D183" s="14" t="s">
        <v>69</v>
      </c>
      <c r="E183" s="14" t="s">
        <v>285</v>
      </c>
      <c r="F183" s="18" t="s">
        <v>341</v>
      </c>
      <c r="G183" s="14" t="s">
        <v>361</v>
      </c>
      <c r="H183" s="14" t="s">
        <v>72</v>
      </c>
    </row>
    <row r="184" spans="2:8" ht="15.75" customHeight="1">
      <c r="B184" s="16">
        <f t="shared" si="17"/>
        <v>176</v>
      </c>
      <c r="C184" s="17">
        <f t="shared" si="20"/>
        <v>46135</v>
      </c>
      <c r="D184" s="14" t="s">
        <v>69</v>
      </c>
      <c r="E184" s="14" t="s">
        <v>123</v>
      </c>
      <c r="F184" s="18" t="s">
        <v>341</v>
      </c>
      <c r="G184" s="14" t="s">
        <v>362</v>
      </c>
      <c r="H184" s="14" t="s">
        <v>72</v>
      </c>
    </row>
    <row r="185" spans="2:8" ht="15.75" customHeight="1">
      <c r="B185" s="16">
        <f t="shared" si="17"/>
        <v>177</v>
      </c>
      <c r="C185" s="17">
        <f t="shared" si="20"/>
        <v>46135</v>
      </c>
      <c r="D185" s="14" t="s">
        <v>69</v>
      </c>
      <c r="E185" s="14" t="s">
        <v>356</v>
      </c>
      <c r="F185" s="18" t="s">
        <v>341</v>
      </c>
      <c r="G185" s="14" t="s">
        <v>363</v>
      </c>
      <c r="H185" s="14" t="s">
        <v>72</v>
      </c>
    </row>
    <row r="186" spans="2:8" ht="15.75" customHeight="1">
      <c r="B186" s="16">
        <f t="shared" si="17"/>
        <v>178</v>
      </c>
      <c r="C186" s="17">
        <f t="shared" si="20"/>
        <v>46135</v>
      </c>
      <c r="D186" s="14" t="s">
        <v>69</v>
      </c>
      <c r="E186" s="14" t="s">
        <v>349</v>
      </c>
      <c r="F186" s="18" t="s">
        <v>341</v>
      </c>
      <c r="G186" s="14" t="s">
        <v>364</v>
      </c>
      <c r="H186" s="14" t="s">
        <v>30</v>
      </c>
    </row>
    <row r="187" spans="2:8" ht="15.75" customHeight="1">
      <c r="B187" s="16">
        <f t="shared" si="17"/>
        <v>179</v>
      </c>
      <c r="C187" s="17">
        <f t="shared" si="20"/>
        <v>46135</v>
      </c>
      <c r="D187" s="14" t="s">
        <v>69</v>
      </c>
      <c r="E187" s="14" t="s">
        <v>349</v>
      </c>
      <c r="F187" s="18" t="s">
        <v>341</v>
      </c>
      <c r="G187" s="14" t="s">
        <v>365</v>
      </c>
      <c r="H187" s="18" t="s">
        <v>30</v>
      </c>
    </row>
    <row r="188" spans="2:8" ht="15.75" customHeight="1">
      <c r="B188" s="16">
        <f t="shared" si="17"/>
        <v>180</v>
      </c>
      <c r="C188" s="17">
        <f t="shared" si="20"/>
        <v>46135</v>
      </c>
      <c r="D188" s="14" t="s">
        <v>69</v>
      </c>
      <c r="E188" s="14" t="s">
        <v>353</v>
      </c>
      <c r="F188" s="18" t="s">
        <v>341</v>
      </c>
      <c r="G188" s="14" t="s">
        <v>366</v>
      </c>
      <c r="H188" s="14" t="s">
        <v>72</v>
      </c>
    </row>
    <row r="189" spans="2:8" ht="15.75" customHeight="1">
      <c r="B189" s="16">
        <f t="shared" si="17"/>
        <v>181</v>
      </c>
      <c r="C189" s="17">
        <f t="shared" si="20"/>
        <v>46135</v>
      </c>
      <c r="D189" s="14" t="s">
        <v>69</v>
      </c>
      <c r="E189" s="14" t="s">
        <v>285</v>
      </c>
      <c r="F189" s="18" t="s">
        <v>341</v>
      </c>
      <c r="G189" s="14" t="s">
        <v>367</v>
      </c>
      <c r="H189" s="14" t="s">
        <v>72</v>
      </c>
    </row>
    <row r="190" spans="2:8" ht="15.75" customHeight="1">
      <c r="B190" s="16">
        <f t="shared" si="17"/>
        <v>182</v>
      </c>
      <c r="C190" s="17">
        <f t="shared" si="20"/>
        <v>46135</v>
      </c>
      <c r="D190" s="14" t="s">
        <v>69</v>
      </c>
      <c r="E190" s="14" t="s">
        <v>356</v>
      </c>
      <c r="F190" s="18" t="s">
        <v>341</v>
      </c>
      <c r="G190" s="14" t="s">
        <v>368</v>
      </c>
      <c r="H190" s="14" t="s">
        <v>72</v>
      </c>
    </row>
    <row r="191" spans="2:8" ht="15.75" customHeight="1">
      <c r="B191" s="16">
        <f t="shared" si="17"/>
        <v>183</v>
      </c>
      <c r="C191" s="17">
        <f t="shared" si="20"/>
        <v>46135</v>
      </c>
      <c r="D191" s="14" t="s">
        <v>85</v>
      </c>
      <c r="E191" s="14" t="s">
        <v>41</v>
      </c>
      <c r="F191" s="18" t="s">
        <v>341</v>
      </c>
      <c r="G191" s="14" t="s">
        <v>369</v>
      </c>
      <c r="H191" s="14" t="s">
        <v>85</v>
      </c>
    </row>
    <row r="192" spans="2:8" ht="15.75" customHeight="1">
      <c r="B192" s="16">
        <f t="shared" si="17"/>
        <v>184</v>
      </c>
      <c r="C192" s="13">
        <v>46136</v>
      </c>
      <c r="D192" s="18" t="s">
        <v>311</v>
      </c>
      <c r="E192" s="18" t="s">
        <v>370</v>
      </c>
      <c r="F192" s="18" t="s">
        <v>371</v>
      </c>
      <c r="G192" s="18" t="s">
        <v>372</v>
      </c>
      <c r="H192" s="18" t="s">
        <v>19</v>
      </c>
    </row>
    <row r="193" spans="2:8" ht="15.75" customHeight="1">
      <c r="B193" s="16">
        <f t="shared" si="17"/>
        <v>185</v>
      </c>
      <c r="C193" s="17">
        <f t="shared" ref="C193:C199" si="21">C192</f>
        <v>46136</v>
      </c>
      <c r="D193" s="18" t="s">
        <v>311</v>
      </c>
      <c r="E193" s="14" t="s">
        <v>108</v>
      </c>
      <c r="F193" s="18" t="s">
        <v>371</v>
      </c>
      <c r="G193" s="14" t="s">
        <v>373</v>
      </c>
      <c r="H193" s="14" t="s">
        <v>85</v>
      </c>
    </row>
    <row r="194" spans="2:8" ht="15.75" customHeight="1">
      <c r="B194" s="16">
        <f t="shared" si="17"/>
        <v>186</v>
      </c>
      <c r="C194" s="17">
        <f t="shared" si="21"/>
        <v>46136</v>
      </c>
      <c r="D194" s="14" t="s">
        <v>185</v>
      </c>
      <c r="E194" s="14" t="s">
        <v>31</v>
      </c>
      <c r="F194" s="18" t="s">
        <v>371</v>
      </c>
      <c r="G194" s="14" t="s">
        <v>374</v>
      </c>
      <c r="H194" s="14" t="s">
        <v>19</v>
      </c>
    </row>
    <row r="195" spans="2:8" ht="15.75" customHeight="1">
      <c r="B195" s="16">
        <f t="shared" si="17"/>
        <v>187</v>
      </c>
      <c r="C195" s="17">
        <f t="shared" si="21"/>
        <v>46136</v>
      </c>
      <c r="D195" s="14" t="s">
        <v>185</v>
      </c>
      <c r="E195" s="14" t="s">
        <v>43</v>
      </c>
      <c r="F195" s="18" t="s">
        <v>371</v>
      </c>
      <c r="G195" s="14" t="s">
        <v>375</v>
      </c>
      <c r="H195" s="14" t="s">
        <v>19</v>
      </c>
    </row>
    <row r="196" spans="2:8" ht="15.75" customHeight="1">
      <c r="B196" s="16">
        <f t="shared" si="17"/>
        <v>188</v>
      </c>
      <c r="C196" s="17">
        <f t="shared" si="21"/>
        <v>46136</v>
      </c>
      <c r="D196" s="18" t="s">
        <v>311</v>
      </c>
      <c r="E196" s="14" t="s">
        <v>370</v>
      </c>
      <c r="F196" s="18" t="s">
        <v>371</v>
      </c>
      <c r="G196" s="21" t="s">
        <v>376</v>
      </c>
      <c r="H196" s="14" t="s">
        <v>19</v>
      </c>
    </row>
    <row r="197" spans="2:8" ht="15.75" customHeight="1">
      <c r="B197" s="16">
        <f t="shared" si="17"/>
        <v>189</v>
      </c>
      <c r="C197" s="17">
        <f t="shared" si="21"/>
        <v>46136</v>
      </c>
      <c r="D197" s="18" t="s">
        <v>311</v>
      </c>
      <c r="E197" s="14" t="s">
        <v>99</v>
      </c>
      <c r="F197" s="18" t="s">
        <v>371</v>
      </c>
      <c r="G197" s="21" t="s">
        <v>377</v>
      </c>
      <c r="H197" s="14" t="s">
        <v>19</v>
      </c>
    </row>
    <row r="198" spans="2:8" ht="15.75" customHeight="1">
      <c r="B198" s="16">
        <f t="shared" si="17"/>
        <v>190</v>
      </c>
      <c r="C198" s="17">
        <f t="shared" si="21"/>
        <v>46136</v>
      </c>
      <c r="D198" s="14" t="s">
        <v>185</v>
      </c>
      <c r="E198" s="14" t="s">
        <v>21</v>
      </c>
      <c r="F198" s="18" t="s">
        <v>371</v>
      </c>
      <c r="G198" s="21" t="s">
        <v>378</v>
      </c>
      <c r="H198" s="14" t="s">
        <v>19</v>
      </c>
    </row>
    <row r="199" spans="2:8" ht="15.75" customHeight="1">
      <c r="B199" s="16">
        <f t="shared" si="17"/>
        <v>191</v>
      </c>
      <c r="C199" s="17">
        <f t="shared" si="21"/>
        <v>46136</v>
      </c>
      <c r="D199" s="21" t="s">
        <v>379</v>
      </c>
      <c r="E199" s="14" t="s">
        <v>41</v>
      </c>
      <c r="F199" s="14" t="s">
        <v>47</v>
      </c>
      <c r="G199" s="14" t="s">
        <v>380</v>
      </c>
      <c r="H199" s="22"/>
    </row>
    <row r="200" spans="2:8" ht="15.75" customHeight="1">
      <c r="B200" s="16">
        <f t="shared" si="17"/>
        <v>192</v>
      </c>
      <c r="C200" s="13">
        <v>46137</v>
      </c>
      <c r="D200" s="18" t="s">
        <v>185</v>
      </c>
      <c r="E200" s="18" t="s">
        <v>43</v>
      </c>
      <c r="F200" s="18" t="s">
        <v>263</v>
      </c>
      <c r="G200" s="18" t="s">
        <v>381</v>
      </c>
      <c r="H200" s="18" t="s">
        <v>30</v>
      </c>
    </row>
    <row r="201" spans="2:8" ht="15.75" customHeight="1">
      <c r="B201" s="16">
        <f t="shared" si="17"/>
        <v>193</v>
      </c>
      <c r="C201" s="17">
        <f t="shared" ref="C201:C213" si="22">C200</f>
        <v>46137</v>
      </c>
      <c r="D201" s="14" t="s">
        <v>27</v>
      </c>
      <c r="E201" s="14" t="s">
        <v>370</v>
      </c>
      <c r="F201" s="18" t="s">
        <v>263</v>
      </c>
      <c r="G201" s="14" t="s">
        <v>382</v>
      </c>
      <c r="H201" s="14" t="s">
        <v>30</v>
      </c>
    </row>
    <row r="202" spans="2:8" ht="15.75" customHeight="1">
      <c r="B202" s="16">
        <f t="shared" ref="B202:B265" si="23">B201+1</f>
        <v>194</v>
      </c>
      <c r="C202" s="17">
        <f t="shared" si="22"/>
        <v>46137</v>
      </c>
      <c r="D202" s="14" t="s">
        <v>85</v>
      </c>
      <c r="E202" s="14" t="s">
        <v>21</v>
      </c>
      <c r="F202" s="18" t="s">
        <v>263</v>
      </c>
      <c r="G202" s="14" t="s">
        <v>383</v>
      </c>
      <c r="H202" s="14" t="s">
        <v>33</v>
      </c>
    </row>
    <row r="203" spans="2:8" ht="15.75" customHeight="1">
      <c r="B203" s="16">
        <f t="shared" si="23"/>
        <v>195</v>
      </c>
      <c r="C203" s="17">
        <f t="shared" si="22"/>
        <v>46137</v>
      </c>
      <c r="D203" s="14" t="s">
        <v>27</v>
      </c>
      <c r="E203" s="14" t="s">
        <v>384</v>
      </c>
      <c r="F203" s="18" t="s">
        <v>263</v>
      </c>
      <c r="G203" s="14" t="s">
        <v>385</v>
      </c>
      <c r="H203" s="14" t="s">
        <v>30</v>
      </c>
    </row>
    <row r="204" spans="2:8" ht="15.75" customHeight="1">
      <c r="B204" s="16">
        <f t="shared" si="23"/>
        <v>196</v>
      </c>
      <c r="C204" s="17">
        <f t="shared" si="22"/>
        <v>46137</v>
      </c>
      <c r="D204" s="18" t="s">
        <v>185</v>
      </c>
      <c r="E204" s="14" t="s">
        <v>223</v>
      </c>
      <c r="F204" s="18" t="s">
        <v>263</v>
      </c>
      <c r="G204" s="14" t="s">
        <v>386</v>
      </c>
      <c r="H204" s="14" t="s">
        <v>30</v>
      </c>
    </row>
    <row r="205" spans="2:8" ht="15.75" customHeight="1">
      <c r="B205" s="16">
        <f t="shared" si="23"/>
        <v>197</v>
      </c>
      <c r="C205" s="17">
        <f t="shared" si="22"/>
        <v>46137</v>
      </c>
      <c r="D205" s="18" t="s">
        <v>185</v>
      </c>
      <c r="E205" s="14" t="s">
        <v>223</v>
      </c>
      <c r="F205" s="18" t="s">
        <v>263</v>
      </c>
      <c r="G205" s="14" t="s">
        <v>387</v>
      </c>
      <c r="H205" s="14" t="s">
        <v>40</v>
      </c>
    </row>
    <row r="206" spans="2:8" ht="15.75" customHeight="1">
      <c r="B206" s="16">
        <f t="shared" si="23"/>
        <v>198</v>
      </c>
      <c r="C206" s="17">
        <f t="shared" si="22"/>
        <v>46137</v>
      </c>
      <c r="D206" s="18" t="s">
        <v>27</v>
      </c>
      <c r="E206" s="14" t="s">
        <v>13</v>
      </c>
      <c r="F206" s="18" t="s">
        <v>263</v>
      </c>
      <c r="G206" s="14" t="s">
        <v>388</v>
      </c>
      <c r="H206" s="14" t="s">
        <v>33</v>
      </c>
    </row>
    <row r="207" spans="2:8" ht="15.75" customHeight="1">
      <c r="B207" s="16">
        <f t="shared" si="23"/>
        <v>199</v>
      </c>
      <c r="C207" s="17">
        <f t="shared" si="22"/>
        <v>46137</v>
      </c>
      <c r="D207" s="14" t="s">
        <v>185</v>
      </c>
      <c r="E207" s="14" t="s">
        <v>41</v>
      </c>
      <c r="F207" s="18" t="s">
        <v>263</v>
      </c>
      <c r="G207" s="14" t="s">
        <v>389</v>
      </c>
      <c r="H207" s="14" t="s">
        <v>390</v>
      </c>
    </row>
    <row r="208" spans="2:8" ht="15.75" customHeight="1">
      <c r="B208" s="16">
        <f t="shared" si="23"/>
        <v>200</v>
      </c>
      <c r="C208" s="17">
        <f t="shared" si="22"/>
        <v>46137</v>
      </c>
      <c r="D208" s="14" t="s">
        <v>185</v>
      </c>
      <c r="E208" s="14" t="s">
        <v>41</v>
      </c>
      <c r="F208" s="18" t="s">
        <v>263</v>
      </c>
      <c r="G208" s="14" t="s">
        <v>391</v>
      </c>
      <c r="H208" s="14" t="s">
        <v>30</v>
      </c>
    </row>
    <row r="209" spans="2:8" ht="15.75" customHeight="1">
      <c r="B209" s="16">
        <f t="shared" si="23"/>
        <v>201</v>
      </c>
      <c r="C209" s="17">
        <f t="shared" si="22"/>
        <v>46137</v>
      </c>
      <c r="D209" s="14" t="s">
        <v>185</v>
      </c>
      <c r="E209" s="18" t="s">
        <v>43</v>
      </c>
      <c r="F209" s="18" t="s">
        <v>263</v>
      </c>
      <c r="G209" s="14" t="s">
        <v>392</v>
      </c>
      <c r="H209" s="14" t="s">
        <v>30</v>
      </c>
    </row>
    <row r="210" spans="2:8" ht="15.75" customHeight="1">
      <c r="B210" s="16">
        <f t="shared" si="23"/>
        <v>202</v>
      </c>
      <c r="C210" s="17">
        <f t="shared" si="22"/>
        <v>46137</v>
      </c>
      <c r="D210" s="18" t="s">
        <v>27</v>
      </c>
      <c r="E210" s="14" t="s">
        <v>393</v>
      </c>
      <c r="F210" s="14" t="s">
        <v>263</v>
      </c>
      <c r="G210" s="14" t="s">
        <v>394</v>
      </c>
      <c r="H210" s="14" t="s">
        <v>33</v>
      </c>
    </row>
    <row r="211" spans="2:8" ht="15.75" customHeight="1">
      <c r="B211" s="16">
        <f t="shared" si="23"/>
        <v>203</v>
      </c>
      <c r="C211" s="17">
        <f t="shared" si="22"/>
        <v>46137</v>
      </c>
      <c r="D211" s="18" t="s">
        <v>27</v>
      </c>
      <c r="E211" s="14" t="s">
        <v>78</v>
      </c>
      <c r="F211" s="14" t="s">
        <v>263</v>
      </c>
      <c r="G211" s="14" t="s">
        <v>395</v>
      </c>
      <c r="H211" s="14" t="s">
        <v>33</v>
      </c>
    </row>
    <row r="212" spans="2:8" ht="15.75" customHeight="1">
      <c r="B212" s="16">
        <f t="shared" si="23"/>
        <v>204</v>
      </c>
      <c r="C212" s="17">
        <f t="shared" si="22"/>
        <v>46137</v>
      </c>
      <c r="D212" s="18" t="s">
        <v>27</v>
      </c>
      <c r="E212" s="14" t="s">
        <v>396</v>
      </c>
      <c r="F212" s="14" t="s">
        <v>263</v>
      </c>
      <c r="G212" s="14" t="s">
        <v>397</v>
      </c>
      <c r="H212" s="14" t="s">
        <v>398</v>
      </c>
    </row>
    <row r="213" spans="2:8" ht="15.75" customHeight="1">
      <c r="B213" s="16">
        <f t="shared" si="23"/>
        <v>205</v>
      </c>
      <c r="C213" s="17">
        <f t="shared" si="22"/>
        <v>46137</v>
      </c>
      <c r="D213" s="14" t="s">
        <v>399</v>
      </c>
      <c r="E213" s="14" t="s">
        <v>400</v>
      </c>
      <c r="F213" s="14" t="s">
        <v>401</v>
      </c>
      <c r="G213" s="14" t="s">
        <v>402</v>
      </c>
      <c r="H213" s="14" t="s">
        <v>52</v>
      </c>
    </row>
    <row r="214" spans="2:8" ht="15.75" customHeight="1">
      <c r="B214" s="16">
        <f t="shared" si="23"/>
        <v>206</v>
      </c>
      <c r="C214" s="13">
        <v>46138</v>
      </c>
      <c r="D214" s="18" t="s">
        <v>403</v>
      </c>
      <c r="E214" s="18" t="s">
        <v>269</v>
      </c>
      <c r="F214" s="18" t="s">
        <v>401</v>
      </c>
      <c r="G214" s="18" t="s">
        <v>404</v>
      </c>
      <c r="H214" s="18" t="s">
        <v>52</v>
      </c>
    </row>
    <row r="215" spans="2:8" ht="15.75" customHeight="1">
      <c r="B215" s="16">
        <f t="shared" si="23"/>
        <v>207</v>
      </c>
      <c r="C215" s="17">
        <f t="shared" ref="C215:C232" si="24">C214</f>
        <v>46138</v>
      </c>
      <c r="D215" s="18" t="s">
        <v>34</v>
      </c>
      <c r="E215" s="14" t="s">
        <v>405</v>
      </c>
      <c r="F215" s="18" t="s">
        <v>401</v>
      </c>
      <c r="G215" s="14" t="s">
        <v>406</v>
      </c>
      <c r="H215" s="14" t="s">
        <v>90</v>
      </c>
    </row>
    <row r="216" spans="2:8" ht="15.75" customHeight="1">
      <c r="B216" s="16">
        <f t="shared" si="23"/>
        <v>208</v>
      </c>
      <c r="C216" s="17">
        <f t="shared" si="24"/>
        <v>46138</v>
      </c>
      <c r="D216" s="14" t="s">
        <v>185</v>
      </c>
      <c r="E216" s="14" t="s">
        <v>83</v>
      </c>
      <c r="F216" s="18" t="s">
        <v>407</v>
      </c>
      <c r="G216" s="14" t="s">
        <v>408</v>
      </c>
      <c r="H216" s="14" t="s">
        <v>30</v>
      </c>
    </row>
    <row r="217" spans="2:8" ht="15.75" customHeight="1">
      <c r="B217" s="16">
        <f t="shared" si="23"/>
        <v>209</v>
      </c>
      <c r="C217" s="17">
        <f t="shared" si="24"/>
        <v>46138</v>
      </c>
      <c r="D217" s="14" t="s">
        <v>27</v>
      </c>
      <c r="E217" s="14" t="s">
        <v>83</v>
      </c>
      <c r="F217" s="18" t="s">
        <v>407</v>
      </c>
      <c r="G217" s="14" t="s">
        <v>409</v>
      </c>
      <c r="H217" s="14" t="s">
        <v>52</v>
      </c>
    </row>
    <row r="218" spans="2:8" ht="15.75" customHeight="1">
      <c r="B218" s="16">
        <f t="shared" si="23"/>
        <v>210</v>
      </c>
      <c r="C218" s="17">
        <f t="shared" si="24"/>
        <v>46138</v>
      </c>
      <c r="D218" s="14" t="s">
        <v>27</v>
      </c>
      <c r="E218" s="14" t="s">
        <v>410</v>
      </c>
      <c r="F218" s="18" t="s">
        <v>407</v>
      </c>
      <c r="G218" s="14" t="s">
        <v>411</v>
      </c>
      <c r="H218" s="14" t="s">
        <v>52</v>
      </c>
    </row>
    <row r="219" spans="2:8" ht="15.75" customHeight="1">
      <c r="B219" s="16">
        <f t="shared" si="23"/>
        <v>211</v>
      </c>
      <c r="C219" s="17">
        <f t="shared" si="24"/>
        <v>46138</v>
      </c>
      <c r="D219" s="14" t="s">
        <v>27</v>
      </c>
      <c r="E219" s="14" t="s">
        <v>223</v>
      </c>
      <c r="F219" s="18" t="s">
        <v>407</v>
      </c>
      <c r="G219" s="14" t="s">
        <v>412</v>
      </c>
      <c r="H219" s="14" t="s">
        <v>52</v>
      </c>
    </row>
    <row r="220" spans="2:8" ht="15.75" customHeight="1">
      <c r="B220" s="16">
        <f t="shared" si="23"/>
        <v>212</v>
      </c>
      <c r="C220" s="17">
        <f t="shared" si="24"/>
        <v>46138</v>
      </c>
      <c r="D220" s="14" t="s">
        <v>27</v>
      </c>
      <c r="E220" s="14" t="s">
        <v>41</v>
      </c>
      <c r="F220" s="18" t="s">
        <v>407</v>
      </c>
      <c r="G220" s="14" t="s">
        <v>413</v>
      </c>
      <c r="H220" s="14" t="s">
        <v>52</v>
      </c>
    </row>
    <row r="221" spans="2:8" ht="15.75" customHeight="1">
      <c r="B221" s="16">
        <f t="shared" si="23"/>
        <v>213</v>
      </c>
      <c r="C221" s="17">
        <f t="shared" si="24"/>
        <v>46138</v>
      </c>
      <c r="D221" s="14" t="s">
        <v>27</v>
      </c>
      <c r="E221" s="14" t="s">
        <v>334</v>
      </c>
      <c r="F221" s="18" t="s">
        <v>407</v>
      </c>
      <c r="G221" s="14" t="s">
        <v>414</v>
      </c>
      <c r="H221" s="14" t="s">
        <v>30</v>
      </c>
    </row>
    <row r="222" spans="2:8" ht="15.75" customHeight="1">
      <c r="B222" s="16">
        <f t="shared" si="23"/>
        <v>214</v>
      </c>
      <c r="C222" s="17">
        <f t="shared" si="24"/>
        <v>46138</v>
      </c>
      <c r="D222" s="14" t="s">
        <v>185</v>
      </c>
      <c r="E222" s="14" t="s">
        <v>415</v>
      </c>
      <c r="F222" s="18" t="s">
        <v>407</v>
      </c>
      <c r="G222" s="14" t="s">
        <v>416</v>
      </c>
      <c r="H222" s="14" t="s">
        <v>30</v>
      </c>
    </row>
    <row r="223" spans="2:8" ht="15.75" customHeight="1">
      <c r="B223" s="16">
        <f t="shared" si="23"/>
        <v>215</v>
      </c>
      <c r="C223" s="17">
        <f t="shared" si="24"/>
        <v>46138</v>
      </c>
      <c r="D223" s="14" t="s">
        <v>185</v>
      </c>
      <c r="E223" s="14" t="s">
        <v>276</v>
      </c>
      <c r="F223" s="18" t="s">
        <v>407</v>
      </c>
      <c r="G223" s="14" t="s">
        <v>417</v>
      </c>
      <c r="H223" s="14" t="s">
        <v>30</v>
      </c>
    </row>
    <row r="224" spans="2:8" ht="15.75" customHeight="1">
      <c r="B224" s="16">
        <f t="shared" si="23"/>
        <v>216</v>
      </c>
      <c r="C224" s="17">
        <f t="shared" si="24"/>
        <v>46138</v>
      </c>
      <c r="D224" s="14" t="s">
        <v>185</v>
      </c>
      <c r="E224" s="14" t="s">
        <v>172</v>
      </c>
      <c r="F224" s="18" t="s">
        <v>407</v>
      </c>
      <c r="G224" s="14" t="s">
        <v>418</v>
      </c>
      <c r="H224" s="14" t="s">
        <v>245</v>
      </c>
    </row>
    <row r="225" spans="2:8" ht="15.75" customHeight="1">
      <c r="B225" s="16">
        <f t="shared" si="23"/>
        <v>217</v>
      </c>
      <c r="C225" s="17">
        <f t="shared" si="24"/>
        <v>46138</v>
      </c>
      <c r="D225" s="14" t="s">
        <v>27</v>
      </c>
      <c r="E225" s="14" t="s">
        <v>370</v>
      </c>
      <c r="F225" s="18" t="s">
        <v>407</v>
      </c>
      <c r="G225" s="14" t="s">
        <v>419</v>
      </c>
      <c r="H225" s="14" t="s">
        <v>30</v>
      </c>
    </row>
    <row r="226" spans="2:8" ht="15.75" customHeight="1">
      <c r="B226" s="16">
        <f t="shared" si="23"/>
        <v>218</v>
      </c>
      <c r="C226" s="17">
        <f t="shared" si="24"/>
        <v>46138</v>
      </c>
      <c r="D226" s="14" t="s">
        <v>185</v>
      </c>
      <c r="E226" s="14" t="s">
        <v>41</v>
      </c>
      <c r="F226" s="18" t="s">
        <v>407</v>
      </c>
      <c r="G226" s="14" t="s">
        <v>420</v>
      </c>
      <c r="H226" s="14" t="s">
        <v>30</v>
      </c>
    </row>
    <row r="227" spans="2:8" ht="15.75" customHeight="1">
      <c r="B227" s="16">
        <f t="shared" si="23"/>
        <v>219</v>
      </c>
      <c r="C227" s="17">
        <f t="shared" si="24"/>
        <v>46138</v>
      </c>
      <c r="D227" s="14" t="s">
        <v>272</v>
      </c>
      <c r="E227" s="14" t="s">
        <v>21</v>
      </c>
      <c r="F227" s="18" t="s">
        <v>407</v>
      </c>
      <c r="G227" s="21" t="s">
        <v>373</v>
      </c>
      <c r="H227" s="14" t="s">
        <v>52</v>
      </c>
    </row>
    <row r="228" spans="2:8" ht="15.75" customHeight="1">
      <c r="B228" s="16">
        <f t="shared" si="23"/>
        <v>220</v>
      </c>
      <c r="C228" s="17">
        <f t="shared" si="24"/>
        <v>46138</v>
      </c>
      <c r="D228" s="14" t="s">
        <v>272</v>
      </c>
      <c r="E228" s="14" t="s">
        <v>99</v>
      </c>
      <c r="F228" s="18" t="s">
        <v>407</v>
      </c>
      <c r="G228" s="14" t="s">
        <v>421</v>
      </c>
      <c r="H228" s="14" t="s">
        <v>52</v>
      </c>
    </row>
    <row r="229" spans="2:8" ht="15.75" customHeight="1">
      <c r="B229" s="16">
        <f t="shared" si="23"/>
        <v>221</v>
      </c>
      <c r="C229" s="17">
        <f t="shared" si="24"/>
        <v>46138</v>
      </c>
      <c r="D229" s="14" t="s">
        <v>272</v>
      </c>
      <c r="E229" s="14" t="s">
        <v>422</v>
      </c>
      <c r="F229" s="18" t="s">
        <v>407</v>
      </c>
      <c r="G229" s="14" t="s">
        <v>423</v>
      </c>
      <c r="H229" s="14" t="s">
        <v>52</v>
      </c>
    </row>
    <row r="230" spans="2:8" ht="15.75" customHeight="1">
      <c r="B230" s="16">
        <f t="shared" si="23"/>
        <v>222</v>
      </c>
      <c r="C230" s="17">
        <f t="shared" si="24"/>
        <v>46138</v>
      </c>
      <c r="D230" s="14" t="s">
        <v>34</v>
      </c>
      <c r="E230" s="14" t="s">
        <v>424</v>
      </c>
      <c r="F230" s="18" t="s">
        <v>407</v>
      </c>
      <c r="G230" s="21" t="s">
        <v>425</v>
      </c>
      <c r="H230" s="14" t="s">
        <v>426</v>
      </c>
    </row>
    <row r="231" spans="2:8" ht="15.75" customHeight="1">
      <c r="B231" s="16">
        <f t="shared" si="23"/>
        <v>223</v>
      </c>
      <c r="C231" s="17">
        <f t="shared" si="24"/>
        <v>46138</v>
      </c>
      <c r="D231" s="14" t="s">
        <v>427</v>
      </c>
      <c r="E231" s="14" t="s">
        <v>428</v>
      </c>
      <c r="F231" s="14" t="s">
        <v>429</v>
      </c>
      <c r="G231" s="14" t="s">
        <v>430</v>
      </c>
      <c r="H231" s="14" t="s">
        <v>52</v>
      </c>
    </row>
    <row r="232" spans="2:8" ht="15.75" customHeight="1">
      <c r="B232" s="16">
        <f t="shared" si="23"/>
        <v>224</v>
      </c>
      <c r="C232" s="17">
        <f t="shared" si="24"/>
        <v>46138</v>
      </c>
      <c r="D232" s="14" t="s">
        <v>431</v>
      </c>
      <c r="E232" s="14" t="s">
        <v>83</v>
      </c>
      <c r="F232" s="14" t="s">
        <v>429</v>
      </c>
      <c r="G232" s="14" t="s">
        <v>432</v>
      </c>
      <c r="H232" s="14" t="s">
        <v>52</v>
      </c>
    </row>
    <row r="233" spans="2:8" ht="15.75" customHeight="1">
      <c r="B233" s="16">
        <f t="shared" si="23"/>
        <v>225</v>
      </c>
      <c r="C233" s="13">
        <v>46139</v>
      </c>
      <c r="D233" s="14" t="s">
        <v>433</v>
      </c>
      <c r="E233" s="14" t="s">
        <v>53</v>
      </c>
      <c r="F233" s="14" t="s">
        <v>434</v>
      </c>
      <c r="G233" s="14" t="s">
        <v>435</v>
      </c>
      <c r="H233" s="18" t="s">
        <v>52</v>
      </c>
    </row>
    <row r="234" spans="2:8" ht="15.75" customHeight="1">
      <c r="B234" s="16">
        <f t="shared" si="23"/>
        <v>226</v>
      </c>
      <c r="C234" s="17">
        <f t="shared" ref="C234:C238" si="25">C233</f>
        <v>46139</v>
      </c>
      <c r="D234" s="14" t="s">
        <v>436</v>
      </c>
      <c r="E234" s="14" t="s">
        <v>21</v>
      </c>
      <c r="F234" s="14" t="s">
        <v>437</v>
      </c>
      <c r="G234" s="14" t="s">
        <v>438</v>
      </c>
      <c r="H234" s="18" t="s">
        <v>52</v>
      </c>
    </row>
    <row r="235" spans="2:8" ht="15.75" customHeight="1">
      <c r="B235" s="16">
        <f t="shared" si="23"/>
        <v>227</v>
      </c>
      <c r="C235" s="17">
        <f t="shared" si="25"/>
        <v>46139</v>
      </c>
      <c r="D235" s="14" t="s">
        <v>439</v>
      </c>
      <c r="E235" s="14" t="s">
        <v>21</v>
      </c>
      <c r="F235" s="14" t="s">
        <v>437</v>
      </c>
      <c r="G235" s="14" t="s">
        <v>440</v>
      </c>
      <c r="H235" s="14" t="s">
        <v>97</v>
      </c>
    </row>
    <row r="236" spans="2:8" ht="15.75" customHeight="1">
      <c r="B236" s="16">
        <f t="shared" si="23"/>
        <v>228</v>
      </c>
      <c r="C236" s="17">
        <f t="shared" si="25"/>
        <v>46139</v>
      </c>
      <c r="D236" s="14" t="s">
        <v>441</v>
      </c>
      <c r="E236" s="14" t="s">
        <v>43</v>
      </c>
      <c r="F236" s="14" t="s">
        <v>437</v>
      </c>
      <c r="G236" s="14" t="s">
        <v>440</v>
      </c>
      <c r="H236" s="14" t="s">
        <v>97</v>
      </c>
    </row>
    <row r="237" spans="2:8" ht="15.75" customHeight="1">
      <c r="B237" s="16">
        <f t="shared" si="23"/>
        <v>229</v>
      </c>
      <c r="C237" s="17">
        <f t="shared" si="25"/>
        <v>46139</v>
      </c>
      <c r="D237" s="14" t="s">
        <v>164</v>
      </c>
      <c r="E237" s="14" t="s">
        <v>53</v>
      </c>
      <c r="F237" s="14" t="s">
        <v>109</v>
      </c>
      <c r="G237" s="14" t="s">
        <v>442</v>
      </c>
      <c r="H237" s="14" t="s">
        <v>33</v>
      </c>
    </row>
    <row r="238" spans="2:8" ht="15.75" customHeight="1">
      <c r="B238" s="16">
        <f t="shared" si="23"/>
        <v>230</v>
      </c>
      <c r="C238" s="17">
        <f t="shared" si="25"/>
        <v>46139</v>
      </c>
      <c r="D238" s="14" t="s">
        <v>443</v>
      </c>
      <c r="E238" s="14" t="s">
        <v>444</v>
      </c>
      <c r="F238" s="14" t="s">
        <v>109</v>
      </c>
      <c r="G238" s="14" t="s">
        <v>445</v>
      </c>
      <c r="H238" s="14" t="s">
        <v>33</v>
      </c>
    </row>
    <row r="239" spans="2:8" ht="15.75" customHeight="1">
      <c r="B239" s="16">
        <f t="shared" si="23"/>
        <v>231</v>
      </c>
      <c r="C239" s="13">
        <v>46140</v>
      </c>
      <c r="D239" s="18" t="s">
        <v>446</v>
      </c>
      <c r="E239" s="18" t="s">
        <v>61</v>
      </c>
      <c r="F239" s="18" t="s">
        <v>447</v>
      </c>
      <c r="G239" s="18" t="s">
        <v>448</v>
      </c>
      <c r="H239" s="18" t="s">
        <v>197</v>
      </c>
    </row>
    <row r="240" spans="2:8" ht="15.75" customHeight="1">
      <c r="B240" s="16">
        <f t="shared" si="23"/>
        <v>232</v>
      </c>
      <c r="C240" s="17">
        <f t="shared" ref="C240:C243" si="26">C239</f>
        <v>46140</v>
      </c>
      <c r="D240" s="14" t="s">
        <v>272</v>
      </c>
      <c r="E240" s="14" t="s">
        <v>37</v>
      </c>
      <c r="F240" s="18" t="s">
        <v>447</v>
      </c>
      <c r="G240" s="25" t="s">
        <v>449</v>
      </c>
      <c r="H240" s="14" t="s">
        <v>19</v>
      </c>
    </row>
    <row r="241" spans="2:8" ht="15.75" customHeight="1">
      <c r="B241" s="16">
        <f t="shared" si="23"/>
        <v>233</v>
      </c>
      <c r="C241" s="17">
        <f t="shared" si="26"/>
        <v>46140</v>
      </c>
      <c r="D241" s="14" t="s">
        <v>272</v>
      </c>
      <c r="E241" s="14" t="s">
        <v>161</v>
      </c>
      <c r="F241" s="18" t="s">
        <v>447</v>
      </c>
      <c r="G241" s="28" t="s">
        <v>450</v>
      </c>
      <c r="H241" s="14" t="s">
        <v>197</v>
      </c>
    </row>
    <row r="242" spans="2:8" ht="15.75" customHeight="1">
      <c r="B242" s="16">
        <f t="shared" si="23"/>
        <v>234</v>
      </c>
      <c r="C242" s="17">
        <f t="shared" si="26"/>
        <v>46140</v>
      </c>
      <c r="D242" s="14" t="s">
        <v>272</v>
      </c>
      <c r="E242" s="14" t="s">
        <v>43</v>
      </c>
      <c r="F242" s="18" t="s">
        <v>447</v>
      </c>
      <c r="G242" s="25" t="s">
        <v>451</v>
      </c>
      <c r="H242" s="14" t="s">
        <v>197</v>
      </c>
    </row>
    <row r="243" spans="2:8" ht="15.75" customHeight="1">
      <c r="B243" s="16">
        <f t="shared" si="23"/>
        <v>235</v>
      </c>
      <c r="C243" s="17">
        <f t="shared" si="26"/>
        <v>46140</v>
      </c>
      <c r="D243" s="19"/>
      <c r="E243" s="19"/>
      <c r="F243" s="18" t="s">
        <v>447</v>
      </c>
      <c r="G243" s="29"/>
      <c r="H243" s="19"/>
    </row>
    <row r="244" spans="2:8" ht="15.75" customHeight="1">
      <c r="B244" s="16">
        <f t="shared" si="23"/>
        <v>236</v>
      </c>
      <c r="C244" s="13">
        <v>46141</v>
      </c>
      <c r="D244" s="18" t="s">
        <v>27</v>
      </c>
      <c r="E244" s="18" t="s">
        <v>43</v>
      </c>
      <c r="F244" s="18" t="s">
        <v>452</v>
      </c>
      <c r="G244" s="18" t="s">
        <v>413</v>
      </c>
      <c r="H244" s="18" t="s">
        <v>30</v>
      </c>
    </row>
    <row r="245" spans="2:8" ht="15.75" customHeight="1">
      <c r="B245" s="16">
        <f t="shared" si="23"/>
        <v>237</v>
      </c>
      <c r="C245" s="17">
        <f t="shared" ref="C245:C268" si="27">C244</f>
        <v>46141</v>
      </c>
      <c r="D245" s="14" t="s">
        <v>34</v>
      </c>
      <c r="E245" s="14" t="s">
        <v>99</v>
      </c>
      <c r="F245" s="18" t="s">
        <v>452</v>
      </c>
      <c r="G245" s="14" t="s">
        <v>453</v>
      </c>
      <c r="H245" s="14" t="s">
        <v>454</v>
      </c>
    </row>
    <row r="246" spans="2:8" ht="15.75" customHeight="1">
      <c r="B246" s="16">
        <f t="shared" si="23"/>
        <v>238</v>
      </c>
      <c r="C246" s="17">
        <f t="shared" si="27"/>
        <v>46141</v>
      </c>
      <c r="D246" s="14" t="s">
        <v>185</v>
      </c>
      <c r="E246" s="14" t="s">
        <v>43</v>
      </c>
      <c r="F246" s="18" t="s">
        <v>452</v>
      </c>
      <c r="G246" s="14" t="s">
        <v>455</v>
      </c>
      <c r="H246" s="14" t="s">
        <v>30</v>
      </c>
    </row>
    <row r="247" spans="2:8" ht="15.75" customHeight="1">
      <c r="B247" s="16">
        <f t="shared" si="23"/>
        <v>239</v>
      </c>
      <c r="C247" s="17">
        <f t="shared" si="27"/>
        <v>46141</v>
      </c>
      <c r="D247" s="14" t="s">
        <v>185</v>
      </c>
      <c r="E247" s="14" t="s">
        <v>43</v>
      </c>
      <c r="F247" s="18" t="s">
        <v>452</v>
      </c>
      <c r="G247" s="14" t="s">
        <v>456</v>
      </c>
      <c r="H247" s="14" t="s">
        <v>390</v>
      </c>
    </row>
    <row r="248" spans="2:8" ht="15.75" customHeight="1">
      <c r="B248" s="16">
        <f t="shared" si="23"/>
        <v>240</v>
      </c>
      <c r="C248" s="17">
        <f t="shared" si="27"/>
        <v>46141</v>
      </c>
      <c r="D248" s="14" t="s">
        <v>85</v>
      </c>
      <c r="E248" s="14" t="s">
        <v>393</v>
      </c>
      <c r="F248" s="18" t="s">
        <v>452</v>
      </c>
      <c r="G248" s="14" t="s">
        <v>457</v>
      </c>
      <c r="H248" s="14" t="s">
        <v>30</v>
      </c>
    </row>
    <row r="249" spans="2:8" ht="15.75" customHeight="1">
      <c r="B249" s="16">
        <f t="shared" si="23"/>
        <v>241</v>
      </c>
      <c r="C249" s="17">
        <f t="shared" si="27"/>
        <v>46141</v>
      </c>
      <c r="D249" s="14" t="s">
        <v>85</v>
      </c>
      <c r="E249" s="14" t="s">
        <v>41</v>
      </c>
      <c r="F249" s="18" t="s">
        <v>452</v>
      </c>
      <c r="G249" s="14" t="s">
        <v>457</v>
      </c>
      <c r="H249" s="14" t="s">
        <v>30</v>
      </c>
    </row>
    <row r="250" spans="2:8" ht="15.75" customHeight="1">
      <c r="B250" s="16">
        <f t="shared" si="23"/>
        <v>242</v>
      </c>
      <c r="C250" s="17">
        <f t="shared" si="27"/>
        <v>46141</v>
      </c>
      <c r="D250" s="14" t="s">
        <v>85</v>
      </c>
      <c r="E250" s="14" t="s">
        <v>35</v>
      </c>
      <c r="F250" s="18" t="s">
        <v>452</v>
      </c>
      <c r="G250" s="14" t="s">
        <v>267</v>
      </c>
      <c r="H250" s="14" t="s">
        <v>30</v>
      </c>
    </row>
    <row r="251" spans="2:8" ht="15.75" customHeight="1">
      <c r="B251" s="16">
        <f t="shared" si="23"/>
        <v>243</v>
      </c>
      <c r="C251" s="17">
        <f t="shared" si="27"/>
        <v>46141</v>
      </c>
      <c r="D251" s="14" t="s">
        <v>85</v>
      </c>
      <c r="E251" s="14" t="s">
        <v>458</v>
      </c>
      <c r="F251" s="18" t="s">
        <v>452</v>
      </c>
      <c r="G251" s="14" t="s">
        <v>459</v>
      </c>
      <c r="H251" s="14" t="s">
        <v>33</v>
      </c>
    </row>
    <row r="252" spans="2:8" ht="15.75" customHeight="1">
      <c r="B252" s="16">
        <f t="shared" si="23"/>
        <v>244</v>
      </c>
      <c r="C252" s="17">
        <f t="shared" si="27"/>
        <v>46141</v>
      </c>
      <c r="D252" s="18" t="s">
        <v>27</v>
      </c>
      <c r="E252" s="14" t="s">
        <v>21</v>
      </c>
      <c r="F252" s="18" t="s">
        <v>452</v>
      </c>
      <c r="G252" s="14" t="s">
        <v>460</v>
      </c>
      <c r="H252" s="14" t="s">
        <v>33</v>
      </c>
    </row>
    <row r="253" spans="2:8" ht="15.75" customHeight="1">
      <c r="B253" s="16">
        <f t="shared" si="23"/>
        <v>245</v>
      </c>
      <c r="C253" s="17">
        <f t="shared" si="27"/>
        <v>46141</v>
      </c>
      <c r="D253" s="18" t="s">
        <v>27</v>
      </c>
      <c r="E253" s="14" t="s">
        <v>31</v>
      </c>
      <c r="F253" s="18" t="s">
        <v>452</v>
      </c>
      <c r="G253" s="14" t="s">
        <v>461</v>
      </c>
      <c r="H253" s="14" t="s">
        <v>33</v>
      </c>
    </row>
    <row r="254" spans="2:8" ht="15.75" customHeight="1">
      <c r="B254" s="16">
        <f t="shared" si="23"/>
        <v>246</v>
      </c>
      <c r="C254" s="17">
        <f t="shared" si="27"/>
        <v>46141</v>
      </c>
      <c r="D254" s="14" t="s">
        <v>185</v>
      </c>
      <c r="E254" s="14" t="s">
        <v>41</v>
      </c>
      <c r="F254" s="18" t="s">
        <v>452</v>
      </c>
      <c r="G254" s="14" t="s">
        <v>462</v>
      </c>
      <c r="H254" s="14" t="s">
        <v>30</v>
      </c>
    </row>
    <row r="255" spans="2:8" ht="15.75" customHeight="1">
      <c r="B255" s="16">
        <f t="shared" si="23"/>
        <v>247</v>
      </c>
      <c r="C255" s="17">
        <f t="shared" si="27"/>
        <v>46141</v>
      </c>
      <c r="D255" s="14" t="s">
        <v>27</v>
      </c>
      <c r="E255" s="14" t="s">
        <v>463</v>
      </c>
      <c r="F255" s="18" t="s">
        <v>452</v>
      </c>
      <c r="G255" s="14" t="s">
        <v>464</v>
      </c>
      <c r="H255" s="14" t="s">
        <v>33</v>
      </c>
    </row>
    <row r="256" spans="2:8" ht="15.75" customHeight="1">
      <c r="B256" s="16">
        <f t="shared" si="23"/>
        <v>248</v>
      </c>
      <c r="C256" s="17">
        <f t="shared" si="27"/>
        <v>46141</v>
      </c>
      <c r="D256" s="14" t="s">
        <v>185</v>
      </c>
      <c r="E256" s="14" t="s">
        <v>99</v>
      </c>
      <c r="F256" s="18" t="s">
        <v>452</v>
      </c>
      <c r="G256" s="14" t="s">
        <v>465</v>
      </c>
      <c r="H256" s="14" t="s">
        <v>30</v>
      </c>
    </row>
    <row r="257" spans="2:8" ht="15.75" customHeight="1">
      <c r="B257" s="16">
        <f t="shared" si="23"/>
        <v>249</v>
      </c>
      <c r="C257" s="17">
        <f t="shared" si="27"/>
        <v>46141</v>
      </c>
      <c r="D257" s="14" t="s">
        <v>27</v>
      </c>
      <c r="E257" s="14" t="s">
        <v>99</v>
      </c>
      <c r="F257" s="18" t="s">
        <v>452</v>
      </c>
      <c r="G257" s="14" t="s">
        <v>466</v>
      </c>
      <c r="H257" s="14" t="s">
        <v>30</v>
      </c>
    </row>
    <row r="258" spans="2:8" ht="15.75" customHeight="1">
      <c r="B258" s="16">
        <f t="shared" si="23"/>
        <v>250</v>
      </c>
      <c r="C258" s="17">
        <f t="shared" si="27"/>
        <v>46141</v>
      </c>
      <c r="D258" s="14" t="s">
        <v>27</v>
      </c>
      <c r="E258" s="14" t="s">
        <v>99</v>
      </c>
      <c r="F258" s="18" t="s">
        <v>452</v>
      </c>
      <c r="G258" s="14" t="s">
        <v>467</v>
      </c>
      <c r="H258" s="14" t="s">
        <v>33</v>
      </c>
    </row>
    <row r="259" spans="2:8" ht="15.75" customHeight="1">
      <c r="B259" s="16">
        <f t="shared" si="23"/>
        <v>251</v>
      </c>
      <c r="C259" s="17">
        <f t="shared" si="27"/>
        <v>46141</v>
      </c>
      <c r="D259" s="14" t="s">
        <v>185</v>
      </c>
      <c r="E259" s="14" t="s">
        <v>43</v>
      </c>
      <c r="F259" s="18" t="s">
        <v>452</v>
      </c>
      <c r="G259" s="14" t="s">
        <v>468</v>
      </c>
      <c r="H259" s="14" t="s">
        <v>72</v>
      </c>
    </row>
    <row r="260" spans="2:8" ht="15.75" customHeight="1">
      <c r="B260" s="16">
        <f t="shared" si="23"/>
        <v>252</v>
      </c>
      <c r="C260" s="17">
        <f t="shared" si="27"/>
        <v>46141</v>
      </c>
      <c r="D260" s="14" t="s">
        <v>85</v>
      </c>
      <c r="E260" s="14" t="s">
        <v>176</v>
      </c>
      <c r="F260" s="18" t="s">
        <v>452</v>
      </c>
      <c r="G260" s="14" t="s">
        <v>469</v>
      </c>
      <c r="H260" s="14" t="s">
        <v>72</v>
      </c>
    </row>
    <row r="261" spans="2:8" ht="15.75" customHeight="1">
      <c r="B261" s="16">
        <f t="shared" si="23"/>
        <v>253</v>
      </c>
      <c r="C261" s="17">
        <f t="shared" si="27"/>
        <v>46141</v>
      </c>
      <c r="D261" s="14" t="s">
        <v>185</v>
      </c>
      <c r="E261" s="14" t="s">
        <v>43</v>
      </c>
      <c r="F261" s="18" t="s">
        <v>452</v>
      </c>
      <c r="G261" s="14" t="s">
        <v>470</v>
      </c>
      <c r="H261" s="14" t="s">
        <v>72</v>
      </c>
    </row>
    <row r="262" spans="2:8" ht="15.75" customHeight="1">
      <c r="B262" s="16">
        <f t="shared" si="23"/>
        <v>254</v>
      </c>
      <c r="C262" s="17">
        <f t="shared" si="27"/>
        <v>46141</v>
      </c>
      <c r="D262" s="14" t="s">
        <v>185</v>
      </c>
      <c r="E262" s="14" t="s">
        <v>9</v>
      </c>
      <c r="F262" s="18" t="s">
        <v>452</v>
      </c>
      <c r="G262" s="14" t="s">
        <v>471</v>
      </c>
      <c r="H262" s="14" t="s">
        <v>72</v>
      </c>
    </row>
    <row r="263" spans="2:8" ht="15.75" customHeight="1">
      <c r="B263" s="16">
        <f t="shared" si="23"/>
        <v>255</v>
      </c>
      <c r="C263" s="17">
        <f t="shared" si="27"/>
        <v>46141</v>
      </c>
      <c r="D263" s="14" t="s">
        <v>85</v>
      </c>
      <c r="E263" s="14" t="s">
        <v>43</v>
      </c>
      <c r="F263" s="18" t="s">
        <v>452</v>
      </c>
      <c r="G263" s="14" t="s">
        <v>472</v>
      </c>
      <c r="H263" s="14" t="s">
        <v>33</v>
      </c>
    </row>
    <row r="264" spans="2:8" ht="15.75" customHeight="1">
      <c r="B264" s="16">
        <f t="shared" si="23"/>
        <v>256</v>
      </c>
      <c r="C264" s="17">
        <f t="shared" si="27"/>
        <v>46141</v>
      </c>
      <c r="D264" s="14" t="s">
        <v>27</v>
      </c>
      <c r="E264" s="14" t="s">
        <v>78</v>
      </c>
      <c r="F264" s="18" t="s">
        <v>452</v>
      </c>
      <c r="G264" s="14" t="s">
        <v>473</v>
      </c>
      <c r="H264" s="14" t="s">
        <v>33</v>
      </c>
    </row>
    <row r="265" spans="2:8" ht="15.75" customHeight="1">
      <c r="B265" s="16">
        <f t="shared" si="23"/>
        <v>257</v>
      </c>
      <c r="C265" s="17">
        <f t="shared" si="27"/>
        <v>46141</v>
      </c>
      <c r="D265" s="14" t="s">
        <v>474</v>
      </c>
      <c r="E265" s="14" t="s">
        <v>428</v>
      </c>
      <c r="F265" s="14" t="s">
        <v>475</v>
      </c>
      <c r="G265" s="14" t="s">
        <v>476</v>
      </c>
      <c r="H265" s="14" t="s">
        <v>33</v>
      </c>
    </row>
    <row r="266" spans="2:8" ht="15.75" customHeight="1">
      <c r="B266" s="16">
        <f t="shared" ref="B266:B283" si="28">B265+1</f>
        <v>258</v>
      </c>
      <c r="C266" s="17">
        <f t="shared" si="27"/>
        <v>46141</v>
      </c>
      <c r="D266" s="14" t="s">
        <v>34</v>
      </c>
      <c r="E266" s="14" t="s">
        <v>53</v>
      </c>
      <c r="F266" s="14" t="s">
        <v>475</v>
      </c>
      <c r="G266" s="14" t="s">
        <v>477</v>
      </c>
      <c r="H266" s="14" t="s">
        <v>30</v>
      </c>
    </row>
    <row r="267" spans="2:8" ht="15.75" customHeight="1">
      <c r="B267" s="16">
        <f t="shared" si="28"/>
        <v>259</v>
      </c>
      <c r="C267" s="17">
        <f t="shared" si="27"/>
        <v>46141</v>
      </c>
      <c r="D267" s="14" t="s">
        <v>478</v>
      </c>
      <c r="E267" s="14" t="s">
        <v>53</v>
      </c>
      <c r="F267" s="14" t="s">
        <v>475</v>
      </c>
      <c r="G267" s="14" t="s">
        <v>479</v>
      </c>
      <c r="H267" s="14" t="s">
        <v>52</v>
      </c>
    </row>
    <row r="268" spans="2:8" ht="15.75" customHeight="1">
      <c r="B268" s="16">
        <f t="shared" si="28"/>
        <v>260</v>
      </c>
      <c r="C268" s="17">
        <f t="shared" si="27"/>
        <v>46141</v>
      </c>
      <c r="D268" s="14" t="s">
        <v>480</v>
      </c>
      <c r="E268" s="14" t="s">
        <v>243</v>
      </c>
      <c r="F268" s="14" t="s">
        <v>475</v>
      </c>
      <c r="G268" s="14" t="s">
        <v>481</v>
      </c>
      <c r="H268" s="14" t="s">
        <v>52</v>
      </c>
    </row>
    <row r="269" spans="2:8" ht="15.75" customHeight="1">
      <c r="B269" s="16">
        <f t="shared" si="28"/>
        <v>261</v>
      </c>
      <c r="C269" s="13">
        <v>46142</v>
      </c>
      <c r="D269" s="18" t="s">
        <v>482</v>
      </c>
      <c r="E269" s="18" t="s">
        <v>483</v>
      </c>
      <c r="F269" s="18" t="s">
        <v>484</v>
      </c>
      <c r="G269" s="18" t="s">
        <v>485</v>
      </c>
      <c r="H269" s="18" t="s">
        <v>33</v>
      </c>
    </row>
    <row r="270" spans="2:8" ht="15.75" customHeight="1">
      <c r="B270" s="16">
        <f t="shared" si="28"/>
        <v>262</v>
      </c>
      <c r="C270" s="17">
        <f t="shared" ref="C270:C283" si="29">C269</f>
        <v>46142</v>
      </c>
      <c r="D270" s="14" t="s">
        <v>486</v>
      </c>
      <c r="E270" s="14" t="s">
        <v>487</v>
      </c>
      <c r="F270" s="18" t="s">
        <v>484</v>
      </c>
      <c r="G270" s="14" t="s">
        <v>488</v>
      </c>
      <c r="H270" s="14" t="s">
        <v>33</v>
      </c>
    </row>
    <row r="271" spans="2:8" ht="15.75" customHeight="1">
      <c r="B271" s="16">
        <f t="shared" si="28"/>
        <v>263</v>
      </c>
      <c r="C271" s="17">
        <f t="shared" si="29"/>
        <v>46142</v>
      </c>
      <c r="D271" s="14" t="s">
        <v>489</v>
      </c>
      <c r="E271" s="14" t="s">
        <v>490</v>
      </c>
      <c r="F271" s="18" t="s">
        <v>484</v>
      </c>
      <c r="G271" s="14" t="s">
        <v>491</v>
      </c>
      <c r="H271" s="14" t="s">
        <v>33</v>
      </c>
    </row>
    <row r="272" spans="2:8" ht="15.75" customHeight="1">
      <c r="B272" s="16">
        <f t="shared" si="28"/>
        <v>264</v>
      </c>
      <c r="C272" s="17">
        <f t="shared" si="29"/>
        <v>46142</v>
      </c>
      <c r="D272" s="14" t="s">
        <v>492</v>
      </c>
      <c r="E272" s="14" t="s">
        <v>424</v>
      </c>
      <c r="F272" s="18" t="s">
        <v>484</v>
      </c>
      <c r="G272" s="14" t="s">
        <v>493</v>
      </c>
      <c r="H272" s="14" t="s">
        <v>33</v>
      </c>
    </row>
    <row r="273" spans="2:8" ht="15.75" customHeight="1">
      <c r="B273" s="16">
        <f t="shared" si="28"/>
        <v>265</v>
      </c>
      <c r="C273" s="17">
        <f t="shared" si="29"/>
        <v>46142</v>
      </c>
      <c r="D273" s="14" t="s">
        <v>494</v>
      </c>
      <c r="E273" s="14" t="s">
        <v>43</v>
      </c>
      <c r="F273" s="18" t="s">
        <v>263</v>
      </c>
      <c r="G273" s="14" t="s">
        <v>36</v>
      </c>
      <c r="H273" s="14" t="s">
        <v>33</v>
      </c>
    </row>
    <row r="274" spans="2:8" ht="15.75" customHeight="1">
      <c r="B274" s="16">
        <f t="shared" si="28"/>
        <v>266</v>
      </c>
      <c r="C274" s="17">
        <f t="shared" si="29"/>
        <v>46142</v>
      </c>
      <c r="D274" s="14" t="s">
        <v>27</v>
      </c>
      <c r="E274" s="14" t="s">
        <v>43</v>
      </c>
      <c r="F274" s="18" t="s">
        <v>263</v>
      </c>
      <c r="G274" s="14" t="s">
        <v>495</v>
      </c>
      <c r="H274" s="14" t="s">
        <v>33</v>
      </c>
    </row>
    <row r="275" spans="2:8" ht="15.75" customHeight="1">
      <c r="B275" s="16">
        <f t="shared" si="28"/>
        <v>267</v>
      </c>
      <c r="C275" s="17">
        <f t="shared" si="29"/>
        <v>46142</v>
      </c>
      <c r="D275" s="14" t="s">
        <v>85</v>
      </c>
      <c r="E275" s="14" t="s">
        <v>41</v>
      </c>
      <c r="F275" s="18" t="s">
        <v>263</v>
      </c>
      <c r="G275" s="14" t="s">
        <v>36</v>
      </c>
      <c r="H275" s="14" t="s">
        <v>33</v>
      </c>
    </row>
    <row r="276" spans="2:8" ht="15.75" customHeight="1">
      <c r="B276" s="16">
        <f t="shared" si="28"/>
        <v>268</v>
      </c>
      <c r="C276" s="17">
        <f t="shared" si="29"/>
        <v>46142</v>
      </c>
      <c r="D276" s="14" t="s">
        <v>185</v>
      </c>
      <c r="E276" s="14" t="s">
        <v>43</v>
      </c>
      <c r="F276" s="18" t="s">
        <v>263</v>
      </c>
      <c r="G276" s="14" t="s">
        <v>496</v>
      </c>
      <c r="H276" s="14" t="s">
        <v>30</v>
      </c>
    </row>
    <row r="277" spans="2:8" ht="15.75" customHeight="1">
      <c r="B277" s="16">
        <f t="shared" si="28"/>
        <v>269</v>
      </c>
      <c r="C277" s="17">
        <f t="shared" si="29"/>
        <v>46142</v>
      </c>
      <c r="D277" s="14" t="s">
        <v>34</v>
      </c>
      <c r="E277" s="14" t="s">
        <v>37</v>
      </c>
      <c r="F277" s="18" t="s">
        <v>263</v>
      </c>
      <c r="G277" s="14" t="s">
        <v>497</v>
      </c>
      <c r="H277" s="14" t="s">
        <v>30</v>
      </c>
    </row>
    <row r="278" spans="2:8" ht="15.75" customHeight="1">
      <c r="B278" s="16">
        <f t="shared" si="28"/>
        <v>270</v>
      </c>
      <c r="C278" s="17">
        <f t="shared" si="29"/>
        <v>46142</v>
      </c>
      <c r="D278" s="14" t="s">
        <v>85</v>
      </c>
      <c r="E278" s="14" t="s">
        <v>41</v>
      </c>
      <c r="F278" s="18" t="s">
        <v>263</v>
      </c>
      <c r="G278" s="14" t="s">
        <v>498</v>
      </c>
      <c r="H278" s="14" t="s">
        <v>33</v>
      </c>
    </row>
    <row r="279" spans="2:8" ht="15.75" customHeight="1">
      <c r="B279" s="16">
        <f t="shared" si="28"/>
        <v>271</v>
      </c>
      <c r="C279" s="17">
        <f t="shared" si="29"/>
        <v>46142</v>
      </c>
      <c r="D279" s="14" t="s">
        <v>185</v>
      </c>
      <c r="E279" s="14" t="s">
        <v>483</v>
      </c>
      <c r="F279" s="18" t="s">
        <v>263</v>
      </c>
      <c r="G279" s="14" t="s">
        <v>499</v>
      </c>
      <c r="H279" s="14" t="s">
        <v>30</v>
      </c>
    </row>
    <row r="280" spans="2:8" ht="15.75" customHeight="1">
      <c r="B280" s="16">
        <f t="shared" si="28"/>
        <v>272</v>
      </c>
      <c r="C280" s="17">
        <f t="shared" si="29"/>
        <v>46142</v>
      </c>
      <c r="D280" s="14" t="s">
        <v>185</v>
      </c>
      <c r="E280" s="14" t="s">
        <v>410</v>
      </c>
      <c r="F280" s="18" t="s">
        <v>263</v>
      </c>
      <c r="G280" s="14" t="s">
        <v>500</v>
      </c>
      <c r="H280" s="14" t="s">
        <v>30</v>
      </c>
    </row>
    <row r="281" spans="2:8" ht="15.75" customHeight="1">
      <c r="B281" s="16">
        <f t="shared" si="28"/>
        <v>273</v>
      </c>
      <c r="C281" s="17">
        <f t="shared" si="29"/>
        <v>46142</v>
      </c>
      <c r="D281" s="14" t="s">
        <v>34</v>
      </c>
      <c r="E281" s="14" t="s">
        <v>410</v>
      </c>
      <c r="F281" s="14" t="s">
        <v>501</v>
      </c>
      <c r="G281" s="14" t="s">
        <v>502</v>
      </c>
      <c r="H281" s="14" t="s">
        <v>248</v>
      </c>
    </row>
    <row r="282" spans="2:8" ht="15.75" customHeight="1">
      <c r="B282" s="16">
        <f t="shared" si="28"/>
        <v>274</v>
      </c>
      <c r="C282" s="17">
        <f t="shared" si="29"/>
        <v>46142</v>
      </c>
      <c r="D282" s="14" t="s">
        <v>503</v>
      </c>
      <c r="E282" s="14" t="s">
        <v>504</v>
      </c>
      <c r="F282" s="14" t="s">
        <v>501</v>
      </c>
      <c r="G282" s="14" t="s">
        <v>505</v>
      </c>
      <c r="H282" s="14" t="s">
        <v>52</v>
      </c>
    </row>
    <row r="283" spans="2:8" ht="15.75" customHeight="1">
      <c r="B283" s="16">
        <f t="shared" si="28"/>
        <v>275</v>
      </c>
      <c r="C283" s="17">
        <f t="shared" si="29"/>
        <v>46142</v>
      </c>
      <c r="D283" s="14" t="s">
        <v>34</v>
      </c>
      <c r="E283" s="14" t="s">
        <v>53</v>
      </c>
      <c r="F283" s="14" t="s">
        <v>501</v>
      </c>
      <c r="G283" s="14" t="s">
        <v>479</v>
      </c>
      <c r="H283" s="14" t="s">
        <v>506</v>
      </c>
    </row>
    <row r="284" spans="2:8" ht="15.75" customHeight="1"/>
    <row r="285" spans="2:8" ht="15.75" customHeight="1"/>
    <row r="286" spans="2:8" ht="15.75" customHeight="1"/>
    <row r="287" spans="2:8" ht="15.75" customHeight="1"/>
    <row r="288" spans="2: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B4:H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</dc:creator>
  <cp:lastModifiedBy>Carlos Eduardo</cp:lastModifiedBy>
  <dcterms:created xsi:type="dcterms:W3CDTF">2026-07-14T12:38:20Z</dcterms:created>
  <dcterms:modified xsi:type="dcterms:W3CDTF">2026-07-14T12:39:12Z</dcterms:modified>
</cp:coreProperties>
</file>