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9024"/>
  </bookViews>
  <sheets>
    <sheet name="maio" sheetId="1" r:id="rId1"/>
  </sheets>
  <calcPr calcId="145621"/>
</workbook>
</file>

<file path=xl/calcChain.xml><?xml version="1.0" encoding="utf-8"?>
<calcChain xmlns="http://schemas.openxmlformats.org/spreadsheetml/2006/main">
  <c r="C462" i="1" l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54" i="1"/>
  <c r="C455" i="1" s="1"/>
  <c r="C456" i="1" s="1"/>
  <c r="C457" i="1" s="1"/>
  <c r="C458" i="1" s="1"/>
  <c r="C459" i="1" s="1"/>
  <c r="C460" i="1" s="1"/>
  <c r="C448" i="1"/>
  <c r="C449" i="1" s="1"/>
  <c r="C450" i="1" s="1"/>
  <c r="C451" i="1" s="1"/>
  <c r="C452" i="1" s="1"/>
  <c r="C447" i="1"/>
  <c r="C425" i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07" i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05" i="1"/>
  <c r="C404" i="1"/>
  <c r="C386" i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363" i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59" i="1"/>
  <c r="C360" i="1" s="1"/>
  <c r="C361" i="1" s="1"/>
  <c r="C362" i="1" s="1"/>
  <c r="C342" i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13" i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08" i="1"/>
  <c r="C309" i="1" s="1"/>
  <c r="C310" i="1" s="1"/>
  <c r="C311" i="1" s="1"/>
  <c r="C299" i="1"/>
  <c r="C300" i="1" s="1"/>
  <c r="C301" i="1" s="1"/>
  <c r="C302" i="1" s="1"/>
  <c r="C303" i="1" s="1"/>
  <c r="C304" i="1" s="1"/>
  <c r="C305" i="1" s="1"/>
  <c r="C306" i="1" s="1"/>
  <c r="C259" i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39" i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21" i="1"/>
  <c r="C192" i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178" i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77" i="1"/>
  <c r="C173" i="1"/>
  <c r="C174" i="1" s="1"/>
  <c r="C175" i="1" s="1"/>
  <c r="C162" i="1"/>
  <c r="C163" i="1" s="1"/>
  <c r="C164" i="1" s="1"/>
  <c r="C165" i="1" s="1"/>
  <c r="C166" i="1" s="1"/>
  <c r="C167" i="1" s="1"/>
  <c r="C168" i="1" s="1"/>
  <c r="C169" i="1" s="1"/>
  <c r="C170" i="1" s="1"/>
  <c r="C171" i="1" s="1"/>
  <c r="C145" i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44" i="1"/>
  <c r="C123" i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14" i="1"/>
  <c r="C115" i="1" s="1"/>
  <c r="C116" i="1" s="1"/>
  <c r="C117" i="1" s="1"/>
  <c r="C118" i="1" s="1"/>
  <c r="C119" i="1" s="1"/>
  <c r="C120" i="1" s="1"/>
  <c r="C121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99" i="1"/>
  <c r="C79" i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67" i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63" i="1"/>
  <c r="C64" i="1" s="1"/>
  <c r="C65" i="1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31" i="1"/>
  <c r="C32" i="1" s="1"/>
  <c r="C33" i="1" s="1"/>
  <c r="C21" i="1"/>
  <c r="C22" i="1" s="1"/>
  <c r="C23" i="1" s="1"/>
  <c r="C24" i="1" s="1"/>
  <c r="C25" i="1" s="1"/>
  <c r="C26" i="1" s="1"/>
  <c r="C27" i="1" s="1"/>
  <c r="C28" i="1" s="1"/>
  <c r="C29" i="1" s="1"/>
  <c r="C20" i="1"/>
  <c r="C13" i="1"/>
  <c r="C14" i="1" s="1"/>
  <c r="C15" i="1" s="1"/>
  <c r="C16" i="1" s="1"/>
  <c r="C17" i="1" s="1"/>
  <c r="C18" i="1" s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C12" i="1"/>
  <c r="C10" i="1"/>
  <c r="B10" i="1"/>
  <c r="B11" i="1" s="1"/>
  <c r="B12" i="1" s="1"/>
</calcChain>
</file>

<file path=xl/sharedStrings.xml><?xml version="1.0" encoding="utf-8"?>
<sst xmlns="http://schemas.openxmlformats.org/spreadsheetml/2006/main" count="2378" uniqueCount="905">
  <si>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</si>
  <si>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</si>
  <si>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</si>
  <si>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</si>
  <si>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</si>
  <si>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</si>
  <si>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</si>
  <si>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</si>
  <si>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>TIXXI - Cam 360</t>
  </si>
  <si>
    <t>AC 2 MT</t>
  </si>
  <si>
    <t>Vinícius/Diego/Marcio</t>
  </si>
  <si>
    <t>Rua São Francisco Xavier x Rua Mariz e Barros</t>
  </si>
  <si>
    <t>TIXX , O.P. CICC</t>
  </si>
  <si>
    <t>TIXXI - Cam 373</t>
  </si>
  <si>
    <t>Av Dom Helder Camara - Alt. Rua Moreira - Sent. Cascadura</t>
  </si>
  <si>
    <t>TIXXI - OP. CICC</t>
  </si>
  <si>
    <t xml:space="preserve">Googles Maps </t>
  </si>
  <si>
    <t>Capotamento VP</t>
  </si>
  <si>
    <t xml:space="preserve">Maggessi / Hugo / Carlos </t>
  </si>
  <si>
    <t xml:space="preserve"> AUTOESTRADA GRAJAÚ-JACAREPAGUÁ - ALT. KM 6,5 - SENT. JPA - JACAREPAGUÁ</t>
  </si>
  <si>
    <t>CET-RIO</t>
  </si>
  <si>
    <t xml:space="preserve">Googles Maps - TIXXI </t>
  </si>
  <si>
    <t>Enguiço VP</t>
  </si>
  <si>
    <t xml:space="preserve">AVENIDA AYRTON SENNA - ALT. HOSPITAL MUNICIPAL LOURENÇO JORGE - SENT. ORLA - BARRA </t>
  </si>
  <si>
    <t>Manutrenção na via ( COMLURB)</t>
  </si>
  <si>
    <t>AVENIDA BRASIL - ALT. VIADULTO DA ILHA SENT. Z. OESTE - MARÉ</t>
  </si>
  <si>
    <t>Tixxi</t>
  </si>
  <si>
    <t xml:space="preserve">Buraco na via </t>
  </si>
  <si>
    <t>AVENIDA ARMANDO LOMBARDI - ALT. METRÔ JARDIM OCEÂNICO - SENT. SÃO CONRADO - BARRA DA TIJUCA</t>
  </si>
  <si>
    <t>SECONSERVA</t>
  </si>
  <si>
    <t>AC 2 VP</t>
  </si>
  <si>
    <t xml:space="preserve">Maggessi / Hugo / Carlos / Felipe </t>
  </si>
  <si>
    <t>AVENIDA AYRTON SENNA - ALT. HOSPITAL MUNICIPAL LOURENÇO JORGE - SENT. LINHA AMARELA - BARRA DA TIJUCA</t>
  </si>
  <si>
    <t>AC VP x MT</t>
  </si>
  <si>
    <t xml:space="preserve"> LINHA VERMELHA - ALT. KM 8 - SENT. BAIXADA - CIDADE UNIVERSITÁRIA</t>
  </si>
  <si>
    <t xml:space="preserve">Alex / Diego / Vinicius / Felipe </t>
  </si>
  <si>
    <t>AVENIDA MONSENHOR FÉLIX - ALT. R. PEREIRA DE ARAÚJO - IRAJÁ</t>
  </si>
  <si>
    <t>Operador CICC</t>
  </si>
  <si>
    <t>AVENIDA BRASIL - ALT. PASSARELA 14 - OLARIA</t>
  </si>
  <si>
    <t>AVENIDA ARMANDO LOMBARDI - ALT. PONTE ESTAIADA DO METRÔ - SENT. RECREIO - BARRA DA TIJUCA</t>
  </si>
  <si>
    <t>Google Maps - TIXXI - Alarme HXG</t>
  </si>
  <si>
    <t>Daniel / Vitor / Leonardo</t>
  </si>
  <si>
    <t>Linha Vermelha, alt. Km 3 - Sent. Baixada - Caju</t>
  </si>
  <si>
    <t>TIXXI</t>
  </si>
  <si>
    <t>Google Maps</t>
  </si>
  <si>
    <t>AC UT x VP</t>
  </si>
  <si>
    <t>Rua Cosme Velho - Alt. N° 123 - Sent. Laranjeiras - Cosme Velho</t>
  </si>
  <si>
    <t>Google Maps - Tixxi</t>
  </si>
  <si>
    <t xml:space="preserve">Elevado Eng. Freyssinet - Sent. Linha Vermelha - Rio Comprido </t>
  </si>
  <si>
    <t>Linha Vermelha - Alt. KM 9 - Sent. Baixada - Galeão</t>
  </si>
  <si>
    <t>Google Maps - TIXXI</t>
  </si>
  <si>
    <t>Operação Policial</t>
  </si>
  <si>
    <t>Av. Brasil - Alt. Passarela 10 - Sent. Centro - Maré</t>
  </si>
  <si>
    <t>Linha Amarela - Alt. Acesso 8 - Sent. Barra - Bonsucesso</t>
  </si>
  <si>
    <t>LAMSA</t>
  </si>
  <si>
    <t>AC 2 VP x MT</t>
  </si>
  <si>
    <t>Av. Brasil - Alt. Passarela 6 - Sent. Z. Oeste - Benfica</t>
  </si>
  <si>
    <t>AC VTR x VP</t>
  </si>
  <si>
    <t>Av. Francisco Bicalho - Alt. Linha Férrea - Sent. Av. Brasil - Santo Cristo</t>
  </si>
  <si>
    <t>AC ON x TX</t>
  </si>
  <si>
    <t>Av. Maracanã - Alt. Praça Varnhagen - Sent. Centro - Tijuca</t>
  </si>
  <si>
    <t>Google Maps - TIXXI - Cam 21</t>
  </si>
  <si>
    <t xml:space="preserve">Matheus / Alex / Jackson </t>
  </si>
  <si>
    <t xml:space="preserve">Viaduto dos Fuzileiros - Sent. Centro - Praça da Bandeira </t>
  </si>
  <si>
    <t xml:space="preserve">TIXXI </t>
  </si>
  <si>
    <t xml:space="preserve">Google Maps </t>
  </si>
  <si>
    <t xml:space="preserve">AC Envol. VP </t>
  </si>
  <si>
    <t xml:space="preserve">Linha Vermelha - Alt. KM 4 - Sent. Centro - Galeão </t>
  </si>
  <si>
    <t>Semáforo apagado</t>
  </si>
  <si>
    <t>Daniel / Vitor / Leonardo / Felipe</t>
  </si>
  <si>
    <t>Av. Marechal Rondon - Alt. R. Mal. Bittencourt - Riachuelo</t>
  </si>
  <si>
    <t>Av. Marechal Rondon - Alt. R. Sousa Dantas - São Francisco Xavier</t>
  </si>
  <si>
    <t>Enguiço UT</t>
  </si>
  <si>
    <t>Elevado Eng. Freyssinet - Sent, Lagoa - Rio Comprido</t>
  </si>
  <si>
    <t>AC ON x TX x 2 VP</t>
  </si>
  <si>
    <t>Rua Barata Ribeiro - Alt. N° 450 - Copacabana</t>
  </si>
  <si>
    <t>Linha Amarela - Alt. Túnel da Covanca - Sent. Fundão - Água Santa</t>
  </si>
  <si>
    <t xml:space="preserve">AC 2 VP </t>
  </si>
  <si>
    <t>Av. Brasil - Alt. Arena da Juventude - Sent. Centro - Deodoro</t>
  </si>
  <si>
    <t>Transolímpica - Alt. Est. BRT Leila Diniz - Sent. Deodoro - Curicica</t>
  </si>
  <si>
    <t>VIA RIO</t>
  </si>
  <si>
    <t xml:space="preserve">Elevado Eng. Rufino Pizarro - Sent. Lagoa - Cidade Nova </t>
  </si>
  <si>
    <t>Linha Vermelha - Alt. KM 2 - Sent. Centro - Caju</t>
  </si>
  <si>
    <t>Enguiço ON</t>
  </si>
  <si>
    <t>Estr. da Água Grande - Alt. Praça São João Berchmans - Sent. Cordovil - Irajá</t>
  </si>
  <si>
    <t>Av. Epitácio Pessoa - Alt. Parque da Catacumba - Sent. Ipanema - Lagoa</t>
  </si>
  <si>
    <t>CBMERJ</t>
  </si>
  <si>
    <t xml:space="preserve">Operação Policial </t>
  </si>
  <si>
    <t>Av. Ayrton Senna - Alt. Ponte Santos Dumont - Sent. Linha Amarela</t>
  </si>
  <si>
    <t>Rua São Francisco Xavier - Alt. R. Santos Mello - São Francisco Xavier</t>
  </si>
  <si>
    <t>Av. Pastor Martin Luther King Jr. - Alt. R. Eng. Mario Carvalho - Sent. Irajá - Vicente de Carvalho</t>
  </si>
  <si>
    <t>Manutenção na via (SECONSERVA)</t>
  </si>
  <si>
    <t>Rua Real Grandeza - Alt. Cemintério - Sent. Copacabana - Botafogo</t>
  </si>
  <si>
    <t>Av. Salvador Allende - Alt. Est. BRT Catedral do Recreio - Sent. Recreio - Barra da Tijuca</t>
  </si>
  <si>
    <t>Transolímpica - Alt. Est. BRT Outeiro Santo - Sent. Recreio - Taquara</t>
  </si>
  <si>
    <t>Avenida Presidente Vagas - Alt. R. do Santana - Sent. Praça da Bandeira - Centro</t>
  </si>
  <si>
    <t>Av. Salvador Allende - Alt. Est. BRT Minha Praia - Sent. Transolímpica - Barra da Tijuca</t>
  </si>
  <si>
    <t>Enguiço CR</t>
  </si>
  <si>
    <t>Av. Brasil - Alt. Passarela 8 - Sent. Centro - Bonsucesso</t>
  </si>
  <si>
    <t>Estrada Intendente Magalhães - Alt. N° 991 - Sent. Cascadura - Vila Valqueire</t>
  </si>
  <si>
    <t>Queda MT</t>
  </si>
  <si>
    <t>Av. Vicente de Carvalho - Alt. N° 1100 - Sent. Penha - Vila Kosmos</t>
  </si>
  <si>
    <t>Av. Lucio Costa - Alt. N° 2630 - Sent. Recreio - Barra da Tijuca</t>
  </si>
  <si>
    <t>Drone</t>
  </si>
  <si>
    <t>Atropelamento envolv. VP</t>
  </si>
  <si>
    <t>Rua Ulisses Guimarães - Alt. CASS - Cidade Nova</t>
  </si>
  <si>
    <t>Google Maps - Tixxi - Cam 3212</t>
  </si>
  <si>
    <t xml:space="preserve">Matheus / Jackson / Márcio </t>
  </si>
  <si>
    <t xml:space="preserve">Av. Ayrton Senna - Alt. Nº 3600 - Sent. Orla - Barra da Tijuca </t>
  </si>
  <si>
    <t xml:space="preserve">AC 3 VP </t>
  </si>
  <si>
    <t xml:space="preserve">Linha Amarela - Alt. Saída 7 - Sent. Z. Oeste - Bonsucesso </t>
  </si>
  <si>
    <t xml:space="preserve">LAMSA </t>
  </si>
  <si>
    <t xml:space="preserve">AC VP x MT </t>
  </si>
  <si>
    <t xml:space="preserve">Av. Dom João VI - Alt. Est. BRT Embrapa - Sent. Santa Cruz - Guaratiba </t>
  </si>
  <si>
    <t xml:space="preserve">CET-RIO </t>
  </si>
  <si>
    <t xml:space="preserve">Av. Dom João VI - Alt. Saída do túnel - Sent. Santa Cruz - Guaratiba </t>
  </si>
  <si>
    <t>Tixxi CAM 135</t>
  </si>
  <si>
    <t>Operação PMERJ</t>
  </si>
  <si>
    <t>Márcio / Vinícius / Diego</t>
  </si>
  <si>
    <t>Av. Ayrton Senna - Giro do Cebolinha</t>
  </si>
  <si>
    <t>TIXXI- Cam 555</t>
  </si>
  <si>
    <t>Av. Santa Cruz x Rua Silva Cardoso</t>
  </si>
  <si>
    <t>TIXXi - CAM 135</t>
  </si>
  <si>
    <t>TIXXI - CAM 1122</t>
  </si>
  <si>
    <t>Av Don Helder Câmara x Rua Cerqueira  Daltro - Sent. Cavalcante</t>
  </si>
  <si>
    <t>TIXXI - Cam  135</t>
  </si>
  <si>
    <t>Manutenção ( SMARTLUZ )</t>
  </si>
  <si>
    <t>Av Ayrton Senna - Alt. Gardênia Azul - Sent. Linha Amarela</t>
  </si>
  <si>
    <t>Tixxi / Maps</t>
  </si>
  <si>
    <t>Maggessi / Hugo / Carlos</t>
  </si>
  <si>
    <t>Av. Rodrigues Alves - Alt. R. Garcia Pires</t>
  </si>
  <si>
    <t>CET</t>
  </si>
  <si>
    <t>Maps</t>
  </si>
  <si>
    <t>AC UT x MT</t>
  </si>
  <si>
    <t>Linha Vermelha - Alt. Km 15 - Sent. Baixada</t>
  </si>
  <si>
    <t>Av. das Américas - Alt. N° 4666 - Sent. Recreio</t>
  </si>
  <si>
    <t>Estrada rio do A - Alt. Estrada Rio SP</t>
  </si>
  <si>
    <t>Av. Francisco Bicalho - Alt. Leopoldina - Sent. Rodoviária</t>
  </si>
  <si>
    <t>AC 3 VP</t>
  </si>
  <si>
    <t>Elevado Eng. Freyssinet - Sent. Lagoa</t>
  </si>
  <si>
    <t>Manutenção na Via (IGUÁ)</t>
  </si>
  <si>
    <t>Av. Ayrton Senna - Alt. N° 4190 - Sent. Linha Amarela</t>
  </si>
  <si>
    <t>Evento Colégio Militar</t>
  </si>
  <si>
    <t xml:space="preserve">Rua São Francisco Xavier - Alt. Colégio Militar </t>
  </si>
  <si>
    <t>AC CM x UT x 2 VP</t>
  </si>
  <si>
    <t xml:space="preserve">Av. Brasil - Alt. Passarela 28 - Sent. Centro - Irajá </t>
  </si>
  <si>
    <t>Rua Afonso Pena - Alt. R Dr. Satamini</t>
  </si>
  <si>
    <t>Linha Vermelha - Alt. Km 0 - Sent. Baixada</t>
  </si>
  <si>
    <t>Google Maps  - Tixxi cam 5820</t>
  </si>
  <si>
    <t xml:space="preserve">Enguiço ON </t>
  </si>
  <si>
    <t>Daniel / Leonardo / Vitor / Felipe</t>
  </si>
  <si>
    <t>ESTRADA DA ÁGUA GRANDE - ALT. PRAÇA SÃO JOÃO BERCHMANS - SENT. CORDOVIL - VISTA ALEGRE</t>
  </si>
  <si>
    <t xml:space="preserve">Tixxi </t>
  </si>
  <si>
    <t>Google Maps  - Tixxi cam 782</t>
  </si>
  <si>
    <t>Ac Envol VP</t>
  </si>
  <si>
    <t>ELEVADO DO GASÔMETRO - ALT. ACESSO PARA A AV. RODRIGUES ALVES - SENT. CENTRO - CAJU</t>
  </si>
  <si>
    <t>RUA GOIÁS - ALT. N° 1016 - SENT. MÉIER - QUINTINO BOCAIUVA</t>
  </si>
  <si>
    <t>Google Maps - Tixxi Cam 804</t>
  </si>
  <si>
    <t>AVENIDA PASSOS - ALT. R. LUIS DE CAMÕES - CENTRO</t>
  </si>
  <si>
    <t>ELEVADO ENGENHEIRO FREYSSINET - SENT. LAGOA - RIO COMPRIDO</t>
  </si>
  <si>
    <t>Engiuço CR</t>
  </si>
  <si>
    <t>AVENIDA BRASIL - ALT. DA PASSARELA 28  - SENT. Z.OESTE. - COELHO NETO</t>
  </si>
  <si>
    <t>Google Maps - Tixxi Cam 4525</t>
  </si>
  <si>
    <t>LINHA VERMELHA - ALT. KM 5 - SENT. CENTRO - MARÉ</t>
  </si>
  <si>
    <t>AC 4 VP</t>
  </si>
  <si>
    <t>TÚNEL ANTÔNIO REBOUÇAS - 1ª GALERIA - SENT. LAGOA - COSME VELHO</t>
  </si>
  <si>
    <t>Google Maps - Tixxi Cam 58</t>
  </si>
  <si>
    <t>Enguiço CM</t>
  </si>
  <si>
    <t>AVENIDA AYRTON SENNA - ALT. AEROTOWN - SENT. ORLA - BARRA DA TIJUCA</t>
  </si>
  <si>
    <t>AVENIDA BRASIL - ALT. DA PASSARELA 23  - SENT. Z.OESTE. - IRAJÁ</t>
  </si>
  <si>
    <t>AC CM x 2 VP</t>
  </si>
  <si>
    <t>AVENIDA BRASIL - ALT. STAND DE TIRO – SENT. CENTRO - DEODORO</t>
  </si>
  <si>
    <t>ELEVADO DAS BANDEIRAS - SENT. BARRA - JOÁ</t>
  </si>
  <si>
    <t>AVENIDA BRASIL - ALT. DA PASSARELA 27  - SENT. Z.OESTE. - IRAJÁ</t>
  </si>
  <si>
    <t>AC 2 CM x ON</t>
  </si>
  <si>
    <t>PONTE RIO - NITERÓI - ALT. GRANDE CURVA - SENT. NITERÓI - CAJU</t>
  </si>
  <si>
    <t>Ecoponte</t>
  </si>
  <si>
    <t>Tixxi Cam 45</t>
  </si>
  <si>
    <t>AC CM x VP x MT</t>
  </si>
  <si>
    <t>AVENIDA PADRE LEONEL FRANCA - ALT. PRAÇA SIBELIUS - SENT. BARRA DA TIJUCA - GÁVEA</t>
  </si>
  <si>
    <t>Google Maps - Tixxi Cam 3574</t>
  </si>
  <si>
    <t>AVENIDA PASTOR MARTIN LUTHER KING JÚNIOR - ALT. AV. VICENTE DE CARVALHO - IRAJÁ - VICENTE DE CARVALHO</t>
  </si>
  <si>
    <t>LINHA VERMELHA - ALT. KM10 - BAIXADA - GALEÃO</t>
  </si>
  <si>
    <t>Tixxi - Cam 44</t>
  </si>
  <si>
    <t>Alex / Matheus / Ricardo</t>
  </si>
  <si>
    <t xml:space="preserve">R. Jardim Botânico - Alt. R. Pacheco Leão - Sent. Gávea - Jardim Botânico </t>
  </si>
  <si>
    <t>Tixxi - Cam 5702</t>
  </si>
  <si>
    <t xml:space="preserve">R. das Laranjeiras - Alt. R. Pereira Nunes da Silva - Laranjeiras </t>
  </si>
  <si>
    <t>Google Maps  - Tixxi cam 138</t>
  </si>
  <si>
    <t>Maggessi / Vitor / Leonardo / Jackson</t>
  </si>
  <si>
    <t>ELEVADO ENGENHEIRO FREYSSINET - SENT. TÚNEL REBOUÇAS. - RIO COMPRIDO</t>
  </si>
  <si>
    <t>Google Maps - Tixxi 2341</t>
  </si>
  <si>
    <t>AVENIDA DAS AMÉRICAS - ALT. BRT SALVADOR ALLENDE - SENT. SÃO CONRADO - BARRA DA TIJUCA</t>
  </si>
  <si>
    <t>TRANSOLÍMPICA - ALT. EST. BRT COLÔNIA - SENT. RECREIO - TAQUARA</t>
  </si>
  <si>
    <t>AVENIDA BRASIL - ALT. POSTO VAGÃO - SENT. CENTRO - REALENGO</t>
  </si>
  <si>
    <t>Tixxi cam 4499</t>
  </si>
  <si>
    <t xml:space="preserve">AC 2 MT </t>
  </si>
  <si>
    <t>ELEVADO DO GASÔMETRO - ALT. PASSARELA 0 - SENT. CENTRO - CAJU</t>
  </si>
  <si>
    <t>Google Maps - Tixxi cam 161</t>
  </si>
  <si>
    <t>LINHA VERMELHA - ALT. KM 1 - SENT. CENTRO - CAJU</t>
  </si>
  <si>
    <t>LINHA AMARELA - ALT. CIDADE DE DEUS - SENT. BARRA - JACAREPAGUÁ</t>
  </si>
  <si>
    <t>Google Maps - Tixxi cam 3212</t>
  </si>
  <si>
    <t>AVENIDA AYRTON SENNA - ALT. Nº3383 - SENT. LINHA AMARELA - BARRA DA TIJUCA</t>
  </si>
  <si>
    <t>Google Maps - Tixxi cam 468</t>
  </si>
  <si>
    <t>AVENIDA AYRTON SENNA - ALT. CIDADE DA ARTE - SENT. SÃO CONRADO - BARRA DA TIJUCA</t>
  </si>
  <si>
    <t>Google Maps - Tixxi cam 92</t>
  </si>
  <si>
    <t>Obra na via (Telefonia)</t>
  </si>
  <si>
    <t>AVENIDA BRASIL - ALT. PASSARELA 5 - SENT. Z. OESTE - BENFICA</t>
  </si>
  <si>
    <t>AVENIDA BRASIL - ALT. PASSARELA 7 - SENT. CENTRO - BONSUCESSO</t>
  </si>
  <si>
    <t xml:space="preserve">Matheus / Ricardo / Márcio </t>
  </si>
  <si>
    <t xml:space="preserve">Av. Rodrigues Alves - Alt. R. Cordeiro da Graça - Sent. Centro - Santo Cristo </t>
  </si>
  <si>
    <t xml:space="preserve">CCO MPE </t>
  </si>
  <si>
    <t xml:space="preserve">Av. Ayrton Senna - Alt. Nº 5250 - Sent. Linha Amarela - Barra da Tijuca </t>
  </si>
  <si>
    <t>Tixxi - Cam 3212</t>
  </si>
  <si>
    <t xml:space="preserve">Av. Ayrton Senna - Alt. Nº 3419 - Sent. Orla - Barra da Tijuca </t>
  </si>
  <si>
    <t>Google Maps - Tixxi cam 4479</t>
  </si>
  <si>
    <t xml:space="preserve">Viaduto Eng. Noronha - Alt. Túnel Santa Bárbara - Sent. Centro - Laranjeiras </t>
  </si>
  <si>
    <t>Google Maps - Tixxi cam 127</t>
  </si>
  <si>
    <t xml:space="preserve">AC VP x Poste </t>
  </si>
  <si>
    <t xml:space="preserve">Av. Armando Lombardi - Alt. Ponte Estaiada - Sent. Recreio - Barra da Tijuca </t>
  </si>
  <si>
    <t>Google Maps - Tixxi cam 234</t>
  </si>
  <si>
    <t xml:space="preserve">AC CR x VP </t>
  </si>
  <si>
    <t xml:space="preserve">Av. Brasil - Alt. Passarela 6 - Sent. Centro - Manguinhos </t>
  </si>
  <si>
    <t>Maggesssi/Hugo/Carlos/Jackson</t>
  </si>
  <si>
    <t>Av. Dom João VI - Alt. Est. BRT CTEX - Sent. Recreio</t>
  </si>
  <si>
    <t>Av. Maracanã x Rua São Francisco Xavier - Sent Centro</t>
  </si>
  <si>
    <t>Linha Vermelha - Alt. Km 9 - Cidade Universitária - Sent. Centro</t>
  </si>
  <si>
    <t xml:space="preserve">Av. Olof Palme - Sent. Trnsolímpica </t>
  </si>
  <si>
    <t>Linha Vermelha - Alt. Km 11 - Galeão - Sent. Baixada</t>
  </si>
  <si>
    <t>Avenida Presidente Antônio Carlos - Alt. Av. Franklin Roosevelt - Sent. Candelária</t>
  </si>
  <si>
    <t>Google Maps - Tixxi cam 60</t>
  </si>
  <si>
    <t>Av Lucio Costa - Alt. Posto 8 - Sent. Recreio</t>
  </si>
  <si>
    <t>AC ON x 2 VP</t>
  </si>
  <si>
    <t>Vinícius/Diego/Mácio</t>
  </si>
  <si>
    <t>Linha Vermelha - Alt. KM 13,5 - Sent. Baixada</t>
  </si>
  <si>
    <t>TIXXI - CET RIO</t>
  </si>
  <si>
    <t>TIXXI CAM 4431</t>
  </si>
  <si>
    <t>Enguiço BRT</t>
  </si>
  <si>
    <t>Av. Brasil - Alt. Vigário Geral</t>
  </si>
  <si>
    <t>TIXXI Cam 260</t>
  </si>
  <si>
    <t>Rua Voluntários da Pátria x Rua Nelson Mandela</t>
  </si>
  <si>
    <t>TIXX</t>
  </si>
  <si>
    <t xml:space="preserve">Google Maps - Tixxi </t>
  </si>
  <si>
    <t>Daniel / Hugo / Leonardo / Felipe</t>
  </si>
  <si>
    <t>AVENIDA BRASIL - ALT. PASSARELA 09 - SENT. Z. OESTE - BONSUCESSO</t>
  </si>
  <si>
    <t>LINHA VERMELHA - ALT. KM12 - SENT. BAIXADA - GALEÃO</t>
  </si>
  <si>
    <t>Google Mpas - Tixxi Cam 4413</t>
  </si>
  <si>
    <t>AC 6 VP</t>
  </si>
  <si>
    <t xml:space="preserve"> AVENIDA BRASIL - ALT. PASSARELA 10 - SENT. Z. OESTE - BONSUCESSO</t>
  </si>
  <si>
    <t>Google Maps - Tixxi Cam 410</t>
  </si>
  <si>
    <t xml:space="preserve"> AVENIDA EMBAIXADOR ABELARDO BUENO - ALT. REDE SARAH - SENT. AV. SALVADOR ALLENDE - BARRA DA TIJUCA</t>
  </si>
  <si>
    <t>Google Maps - Tixxi Cam 153</t>
  </si>
  <si>
    <t>Ocorrência CBMERJ</t>
  </si>
  <si>
    <t>AVENIDA BRASIL - ALT. PASSARELA 28 - SENT. Z. OESTE - COELHO NETO</t>
  </si>
  <si>
    <t xml:space="preserve">CBMERJ </t>
  </si>
  <si>
    <t>Google Maps - Tixxi Cam 3146</t>
  </si>
  <si>
    <t>AVENIDA SALVADOR ALLENDE - ALT. EST. BRT  MORRO DO OUTEIRO - SENT. TRANSOLIMPICA - BARRA DA TIJUCA</t>
  </si>
  <si>
    <t>Google Maps - Tixxi Cam 3356</t>
  </si>
  <si>
    <t>ESTRADA DOS BANDEIRANTES - ALT. N° 14890 - SENT. CURICICA - VARGEM PEQUENA</t>
  </si>
  <si>
    <t>Google Mpas - Tixxi Cam 118</t>
  </si>
  <si>
    <t>AVENIDA EPITÁCIO PESSOA - ALT. CORTE DO CANTAGALO - SENT. IPANEMA - LAGOA</t>
  </si>
  <si>
    <t xml:space="preserve"> AVENIDA BRASIL - ALT. ESTR. JOÃO PAULO - SENT. Z. OESTE - BARROS FILHO</t>
  </si>
  <si>
    <t>ELEVADO DO GASÔMETRO - ALT. PASSARELA 0 - SENT. Z. OESTE - CAJU</t>
  </si>
  <si>
    <t>Google Maps - Tixxi Cam 4077</t>
  </si>
  <si>
    <t>ESTRADA DOS BANDEIRANTES - ALT. ESTR. CEL. PEDRO CORRÊA - SENT. VARGEM PEQUENA - CURICICA</t>
  </si>
  <si>
    <t>AVENIDA DE SANTA CRUZ - ALT. N° 7474 - SENT. BANGU - SENADOR CÂMARA</t>
  </si>
  <si>
    <t xml:space="preserve">Tixxi - Cam 167 </t>
  </si>
  <si>
    <t>Vinícius / Diego / Alex</t>
  </si>
  <si>
    <t>Linha Vermelha - Alt. Washington Luiz</t>
  </si>
  <si>
    <t>TIXXI 92 - 173</t>
  </si>
  <si>
    <t>Av Brasil - Alt. Benfica - Sent. Centro</t>
  </si>
  <si>
    <t>Renan Lannes</t>
  </si>
  <si>
    <t>RUA LINO TEIXEIRA - CRUZAMENTO COM RUA ÁLVARES DE AZEVEDO</t>
  </si>
  <si>
    <t>Tixxi - Cam 1751</t>
  </si>
  <si>
    <t>AC TX x VP</t>
  </si>
  <si>
    <t>Av. Edson Passos nº 3000 - Sent. Itanhangá</t>
  </si>
  <si>
    <t>Tixxi e CiCC</t>
  </si>
  <si>
    <t>TXXI - Cam 432 - 421</t>
  </si>
  <si>
    <t>Vinícius/Diego/Alex</t>
  </si>
  <si>
    <t>Linha Vermelha - Alt. Fundão - Sent. Centro</t>
  </si>
  <si>
    <t>TIXXI - Cam 432 - 421</t>
  </si>
  <si>
    <t>Linha Vermelha - Alt. Fundão - Sent. Baixada</t>
  </si>
  <si>
    <t>TIXXI - Cam 161</t>
  </si>
  <si>
    <t>Enguiço MT</t>
  </si>
  <si>
    <t>Linha Vermelha - Alt. KM 01 - Sent. Centro</t>
  </si>
  <si>
    <t>TIXXI - Cam 7140</t>
  </si>
  <si>
    <t>Av Geremário Dantas x Rua Candido Figueiredo - Cruzamento</t>
  </si>
  <si>
    <t>Google Maps - Tixxi Cam 218</t>
  </si>
  <si>
    <t xml:space="preserve">Daniel / Leonardo / vitor / Felipe </t>
  </si>
  <si>
    <t xml:space="preserve"> ELEVADO DO GASÔMETRO - SENT. CENTRO - CAJU</t>
  </si>
  <si>
    <t>Google Maps - TIxxi Cam 1762</t>
  </si>
  <si>
    <t>AC ON x MT</t>
  </si>
  <si>
    <t>AVENIDA EDISON PASSOS - ALT. N° 3253 - ALTO DA BOA VISTA</t>
  </si>
  <si>
    <t>Google Maps - Tixxi Cam 3211</t>
  </si>
  <si>
    <t>AVENIDA AYRTON SENNA - ALT. EST BRT LOURENÇO JORGE - SENT. ORLA - BARRA DA TIJUCA</t>
  </si>
  <si>
    <t>Google Maps - Tixxi Cam 4422</t>
  </si>
  <si>
    <t>AVENIDA BRASIL - ALT. EST BRT JARDIM GUADALUPE - SENT. Z. OESTE - GUADALUPE</t>
  </si>
  <si>
    <t>AC VP X MT</t>
  </si>
  <si>
    <t>AVENIDA BRASIL - ALT. MOCIDADE - SENT. Z. OESTE - PADRE MIGUEL</t>
  </si>
  <si>
    <t>Google Maps - Tixxi Cam 756</t>
  </si>
  <si>
    <t>LINHA AMARELA - ALT. ACESSO 7 - SENT. BARRA - BONSUCESSO</t>
  </si>
  <si>
    <t>Tixxi Cam 824</t>
  </si>
  <si>
    <t>AC envolv. UT</t>
  </si>
  <si>
    <t>AVENIDA BEIRA MAR - ALT. RUA DO RUSSEL - SENT. CENTRO - GLÓRIA</t>
  </si>
  <si>
    <t>Google Maps - Tixxi Cam 2437</t>
  </si>
  <si>
    <t>AC VP x MURETA</t>
  </si>
  <si>
    <t>TRANSOLÍMPICA - ALT. EST BRT LEILA DINIZ - SENT. RECREIO DOS BANDEIRANTES - CURICICA</t>
  </si>
  <si>
    <t>OPVIA</t>
  </si>
  <si>
    <t>LINHA VERMELHA - ALT. KM 14 - SENT. BAIXADA - CORDOVIL</t>
  </si>
  <si>
    <t>PONTE RIO - NITERÓI - CAJU</t>
  </si>
  <si>
    <t>Google Maps - Tixxi Cam 432</t>
  </si>
  <si>
    <t>LINHA VERMELHA - ALT. KM 7 - SENT. BAIXADA - CIDADE UNIVERSITÁRIA</t>
  </si>
  <si>
    <t>Google Maps - Tixxi Cam 4479</t>
  </si>
  <si>
    <t xml:space="preserve">Matheus / Ricardo / Alex </t>
  </si>
  <si>
    <t xml:space="preserve">Viaduto Engenheiro Noronha - Alt. Túnel Santa Bárbara - Sent. Centro - Laranjeiras </t>
  </si>
  <si>
    <t>Google Maps - Tixxi Cam 22</t>
  </si>
  <si>
    <t xml:space="preserve">AC TX x VP </t>
  </si>
  <si>
    <t xml:space="preserve">Av. Rei Pelé - Alt. Maracanã - Sent. Vila Isabel - Maracanã </t>
  </si>
  <si>
    <t>Google Maps - Tixxi Cam 5127</t>
  </si>
  <si>
    <t xml:space="preserve">AC UT x VP </t>
  </si>
  <si>
    <t xml:space="preserve">R. Equador - Alt. Av. Prof. Pereira Reis - Sent. Rodoviária - Santo Cristo </t>
  </si>
  <si>
    <t>TIXXI / MAPS</t>
  </si>
  <si>
    <t>Maggessi / Hugo/ Carlos / Jackson</t>
  </si>
  <si>
    <t>Viaduto do Pracinhas - Sent. Centro</t>
  </si>
  <si>
    <t>Manutenção na Via (LIGHT)</t>
  </si>
  <si>
    <t>Av. Ayrton Senna - Alt. N° 2541 - Sent. Orla</t>
  </si>
  <si>
    <t>Av. Presidente Vargas - Alt. Viaduto dos Fuzileiros - Sent. Candelária</t>
  </si>
  <si>
    <t>Av. Ayrton Senna - Alt. Giro do Cebolinha - Sent. Orla</t>
  </si>
  <si>
    <t>Rua José do Patrocínio - Alt. N° 306</t>
  </si>
  <si>
    <t>Rua São Clemente, Alt. N° 172</t>
  </si>
  <si>
    <t>Av. Rei Pelé, Alt R. Gen Canabrro - Sent. Centro</t>
  </si>
  <si>
    <t>MAPS</t>
  </si>
  <si>
    <t>Linha Amarela, Alt. Saída 1 B - Sent. Fundão</t>
  </si>
  <si>
    <t>Linha Vermelha, Alt. KM 10.5 - Sent. Centro</t>
  </si>
  <si>
    <t xml:space="preserve">AC VP x 2 MT </t>
  </si>
  <si>
    <t xml:space="preserve">Túnel Antônio Rebouças - Alt. 2ª Galeria - Sent. Centro - Rio Comprido </t>
  </si>
  <si>
    <t>Manutenção na via</t>
  </si>
  <si>
    <t xml:space="preserve">Linha Vermelha, Alt. KM 7 - Sent. Baixada - Cidade Universitária </t>
  </si>
  <si>
    <t>Google Maps - Tixxi Cam 185</t>
  </si>
  <si>
    <t xml:space="preserve">Enguiço VP </t>
  </si>
  <si>
    <t xml:space="preserve">Av. Pastor Martin Luther King Júnior - Alt. R. César Múzio - Sent. Inhaúma - Vicente de Carvalho </t>
  </si>
  <si>
    <t xml:space="preserve">Atropelamento VP </t>
  </si>
  <si>
    <t xml:space="preserve">Autoestrada Fernando Mac Dowell - Alt. R. Eng. Amandino de Carvalho - Sent. Gávea - São Conrado </t>
  </si>
  <si>
    <t xml:space="preserve">CET -RIO </t>
  </si>
  <si>
    <t xml:space="preserve">Queda MT </t>
  </si>
  <si>
    <t xml:space="preserve">A. Francisco Bicalho - Alt. Viaduto dos Pracinhas - Sent. Túnel Rebouças - Praça da Bandeira </t>
  </si>
  <si>
    <t>Tixxi Cam 432</t>
  </si>
  <si>
    <t>Márcio / Vinicius / Diego</t>
  </si>
  <si>
    <t>Linha Vermelha - Alt. Hospital Universitário</t>
  </si>
  <si>
    <t>Google Maps / Globocop</t>
  </si>
  <si>
    <t xml:space="preserve">Daniel / Carlos / Hugo / Felipe </t>
  </si>
  <si>
    <t>VIADUTO DE DEODORO - SENT. CENTRO - DEODORO</t>
  </si>
  <si>
    <t>Google Maps / Tixxi - Cam 98</t>
  </si>
  <si>
    <t xml:space="preserve"> AVENIDA TRINTA E UM DE MARÇO - ALT. TÚNEL SANTA BÁRBARA - SENT. LARANJEIRAS - CIDADE NOVA</t>
  </si>
  <si>
    <t>Google Maps / Tixxi - Cam 826</t>
  </si>
  <si>
    <t xml:space="preserve">Óleo na via </t>
  </si>
  <si>
    <t xml:space="preserve"> AVENIDA ALFRED AGACHE - ALT. 3° COMAR - CENTRO</t>
  </si>
  <si>
    <t>Google Maps / Tixxi - Cam 893</t>
  </si>
  <si>
    <t>AC VP x 3 MT</t>
  </si>
  <si>
    <t xml:space="preserve"> TUNEL ANTÔNIO REBOUÇAS - ALT. 2° GALERIA - SENT. CENTRO - HUMAITÁ</t>
  </si>
  <si>
    <t>Google Maps / Tixxi - Cam 1410</t>
  </si>
  <si>
    <t>Manutenção na via (COMLURB)</t>
  </si>
  <si>
    <t xml:space="preserve"> AVENIDA PADRE LEONEL FRANCA - ALT.TÚNEL ACÚSTICO RAFAEL MASCARENHAS - SENT. SÃO CONRADO - GÁVEA</t>
  </si>
  <si>
    <t>Google Maps / Tixxi - Cam 173</t>
  </si>
  <si>
    <t>AVENIDA BRASIL - ALT. PASSARELA 4 - SENT. CENTRO - BENFICA</t>
  </si>
  <si>
    <t>AVENIDA AYRTON SENNA - ALT. PONTE SANTOS DUMONT - SENT. ORLA - BARRA DA TIJUCA</t>
  </si>
  <si>
    <t>Google / Tixxi - Cam 22</t>
  </si>
  <si>
    <t>AVENIDA REI PELÉ - ALT. PORTÃO 2 - SENT. CENTRO - MARACANÃ</t>
  </si>
  <si>
    <t>Google Maps / Tixxi - Cam 4416</t>
  </si>
  <si>
    <t>AC CM x UT</t>
  </si>
  <si>
    <t>AVENIDA BRASIL - ALT. DA  PASSARELA  6  - SENT. CENTRO. - BENFICA</t>
  </si>
  <si>
    <t>Google Maps  / Tixxi - Cam 791</t>
  </si>
  <si>
    <t>AVENIDA TRINTA E UM DE MARÇO - ALT. R. FREI CANECA - SENT. BOTAFOGO - CATUMBI</t>
  </si>
  <si>
    <t>Google Maps / Tixxi - Cam 649</t>
  </si>
  <si>
    <t>AVENIDA DAS AMÉRICAS - ALT. CIDADE DAS ARTES - SENT. LINHA AMARELA - BARRA DA TIJUCA</t>
  </si>
  <si>
    <t>Google Maps / Tixxi - Cam 149</t>
  </si>
  <si>
    <t>AC CM x VP</t>
  </si>
  <si>
    <t>AVENIDA DAS MISSÕES - ALT. VIADUTO TREVO DAS MISSÕES  - SENT. AV. BRASIL - CORDOVIL</t>
  </si>
  <si>
    <t>AVENIDA DAS AMÉRICAS - ALT. N° 489 - SENT. RECREIO - BARRA DA TIJUCA</t>
  </si>
  <si>
    <t>Incêndio VP</t>
  </si>
  <si>
    <t>AVENIDA DAS AMÉRICAS - ALT. EST. BRT PONTÕES / BARRA SUL - SENT. RECREIO - BARRA DA TIJUCA</t>
  </si>
  <si>
    <t>Google Maps / Tixxi - Cam 4335</t>
  </si>
  <si>
    <t>AVENIDA ATLÂNTICA - ALT. R. BARÃO DE IPANEMA - SENT. LEME - COPACABANA</t>
  </si>
  <si>
    <t>Google Maps / HxGN</t>
  </si>
  <si>
    <t>Daniel / Leonardo / Jackson / Felipe</t>
  </si>
  <si>
    <t>ESTRADA DOS BANDEIRANTES - ALT. EST. BRT RECANTO DAS PALMEIRAS - SENT. TAQUARA - JACAREPAGUÁ</t>
  </si>
  <si>
    <t xml:space="preserve">CET/RIO </t>
  </si>
  <si>
    <t>Google Maps / Tixxi - Cam 92</t>
  </si>
  <si>
    <t>AVENIDA BRASIL - ALT. VIADUTO DE BENFICA - SENT. Z OESTE - BENFICA</t>
  </si>
  <si>
    <t>TÚNEL ANDRÉ REBOUÇAS - ALT. PRIMEIRA GALERIA - SENT. LAGOA - COSME VELHO</t>
  </si>
  <si>
    <t>Google Maps / Tixxi - Cam 5672</t>
  </si>
  <si>
    <t xml:space="preserve"> ESTRADA DOS BANDEIRANTES &amp; ESTRADA MAL. MIGUEL SALAZAR M. DE MORAIS - TAQUARA</t>
  </si>
  <si>
    <t xml:space="preserve"> AVENIDA BRASIL - ALT. TERMINAL GENTILEZA - SENT. CENTRO - SÃO CRISTÓVÃO</t>
  </si>
  <si>
    <t>: LINHA AMARELA - ALT. SAÍDA 1B - SENT. BARRA - FREGUESIA JACAREPAGUÁ</t>
  </si>
  <si>
    <t>Google Maps / Tixxi - Cam 1015</t>
  </si>
  <si>
    <t xml:space="preserve"> RUA ARQUIAS CORDEIRO - ALT. R. PIAUÍ - ENGENHO DE DENTRO</t>
  </si>
  <si>
    <t xml:space="preserve"> AVENIDA BRASIL - ALT. ARENA DA JUVENTUDE SENT. CENTRO - VILA MILITAR</t>
  </si>
  <si>
    <t>Google Maps / HxGN / Tixxi - Cam 5673</t>
  </si>
  <si>
    <t xml:space="preserve">Enguiço CM </t>
  </si>
  <si>
    <t>AVENIDA MARECHAL RONDON - ALT. R. HENRIQUE DIAS - ROCHA</t>
  </si>
  <si>
    <t>Google Maps / HxGN / Jarvis / Tixxi - Cam 6318</t>
  </si>
  <si>
    <t>RUA VISCONDE DE PIRAJÁ - ALT. AV. HENRIQUE DUMONT - IPANEMA</t>
  </si>
  <si>
    <t>Google Maps / HxGN / Tixxi - Cam 871</t>
  </si>
  <si>
    <t>Manutenção na via (Seconserva)</t>
  </si>
  <si>
    <t xml:space="preserve"> AVENIDA MINISTRO IVAN LINS - ALT. PRAÇA EUVALDO LODI - SENT. SÃO CONRADO - BARRA DA TIJUCA</t>
  </si>
  <si>
    <t xml:space="preserve">Google Maps / HxGN / Jarvis </t>
  </si>
  <si>
    <t>AC Envol. MT</t>
  </si>
  <si>
    <t xml:space="preserve"> RUA TEIXEIRA SOARES - ALT. R. PARÁ - MARACANÃ</t>
  </si>
  <si>
    <t>Google Maps / HxGN / JArvis / Tixxi - Cam 3700</t>
  </si>
  <si>
    <t>Atropelamento MT</t>
  </si>
  <si>
    <t>AVENIDA LÚCIO COSTA - ALT. RUA EMBAIXADOR EGBERTO MAFRA - SENT. RECREIO DOS BANDEIRANTES - BARRA DA TIJUCA</t>
  </si>
  <si>
    <t xml:space="preserve"> TÚNEL ACÚSTICO RAFAEL MASCARENHAS - SENT. LAGOA - GÁVEA</t>
  </si>
  <si>
    <t>Google Maps / HxGN / JArvis / Tixxi - Cam 5606</t>
  </si>
  <si>
    <t xml:space="preserve"> RUA VINTE E QUATRO DE MAIO - ALT. R. SÃO PAULO - SAMPAIO</t>
  </si>
  <si>
    <t xml:space="preserve">Google Maps / HxGN </t>
  </si>
  <si>
    <t xml:space="preserve"> AVENIDA PAULO DE FRONTIN - ALT. N° 610 - SENT. LAGOA - RIO COMPRIDO</t>
  </si>
  <si>
    <t>Google Maps / HxGN / JArvis / Tixxi - Cam 421</t>
  </si>
  <si>
    <t xml:space="preserve"> LINHA VERMELHA - ALT. KM 6 - SENT. BAIXADA - CIDADE UNIVERSITÁRIA</t>
  </si>
  <si>
    <t>LINHA AMARELA - ALT. SAÍDA 6 - SENT. FUNDÃO - DEL CASTILHO</t>
  </si>
  <si>
    <t>AVENIDA DAS AMÉRICAS - ALT. BRT SALVADOR ALLENDE - SENT. RECREIO - BARRA DA TIJUCA</t>
  </si>
  <si>
    <t>LINHA AMARELA - ALT. SAÍDA 7 - SENT. BARRA - BONSUCESSO</t>
  </si>
  <si>
    <t>AVENIDA DAS AMÉRICAS - ALT. N°12221 - SENT. RECREIO DOS BANDEIRANTES - BARRA DA TIJUCA</t>
  </si>
  <si>
    <t>AVENIDA DAS AMÉRICAS - ALT. N° 17552 - SENT. SANTA CRUZ - RECREIO DOS BANDEIRANTES</t>
  </si>
  <si>
    <t>Google Maps / HxGN / JArvis / Tixxi - Cam 774</t>
  </si>
  <si>
    <t>Enguiço TX</t>
  </si>
  <si>
    <t>RUA ALMIRANTE BALTAZAR - ALT. R. JOSÉ EUGÊNIO - SÃO CRISTÓVÃO</t>
  </si>
  <si>
    <t>Google Maps / HxGN / JArvis / Tixxi - Cam 3719</t>
  </si>
  <si>
    <t>Atropelamento Envol. Vp</t>
  </si>
  <si>
    <t>ESTRADA INTENDENTE MAGALHÃES - ALT. ESTR. HENRIQUE DE MELO - SENT. SULACAP - OSVALDO CRUZ</t>
  </si>
  <si>
    <t>Alex / Ricardo / Matheus</t>
  </si>
  <si>
    <t xml:space="preserve">Transolímpica - Alt. Est. BRT Marechal Fontenelle - Sent. Av. Brasil - Jardim Sulacap </t>
  </si>
  <si>
    <t xml:space="preserve">CCO Transolímpica </t>
  </si>
  <si>
    <t xml:space="preserve">Av. Ayrton Senna - Alt. Nº 3212 - Sent. Orla - Barra da Tijuca </t>
  </si>
  <si>
    <t>Google Maps - Tixxi cam 37</t>
  </si>
  <si>
    <t>ESTR. DO GALEÃO - ALT. BASE AÉREA DO GALEÃO - SENT. LINHA VERMELHA - GALEÃO</t>
  </si>
  <si>
    <t>Google Maps - Tixxi cam 4343</t>
  </si>
  <si>
    <t xml:space="preserve">AC BRT X VP </t>
  </si>
  <si>
    <t xml:space="preserve">Av. Brigadeiro Trompowski - Alt. Est. BRT Maré - Sent. Fundão - Maré </t>
  </si>
  <si>
    <t xml:space="preserve">Av. Brasil - Alt. Estr. Camboatá - Sent. Z.Oeste - Guadalupe </t>
  </si>
  <si>
    <t>Maggessi / Leonardo / Jackson</t>
  </si>
  <si>
    <t>AVENIDA BRASIL - ALT. PASSARELA 02 - SENT. CENTRO - SÃO CRISTÓVÃO</t>
  </si>
  <si>
    <t>Google Maps - Alarme HXG - Tixx</t>
  </si>
  <si>
    <t>AC UT x 3VP</t>
  </si>
  <si>
    <t>AVENIDA BRASIL - ALT. PASSARELA 24 - SENT. Z. OESTE - IRAJÁ</t>
  </si>
  <si>
    <t xml:space="preserve">Google Maps - Alarme HXG </t>
  </si>
  <si>
    <t>AVENIDA PADRE LEONEL FRANCA - ALT. ENTRE GALERIAS - SENT. SÃO CONRADO - GÁVEA</t>
  </si>
  <si>
    <t>Atropelamento VP</t>
  </si>
  <si>
    <t>AVENIDA FRANCISCO BICALHO - ALT. DETRAN - SENT. CENTRO - SÃO CRISTÓVÃO</t>
  </si>
  <si>
    <t>Google Maps - Jarvis</t>
  </si>
  <si>
    <t>AVENIDA ALBERICO DINIZ - ALT. R. LEOPOLDO GOTUZZO - SENT. BANGU - JARDIM SULACAP</t>
  </si>
  <si>
    <t>Poda de árvore</t>
  </si>
  <si>
    <t>RUA DONA MARIANA - ALT. R. VOLUNTÁRIOS DA PÁTRIA - BOTAFOGO</t>
  </si>
  <si>
    <t>Google Maps - Alarme HXG - Tixxi - Jarvis</t>
  </si>
  <si>
    <t>BOULEVARD 28 DE SETEMBRO - ALT. R. FELIPE CAMARÂO - SENT. MARACANÃ - VILA ISABEL</t>
  </si>
  <si>
    <t>PONTE RIO - NITERÓI - ALT. AV. BRASIL - SENT. NITERÓI - CAJU</t>
  </si>
  <si>
    <t>ELEVADO DO GASÔMETRO - ALT. RODOVIÁRIA - SENT. AV. BRASIL - CAJU</t>
  </si>
  <si>
    <t>Google Maps - Alarme HXG</t>
  </si>
  <si>
    <t>LINHA AMARELA - ALT. SAÍDA 8 - SENT. BARRA - MANGUINHOS</t>
  </si>
  <si>
    <t>LINHA AMARELA - ALT. SAÍDA 9 - SENT. BARRA - MANGUINHOS</t>
  </si>
  <si>
    <t>AVENIDA BRASIL - ALT. PASSARELA 02 - SENT. Z. OESTE - SÃO CRISTÓVÃO</t>
  </si>
  <si>
    <t>Google Maps - Alarme HXG - Tixxi</t>
  </si>
  <si>
    <t>AVENIDA SALVADOR ALLENDE - ALT. BRT ASA BRANCA - SENT. RECREIO - BARRA DA TIJUCA</t>
  </si>
  <si>
    <t>LINHA VERMELHA - ALT. KM 4,5 - SENT. BAIXADA - MARÉ</t>
  </si>
  <si>
    <t>AC 6 VP x MT</t>
  </si>
  <si>
    <t>AVENIDA TRINTA E UM DE MARÇO - ALT. VTO. SÃO SEBASTIÃO - SENT. CENTRO - CATUMBI</t>
  </si>
  <si>
    <t xml:space="preserve">Matheus / Márcio / Ricardo </t>
  </si>
  <si>
    <t>Google Maps - Tixxi cam 771</t>
  </si>
  <si>
    <t xml:space="preserve">Av. Rei Pelé - Alt. Viaduto Oduvaldo Cozzi - Sent. Méier - Maracanã </t>
  </si>
  <si>
    <t>Google Maps / HxGN / Jarvis / Tixxi - Cam 4499</t>
  </si>
  <si>
    <t xml:space="preserve">Daniel / Hugo / Felipe </t>
  </si>
  <si>
    <t>ELEVADO DO GASÔMETRO - ALT. TERMINAL INTERMODAL GENTILEZA  - SENT. CENTRO - CAJU</t>
  </si>
  <si>
    <t>Google Maps / HxGN / Jarvis / Tixxi - Cam - 572</t>
  </si>
  <si>
    <t>ESTRADA RIO SÃO PAULO - ALT. ESTR. RIO DO A - CAMPO GRANDE</t>
  </si>
  <si>
    <t>LINHA VERMELHA - ALT. KM5 - SENT. BAIXADA - MARÉ</t>
  </si>
  <si>
    <t>Google Maps / HxGN / Jarvis / Tixxi - Cam - 112</t>
  </si>
  <si>
    <t>VIADUTO SAINT HILAIRE - SENT. CENTRO - JARDIM BOTÂNICO</t>
  </si>
  <si>
    <t>TUNEL ANTÔNIO REBOUÇAS - 1° GALERIA - SENT. LAGOA - RIO COMPRIDO</t>
  </si>
  <si>
    <t>Google Maps / HxGN / Jarvis / Tixxi - Cam - 126</t>
  </si>
  <si>
    <t xml:space="preserve">Ocorrência CBMERJ </t>
  </si>
  <si>
    <t>PONTE DA JOATINGA - SENT. SÃO CONRADO - BARRA DA TIJUCA</t>
  </si>
  <si>
    <t>AVENIDA ALBERICO DINIZ - ALT. CFAP - SENT. CENTRO - JARDIM SULACAP</t>
  </si>
  <si>
    <t>Google Maps / HxGN / Jarvis / Tixxi - Cam - 1118</t>
  </si>
  <si>
    <t xml:space="preserve"> BOULEVARD 28 DE SETEMBRO - ALT. R. SÃO FRANCISCO XAVIER, - VILA ISABEL</t>
  </si>
  <si>
    <t>RUA MISSISSIPI - ALT. N° 95 - TANQUE</t>
  </si>
  <si>
    <t xml:space="preserve">Incêndio em imóvel comercial </t>
  </si>
  <si>
    <t>AVENIDA LÚCIO COSTA - BARRA DA TIJUCA - N° 3460 - SENT. RECREIO</t>
  </si>
  <si>
    <t>Google Maps / HxGN / Jarvis / Tixxi - Cam - 406</t>
  </si>
  <si>
    <t>AVENIDA EMBAIXADOR ABELARDO BUENO - ALT. EST. BRT PARQUE OLÍMPICO - SENT. TRANSOLÍMPICA - BARRA DA TIJUCA</t>
  </si>
  <si>
    <t>Google Maps / HxGN / Jarvis / Tixxi - Cam - 4480</t>
  </si>
  <si>
    <t>VIADUTO ENGENHEIRO NORONHA - SENT. CENTRO - LARANJEIRAS</t>
  </si>
  <si>
    <t>Google Maps / HxGN / Jarvis / Tixxi - Cam - 101</t>
  </si>
  <si>
    <t>AVENIDA TRINTA E UM DE MARÇO - ALT. AV. PRESIDENTE VARGAS - SENT. SANTO CRISTO - CATUMBI</t>
  </si>
  <si>
    <t xml:space="preserve"> AVENIDA BRASIL - ALT. PASSARELA 4 - SENT. CENTRO - SÃO CRISTÓVÃO</t>
  </si>
  <si>
    <t>LINHA AMARELA - ALT. SAÍDA 06 - SENT. FUNDÃO - DEL CASTILHO</t>
  </si>
  <si>
    <t>TIXXI - Cam 4525</t>
  </si>
  <si>
    <t>Linha Vermelha - Alt. Maré - Sent. Centro</t>
  </si>
  <si>
    <t>TIXXI - CET-RIO</t>
  </si>
  <si>
    <t>TIXXI - Cam 421</t>
  </si>
  <si>
    <t>Abordagem PMERJ</t>
  </si>
  <si>
    <t>TIXXI - Cam 583</t>
  </si>
  <si>
    <t>AC VP x Murete</t>
  </si>
  <si>
    <t>Viaduto Oscar de Brito - Sent. Centro</t>
  </si>
  <si>
    <t>TIXXI - Cam 432</t>
  </si>
  <si>
    <t>Linha Vermelha - Alt. Hospital do Fundão</t>
  </si>
  <si>
    <t>AC ON x UT</t>
  </si>
  <si>
    <t>Av Brasil - Alt. Realengo - Sent. Centro</t>
  </si>
  <si>
    <t>TXXI - CET RIO - OP. CICC</t>
  </si>
  <si>
    <t>TIXXI - Cam 3174</t>
  </si>
  <si>
    <t>Av. Salvador Allende - Sent. Av Abelardo Bueno - Alt. N° 1001</t>
  </si>
  <si>
    <t>TIXXI - Cam 1669</t>
  </si>
  <si>
    <t>Av Amaro Cavalcante - Sent. Centro</t>
  </si>
  <si>
    <t>TXXI</t>
  </si>
  <si>
    <t>TIXXI - Cam 188</t>
  </si>
  <si>
    <t>Av Ministro Edgard Romero - Alt. Estação BRT Otaviano</t>
  </si>
  <si>
    <t>Google Maps / HxGN / Jarvis / Tixxi - Cam - 5284</t>
  </si>
  <si>
    <t xml:space="preserve">Maggessi / Leonardo / Jackson / Felipe </t>
  </si>
  <si>
    <t>RUA GOIÁS - ALT. EST. PIEDADE - SENT. CENTRO - PIEDADE</t>
  </si>
  <si>
    <t>Google Maps / HxGN / Jarvis / Tixxi - Cam - 178</t>
  </si>
  <si>
    <t>AVENIDA REI PELÉ - ALT. VTO. ODUVALDO COZZI - SENT. PRAÇA DA BANDEIRA - MARACANÃ</t>
  </si>
  <si>
    <t xml:space="preserve">AVENIDA TRINTA E UM DE MARÇO - ALT. R. DR. AGRA - SENT. LARANJEIRAS </t>
  </si>
  <si>
    <t>AVENIDA AYRTON SENNA - ALT. VIA SESC - SENT. ORLA - CIDADE DE DEUS</t>
  </si>
  <si>
    <t>Google Maps / HxGN / Jarvis / Tixxi - Cam - 4708</t>
  </si>
  <si>
    <t>PRAÇA PROFESSOR JOSÉ BERNARDINO - ALT. R. ALDO BONADEI - BARRA DA TIJUCA</t>
  </si>
  <si>
    <t>Google Maps / HxGN / Jarvis / Tixxi - Cam - 1015</t>
  </si>
  <si>
    <t>RUA ARQUIAS CORDEIRO - ALT. R. PIAUÍ - ENGENHO DE DENTRO</t>
  </si>
  <si>
    <t>Google Maps / HxGN / Jarvis / Tixxi - Cam - 5681</t>
  </si>
  <si>
    <t>AVENIDA MARECHAL RONDON - ALT. R. SOUSA DANTAS - SÃO FRANCISCO XAVIER</t>
  </si>
  <si>
    <t>AVENIDA PRESIDENTE VARGAS - ALT. R. CARMO NETO - SENT. CANDELÁRIA - CENTRO</t>
  </si>
  <si>
    <t>TÚNEL ANDRÉ REBOUÇAS - ALT. PRIMEIRA GALERIA - SENT. CENTRO - COSME VELHO</t>
  </si>
  <si>
    <t>AVENIDA AYRTON SENNA - ALT. GIRO DO CEBOLINHA - SENT. ORLA - JACAREPAGUÁ</t>
  </si>
  <si>
    <t>AC CM x MT</t>
  </si>
  <si>
    <t>AVENIDA BRASIL - VTO DE DEODORO - SENT. CENTRO - DEODORO</t>
  </si>
  <si>
    <t>Google Maps / HxGN / Jarvis / Tixxi - Cam - 4413</t>
  </si>
  <si>
    <t>AC CR x CM x MT</t>
  </si>
  <si>
    <t>AVENIDA BRASIL - ALT. PASSARELA 10 - SENT. CENTRO - MANGUINHOS</t>
  </si>
  <si>
    <t>AVENIDA BORGES DE MEDEIROS - ALT. R. PROF. ABELARDO LÓBO - SENT. GÁVEA - LAGOA</t>
  </si>
  <si>
    <t>Google Maps / HxGN / Jarvis / Tixxi - Cam - 352</t>
  </si>
  <si>
    <t>RUA TEODORO DA SILVA - ALT. R. SOUSA FRANCO - VILA ISABEL</t>
  </si>
  <si>
    <t>LINHA AMARELA - ALT. SAÍDA 7 - SENT. FUNDÃO - BONSUCESSO</t>
  </si>
  <si>
    <t>RUA PINHEIRO MACHADO - ALT. Nº99 - LARANJEIRAS</t>
  </si>
  <si>
    <t>AVENIDA BRASIL - ALT. CIAMPA - SENT. CENTRO - CAMPO GRANDE</t>
  </si>
  <si>
    <t>Google Maps / HxGN / Jarvis / Tixxi - Cam - 899</t>
  </si>
  <si>
    <t>AC VP x Poste</t>
  </si>
  <si>
    <t>AVENIDA SALVADOR ALLENDE - ALT. EST. BRT ILHA PURA - SENT. RECREIO - CAMORIM</t>
  </si>
  <si>
    <t>Google Maps / HxGN / Jarvis / Tixxi - Cam - 4416</t>
  </si>
  <si>
    <t>AC CM x ON</t>
  </si>
  <si>
    <t>TRANSOLÍMPICA - ALT. EST. BRT BOIUNA - SENT. RECREIO DOS BANDEIRANTES - TAQUARA</t>
  </si>
  <si>
    <t>Google Maps / HxGN / Jarvis / Tixxi - Cam - 65</t>
  </si>
  <si>
    <t>AVENIDA DAS AMÉRICAS - ALT. AV. EVANDRO LINS E SILVA - SENT. SÃO CONRADO - BARRA DA TIJUCA</t>
  </si>
  <si>
    <t>Google Maps / HxGN / Jarvis / Tixxi - Cam - 153</t>
  </si>
  <si>
    <t>AVENIDA BRASIL - ALT. PASSARELA 28 - SENT. Z. OESTE - BARROS FILHO</t>
  </si>
  <si>
    <t>Google Maps / HxGN / Jarvis / Tixxi - Cam - 4246</t>
  </si>
  <si>
    <t xml:space="preserve">AC2 VP </t>
  </si>
  <si>
    <t>AVENIDA AMARO CAVALCANTE - ALT. R. ADRIANO - MÉIER</t>
  </si>
  <si>
    <t>Google Maps / HxGN / Jarvis / Tixxi - Cam - 1411</t>
  </si>
  <si>
    <t>AVENIDA PADRE LEONEL FRANCA - ALT. ENTRADO TÚNEL RAFAEL MASCARENHAS - SENT. SÃO CONRADO - GÁVEA</t>
  </si>
  <si>
    <t xml:space="preserve">Drone </t>
  </si>
  <si>
    <t>Enguiço VTR</t>
  </si>
  <si>
    <t>AVENIDA FRANCISCO BICALHO - ALT. LINHA FÉRREA  - SENT. CENTRO - CIDADE NOVA</t>
  </si>
  <si>
    <t>AVENIDA BRASIL - BRT VASCO DA GAMA - SENT. Z OESTE - VASCO DA GAMA</t>
  </si>
  <si>
    <t xml:space="preserve"> AVENIDA BRASIL - BRT MARINHA MERCANTE - SENT. Z OESTE - OLARIA</t>
  </si>
  <si>
    <t>LINHA VERMELHA - ALT. KM 10 - SENT. BAIXADA - GALEÃO</t>
  </si>
  <si>
    <t>Google Maps / HxGN / Jarvis / Tixxi - Cam - 649</t>
  </si>
  <si>
    <t>AVENIDA AYRTON SENNA - ALT. CIDADE DA ARTES  - SENT. LINHA AMARELA - BARRA DA TIJUCA</t>
  </si>
  <si>
    <t>Google Maps / HxGN / Jarvis / Tixxi - Cam - 4831</t>
  </si>
  <si>
    <t>AC TX x 2 VP</t>
  </si>
  <si>
    <t>AVENIDA TRINTA E UM DE MARÇO - ALT. VTO. SÃO SEBASTIÃO - SENT. AV. PRESIDENTE VARGAS - CIDADE NOVA</t>
  </si>
  <si>
    <t>TIxxi</t>
  </si>
  <si>
    <t xml:space="preserve"> AVENIDA DOM JOÃO VI - ALT. EST, BRT MATO ALTO - SENT. SANTA CRUZ - GUARATIBA</t>
  </si>
  <si>
    <t xml:space="preserve"> PRAÇA DA REPÚBLICA - ALT. AV. PRESIDENTE VARGAS - CENTRO</t>
  </si>
  <si>
    <t>Google Maps / HxGN / Jarvis / Tixxi - Cam - 3639</t>
  </si>
  <si>
    <t>AVENIDA PASTOR MARTIN LUTHER KING JÚNIOR - ALT. EST. ENGENHO DA RAINHA - SENT. PAVUNA - ENGENHO DA RAINHA</t>
  </si>
  <si>
    <t>Google Maps / Tixxi - Cam 7161</t>
  </si>
  <si>
    <t xml:space="preserve">Estr. do Tindiba - Alt. R. Mal. José Beviláqua - Sent. Av. Nelson Cardoso - Taquara </t>
  </si>
  <si>
    <t>Google Maps / Tixxi - Cam 4099</t>
  </si>
  <si>
    <t xml:space="preserve">Av. Ayrton Senna - Alt. Uptown - Sent. Linha Amarela - Barra da Tijuca </t>
  </si>
  <si>
    <t>Google Maps / Tixxi - Cam 7501</t>
  </si>
  <si>
    <t>Tixxi - Cam 507</t>
  </si>
  <si>
    <t xml:space="preserve">Manutenção na via </t>
  </si>
  <si>
    <t>Matheus / Ricardo / Alex</t>
  </si>
  <si>
    <t xml:space="preserve">Estr. do Pau-Ferro - Alt. Av. Geremário Dantas - Sent. Linha Amarela - Pechincha </t>
  </si>
  <si>
    <t>Google Maps - Tixxi - Cam 173</t>
  </si>
  <si>
    <t xml:space="preserve">Av. Brasil - Alt. Passarela 4 - Sent. Z. Oeste - Caju </t>
  </si>
  <si>
    <t>Google Maps - Tixxi - Cam 432</t>
  </si>
  <si>
    <t xml:space="preserve">Linha Vermelha - Alt. KM 7 - Sent. Centro - Cidade Universitária </t>
  </si>
  <si>
    <t xml:space="preserve">AC ON x UT </t>
  </si>
  <si>
    <t xml:space="preserve">Túnel Zuzu Angel - Sent. Lagoa - Rocinha </t>
  </si>
  <si>
    <t>Google Maps - Tixxi - Cam 472</t>
  </si>
  <si>
    <t xml:space="preserve">AC CM x MT </t>
  </si>
  <si>
    <t>Matheus / Ricardo / Márcio</t>
  </si>
  <si>
    <t xml:space="preserve">Av. das Américas - Alt. Est. BRT Dom Bosco - Sent. Santa Cruz - Recreio dos Bandeirantes </t>
  </si>
  <si>
    <t xml:space="preserve">Google Maps - Tixxi - Cam 894 </t>
  </si>
  <si>
    <t xml:space="preserve">Av. das Américas - Alt. Est. BRT Notre Dame - Sent. Santa Cruz - Recreio dos Bandeirantes </t>
  </si>
  <si>
    <t xml:space="preserve">Incêndio VP </t>
  </si>
  <si>
    <t xml:space="preserve">R. Doutor Satamini - Alt. R. Domício da Gama - Tijuca </t>
  </si>
  <si>
    <t>Google Maps - Tixxi - Cam 141</t>
  </si>
  <si>
    <t xml:space="preserve">Elevado Eng. Freyssinet - Alt. Saída do Túnel Rebouças - Sent. Centro - Rio Comprido </t>
  </si>
  <si>
    <t xml:space="preserve">Google Maps - Tixxi - Cam 7234 </t>
  </si>
  <si>
    <t xml:space="preserve">Av. Borges de Medeiros - Alt. R. Afrânio de Melo - Sent. Copacabana - Lagoa </t>
  </si>
  <si>
    <t>Google Maps - Tixxi - Cam 4439</t>
  </si>
  <si>
    <t xml:space="preserve">AC VP x Mureta </t>
  </si>
  <si>
    <t xml:space="preserve">Av.Brasil - Alt. Passarela 19 - Sent. Centro - Cordovil  </t>
  </si>
  <si>
    <t>Google Maps - Tixxi - Cam 146</t>
  </si>
  <si>
    <t>Ocorrência PMERJ</t>
  </si>
  <si>
    <t>Av. Brasil - Alt. Rua Paris</t>
  </si>
  <si>
    <t>Google Maps - Tixxi - Cam 1411</t>
  </si>
  <si>
    <t>AVENIDA PADRE LEONEL FRANCA</t>
  </si>
  <si>
    <t>TIXXI - 4583</t>
  </si>
  <si>
    <t>Márcio/Vinícius/Diego</t>
  </si>
  <si>
    <t>Viaduto do Gasômetro - Alt. Rodoviária - Sent. Av Brasil</t>
  </si>
  <si>
    <t>TIXXI - Cam 648</t>
  </si>
  <si>
    <t>Av das Américas - Alt. Cidae da Música -Sent. São Conrado</t>
  </si>
  <si>
    <t>Google Maps / HxGN / Jarvis / Tixxi - Cam - 99</t>
  </si>
  <si>
    <t xml:space="preserve">Daniel / Hugo / Carlos / Felipe </t>
  </si>
  <si>
    <t>AVENIDA TRINTA E UM DE MARÇO - ALT. R. FREI CANECA - SENT. LARANJEIRAS - CIDADE NOVA</t>
  </si>
  <si>
    <t>Google Maps / HxGN / Jarvis / Tixxi - Cam - 7687</t>
  </si>
  <si>
    <t>TÚNEL ANDRÉ REBOUÇAS -ALT. 2° GALERIA SENT. LAGOA - COSME VELHO</t>
  </si>
  <si>
    <t xml:space="preserve">Google Maps / HxGN / Jarvis / Tixxi </t>
  </si>
  <si>
    <t>AUTOESTRADA FERNANDO MAC DOWELL - ALT. R. GEN. OLÍMPIO MOURÃO FILHO - SENT. GÁVEA - SÃO CONRADO</t>
  </si>
  <si>
    <t>AVENIDA AYRTON SENNA - ALT. PONTE SANTOS DUMONT - SENT. LINHA AMARELA - BARRA DA TIJUCA</t>
  </si>
  <si>
    <t>Google Maps / Drone</t>
  </si>
  <si>
    <t>AVENIDA FRANCISCO BICALHO - ALT. IML - SENT. CENTRO - SANTO CRISTO</t>
  </si>
  <si>
    <t>Google Maps / HxGN / Jarvis / Tixxi - Cam - 443</t>
  </si>
  <si>
    <t>AC Envol. VP</t>
  </si>
  <si>
    <t>AVENIDA PASTOR MARTIN LUTHER KING JÚNIOR - ALT. RUA MARINS LOUREIRO - SENT. IRAJÁ - VICENTE DE CARVALHO</t>
  </si>
  <si>
    <t>Google Maps / HxGN / Jarvis / Tixxi - Cam - 358</t>
  </si>
  <si>
    <t>AC VTR x PV</t>
  </si>
  <si>
    <t>AVENIDA PROFESSOR MANOEL DE ABREU - ALT. R. RAD. WALDIR AMARAL - SENT. TIJUCA - MARACANÃ</t>
  </si>
  <si>
    <t>TRANSOLÍMPICA - ALT. AV. MARECHAL FONTENELE - SENT. RECREIO DOS BANDEIRANTES - JARDIM SULACAP</t>
  </si>
  <si>
    <t>TRANSOLÍMPICA</t>
  </si>
  <si>
    <t>Google Maps / HxGN / Jarvis / Tixxi - Cam - 3619</t>
  </si>
  <si>
    <t>AVENIDA PASTOR MARTIN LUTHER KING JÚNIOR - ALT. TV. BUQUIRA -  SENT. INHAÚMA- ENGENHO DA RAINHA</t>
  </si>
  <si>
    <t>LINHA AMARELA - ALT. SAÍDA TÚNEL DA COVANCA- SENT. FUNDÃO - ÁGUA SANTA</t>
  </si>
  <si>
    <t>Google Maps / HxGN / Jarvis / Tixxi - Cam - 58</t>
  </si>
  <si>
    <t>AVENIDA AYRTON SENNA - ALT. VIA PARQUE - SENT. LINHA AMARELA - BARRA DA TIJUCA</t>
  </si>
  <si>
    <t>Google Maps / HxGN / Jarvis / Tixxi - Cam - 448</t>
  </si>
  <si>
    <t>AVENIDA SALVADOR ALLENDE - ALT. EST. BRT RIOCENTRO - SENT. TRANSOLÍMPICA - BARRA DA TIJUCA</t>
  </si>
  <si>
    <t>Google Maps / HxGN / Jarvis / Tixxi - Cam - 7712</t>
  </si>
  <si>
    <t>AVENIDA AYRTON SENNA - ALT. AV. TEN-CEL. MUNIZ DE ARAGÃO - SENT. JACAREPAGUÁ - BARRA DA TIJUCA</t>
  </si>
  <si>
    <t>Google Maps / HxGN / Jarvis / Tixxi - Cam - 705</t>
  </si>
  <si>
    <t>TRANSOLÍMPICA - ALT. RUA CORRÊA SEÁRA  - SENT. RECREIO DOS BANDEIRANTES - REALENGO</t>
  </si>
  <si>
    <t>Google Maps / HxGN / Jarvis / Tixxi - Cam - 3178</t>
  </si>
  <si>
    <t>AVENIDA DAS AMÉRICAS - ALT. AV. SALVADOR ALLENDE  - SENT. SANTA CRUZ - BARRA DA TIJUCA</t>
  </si>
  <si>
    <t>Google Maps / HxGN / Jarvis / Tixxi - Cam - 482</t>
  </si>
  <si>
    <t>AVENIDA MINISTRO IVAN LINS - ALT. RUA DEODATO DE MORAES - SENT. RECREIO DOS BANDEIRANTES - BARRA DA TIJUCA</t>
  </si>
  <si>
    <t>PONTE PRESIDENTE COSTA E SILVA - ALT. VÃO CENTRAL   SENT. NITERÓI - CENTRO</t>
  </si>
  <si>
    <t>ECOPONTE</t>
  </si>
  <si>
    <t>PONTE PRESIDENTE COSTA E SILVA - ALT. PEDÁGIO - SENT. NITERÓI - EXTERNO</t>
  </si>
  <si>
    <t>Google Maps / HxGN / Jarvis / Tixxi - Cam - 453</t>
  </si>
  <si>
    <t>LINHA VERMELHA - ALT. KM20 - BAIXADA - SENT. BAIXADA - PAVUNA</t>
  </si>
  <si>
    <t>Google Maps / HxGN / Jarvis / Tixxi - Cam - 3141</t>
  </si>
  <si>
    <t>AVENIDA DAS AMÉRICAS - ALT. EST. BRT BOSQUE DA BARRA - SENT. SANTA CRUZ - BARRA DA TIJUCA</t>
  </si>
  <si>
    <t>Google Maps / HxGN / Jarvis / Tixxi - Cam - 484</t>
  </si>
  <si>
    <t>AVENIDA DAS AMÉRICAS - ALT. AV. ALFREDO BALTHAZAR DA SILVEIRA - SENT. SÃO CONRADO - BARRA DA TIJUCA</t>
  </si>
  <si>
    <t>AVENIDA AYRTON SENNA - ALT. CIDADE DAS ARTES - SENT. ORLA - BARRA DA TIJUCA</t>
  </si>
  <si>
    <t>TIXXII - Cam 4541</t>
  </si>
  <si>
    <t>Av Infante Dom Henrique - Alt. Rua Jardel Jercolis - Sent. Centro</t>
  </si>
  <si>
    <t>TIXXII - Cam 5217</t>
  </si>
  <si>
    <t>AC TX X VP</t>
  </si>
  <si>
    <t>Rua Araújo de Porto Alegre x Av Graça Aranha - Cruzamento</t>
  </si>
  <si>
    <t>TIXXI - Cam 510</t>
  </si>
  <si>
    <t>AC envol VP</t>
  </si>
  <si>
    <t>TransOlimpica - Alt. Av Salvador Allende - Sent. Recreio</t>
  </si>
  <si>
    <t>TIXXI - Via Rio</t>
  </si>
  <si>
    <t>TIXXI - Cam 6134</t>
  </si>
  <si>
    <t>Av Cesário de Melo x Rua Adolfo Lemos - Cruzamento</t>
  </si>
  <si>
    <t>TIXXI - CET - RIO</t>
  </si>
  <si>
    <t>TIXXI - Cam 906</t>
  </si>
  <si>
    <t>AC MT</t>
  </si>
  <si>
    <t>Av Abelardo Bueno x Av Ayrton Senna  - Sent. Orla - P. Central</t>
  </si>
  <si>
    <t>Maggessi - Leonardo - Jackson</t>
  </si>
  <si>
    <t>AVENIDA PRESIDENTE CASTELO BRANCO - ALT. EST. SÃO CRISTÓVÃO - SENT. MÉIER - MARACANÃ</t>
  </si>
  <si>
    <t>LINHA VERMELHA - ALT. KM 8,5 SENT. CENTRO - GALEÃO</t>
  </si>
  <si>
    <t>AVENIDA BRASIL - ALT. PASSARELA 11 - SENT. CENTRO - RAMOS</t>
  </si>
  <si>
    <t>AVENIDA AYRTON SENNA - ALT. ESPAÇO HALL - SENT. ORLA - JACAREPAGUÁ</t>
  </si>
  <si>
    <t>ELEVADO DO GASÔMETRO - ALT. BRT INTO – SENT. CENTRO - CAJU</t>
  </si>
  <si>
    <t>ELEVADO DO GASÔMETRO - ALT. TERMINAL GENTILEZA - SENT. AV. BRASIL - SANTO CRISTO</t>
  </si>
  <si>
    <t xml:space="preserve">Google Maps - Jarvis - Alarme HXG </t>
  </si>
  <si>
    <t>AVENIDA DAS AMÉRICAS - ALT. EST. BRT PONTAL - SENT. BARRA - RECREIO DOS BANDEIRANTES</t>
  </si>
  <si>
    <t>AVENIDA AYRTON SENNA - ALT. UPTOWN - SENT. ORLA - JACAREPAGUÁ</t>
  </si>
  <si>
    <t>LINHA VERMELHA - ALT. KM 11 - SENT. CENTRO - GALEÃO</t>
  </si>
  <si>
    <t>LINHA VERMELHA - ALT. KM 12 - SENT. BAIXADA - CORDOVIL</t>
  </si>
  <si>
    <t>LINHA AMARELA - ALT. TÚNEL DA COVANCA - SENT. FUNDÃO - FREGUESIA JACAREPAGUÁ</t>
  </si>
  <si>
    <t>Googls Maps</t>
  </si>
  <si>
    <t>VIADUTO PROCURADOR JOSÉ ALVES DE MORAIS - SENT. VILA ISABEL - SAMPAIO</t>
  </si>
  <si>
    <t>CICC/CBMERJ</t>
  </si>
  <si>
    <t>Alex - Ricardo - Diego</t>
  </si>
  <si>
    <t>VIADUTO SAINT HILAIRE - SENT. TÚNEL REBOUÇAS</t>
  </si>
  <si>
    <t>TIXXI - CAM 112</t>
  </si>
  <si>
    <t>AV. BORGES DE MEDEIROS</t>
  </si>
  <si>
    <t>TIXXI - CAM 114</t>
  </si>
  <si>
    <t>AVENIDA AYRTON SENNA - ALT. BRT VIA PARQUE</t>
  </si>
  <si>
    <t>TIXXI - CAM 58</t>
  </si>
  <si>
    <t>Daniel - Leonardo - Jackson</t>
  </si>
  <si>
    <t>AVENIDA MONSENHOR FÉLIX &amp; AVENIDA PASTOR MARTIN LUTHER KING JÚNIOR - IRAJÁ</t>
  </si>
  <si>
    <t>RUA MANUEL VITORINO - ALT. R. ASSIS CARNEIRO - ENCANTADO</t>
  </si>
  <si>
    <t>LINHA VERMELHA - ALT. KM 12 - SENT. BAIXADA - GALEÃO</t>
  </si>
  <si>
    <t>AVENIDA BRASIL - ALT. VIADUTO DE LUCAS - SENT. ZONA OESTE - PARADA DE LUCAS</t>
  </si>
  <si>
    <t>Google Maps - TIXXI - Alarme HGN</t>
  </si>
  <si>
    <t>AVENIDA BRASIL - ALT. PASSARELA 9 - SENT. CENTRO - BONSUCESSO</t>
  </si>
  <si>
    <t>RUA PAULO TAPAJÓS - ALT. N° 121 - RECREIO DOS BANDEIRANTES</t>
  </si>
  <si>
    <t>ESTRADA DE JACAREPAGUÁ - ALT. 5380 - SENT. FREGUESIA - JACAREPAGUÁ</t>
  </si>
  <si>
    <t>AVENIDA BRASIL - ALT. PASSARELA 23 - SENT. CENTRO - IRAJÁ</t>
  </si>
  <si>
    <t xml:space="preserve">Atropelamento MT </t>
  </si>
  <si>
    <t>RUA JOÃO VICENTE - ALT. Nº 1089 - BENTO RIBEIRO</t>
  </si>
  <si>
    <t>AC envolv. MT</t>
  </si>
  <si>
    <t>RUA DANTE - ALT. Nº 186 - CORDOVIL</t>
  </si>
  <si>
    <t>RUA ITABIRA - ALT. EST. TREM BRÁS DE PINA - BRÁS DE PINA</t>
  </si>
  <si>
    <t>AVENIDA PAULO DE FRONTIN - ALT. JOAQUIM PALHARES - RIO COMPRIDO</t>
  </si>
  <si>
    <t>TÚNEL SANTA BÁBARA - LARANJEIRAS</t>
  </si>
  <si>
    <t>ESTRADA ADHEMAR BEBIANO - ALT. Nº275 - ENGENHO DA RAINHA</t>
  </si>
  <si>
    <t>AVENIDA BRASIL - ALT. PASSARELA 8 - SENT. CENTRO - BONSUCESSO</t>
  </si>
  <si>
    <t>Manutenção na via (Comlurb)</t>
  </si>
  <si>
    <t>AVENIDA BRASIL - ALT. EST. BRT FAZENDA BOTAFOGO - SENT. Z. OESTE - COELHO NETO</t>
  </si>
  <si>
    <t>AVENIDA BRASIL - ALT. PASSARELA 21 - SENT. CENTRO - VIGÁRIO GERAL</t>
  </si>
  <si>
    <t>AVENIDA BRASIL - ALT. MOCIDADE - SENT. CENTRO - REALENGO</t>
  </si>
  <si>
    <t>Alarme HXG</t>
  </si>
  <si>
    <t>Atropelamento ON</t>
  </si>
  <si>
    <t>RUA SÃO JANUÁRIO - ALT. N° 220 - VASCO DA GAMA</t>
  </si>
  <si>
    <t>LINHA VERMELHA - ALT. KM 6 - SENT. BAIXADA - MARÉ</t>
  </si>
  <si>
    <t>Google Maps / HxGN / Jarvis / Tixxi - Cam - 588</t>
  </si>
  <si>
    <t xml:space="preserve">Ricardo / Matheus / Felipe </t>
  </si>
  <si>
    <t>RUA FELIPE CARDOSO - ALT. PRAÇA SANTA CRUZ - SENT. GUARATIBA - SANTA CRUZ</t>
  </si>
  <si>
    <t>Google Maps / HxGN / Jarvis / Tixxi - Cam - 7138</t>
  </si>
  <si>
    <t>AVENIDA GEREMÁRIO DANTAS - ALT. ESTR. DA COVANCA - SENT. PRAÇA SECA - TANQUE</t>
  </si>
  <si>
    <t>Google Maps / HxGN / Jarvis / Tixxi - Cam - 5309</t>
  </si>
  <si>
    <t xml:space="preserve">AC ON x VP </t>
  </si>
  <si>
    <t>AVENIDA AMARO CAVALCANTI - ALT. VIADUTO CASTRO ALVES - SENT. MADUREIRA - MÉIER</t>
  </si>
  <si>
    <t>CICC</t>
  </si>
  <si>
    <t>Google Maps / HxGN / Jarvis / Tixxi - Cam - 4584</t>
  </si>
  <si>
    <t>Google Maps / HxGN / Jarvis / Tixxi - Cam - 432</t>
  </si>
  <si>
    <t>LINHA VERMELHA - ALT. KM7 - SENT. BAIXADA - CIDADE UNIVERSITÁRIA</t>
  </si>
  <si>
    <t>Google Maps / HxGN / Jarvis / Tixxi - Cam - 104</t>
  </si>
  <si>
    <t>ELEVADO ENG. RUFINO DE A. PIZARRO - SENT. CENTRO - SÃO CRISTÓVÃO</t>
  </si>
  <si>
    <t>Google Maps / HxGN / Jarvis / Tixxi - Cam - 218</t>
  </si>
  <si>
    <t>Manuetenção na via (SMART LUZ)</t>
  </si>
  <si>
    <t>ELEVADO DO GASÔMETRO - SENT. CENTRO - CAJU</t>
  </si>
  <si>
    <t>SMART LUZ</t>
  </si>
  <si>
    <t>Google Maps / Tixxi - Cam - 4348</t>
  </si>
  <si>
    <t xml:space="preserve">AC UT x Mureta </t>
  </si>
  <si>
    <t>AVENIDA BRASIL - ALT. EST. BRT VASCO DA GAMA - SENT. CENTRO - VASCO DA GAMA</t>
  </si>
  <si>
    <t>Google Maps / HxGN / Jarvis / Tixxi - Cam - 715</t>
  </si>
  <si>
    <t>AVENIDA BRASIL - ALT. VILA MILITAR - SENT. SANTA CRUZ - DEODORO</t>
  </si>
  <si>
    <t>Google Maps / Tixxi - Cam - 234</t>
  </si>
  <si>
    <t xml:space="preserve">LINHA VERMELHA - ALT. KM 3 - SENT. CENTRO - CAJU </t>
  </si>
  <si>
    <t>Google Maps / HxGN / Jarvis / Tixxi - Cam - 4660</t>
  </si>
  <si>
    <t>AVENIDA BRASIL - ALT. EST. BRT LOBO JUNIOR - PENHA</t>
  </si>
  <si>
    <t>Daniel / Hugo / Carlos</t>
  </si>
  <si>
    <t xml:space="preserve">Av. Borges de Medeiros - Alt. Clube ADB </t>
  </si>
  <si>
    <t>Praia de Botafogo, Alt. N° 252 - Sent. Copacabana</t>
  </si>
  <si>
    <t>AC UT x BC</t>
  </si>
  <si>
    <t>Est. do Cabuçu, Alt. N° 1190</t>
  </si>
  <si>
    <t>Rua do Paraíso - Alt. N° 45 - Santa Teresa</t>
  </si>
  <si>
    <t>Google Maps / Tixxi - Cam - 432</t>
  </si>
  <si>
    <t xml:space="preserve">Vinicius / Diego / Felipe </t>
  </si>
  <si>
    <t xml:space="preserve">LINHA VERMELHA - ALT. FUNDÃO - SENT. BAIXADA </t>
  </si>
  <si>
    <t>Google Maps / HxGN / Jarvis / Tixxi - Cam - 3179</t>
  </si>
  <si>
    <t>AVENIDA SALVADOR ALLENDE - ALT. EST BRT TABEBUIAS  - SENT. ORLA - BARRA DA TIJUCA</t>
  </si>
  <si>
    <t>Google Maps / Ger. Júlio</t>
  </si>
  <si>
    <t>Av. Brasil - Alt. CIAGA - SENT. Z. OESTE</t>
  </si>
  <si>
    <t>Júlio</t>
  </si>
  <si>
    <t>LINHA VERMELHA - ALT. KM 11 - SENT. BAIXADA - GALEÃO</t>
  </si>
  <si>
    <t>Google Maps / HxGN / Jarvis / Tixxi - Cam - 4348</t>
  </si>
  <si>
    <t>AVENIDA BRASIL - ALT. BRT VASCO DA GAMA - SENT. Z.OESTE - SÃO CRISTÓVÃO</t>
  </si>
  <si>
    <t>Google Maps / HxGN / Jarvis / Tixxi - Cam - 783</t>
  </si>
  <si>
    <t>PRAÇA DINAH SILVEIRA DE QUEIRÓS - SANTO CRISTO</t>
  </si>
  <si>
    <t>Google Maps / HxGN / Jarvis / Tixxi - Cam - 3352</t>
  </si>
  <si>
    <t>AVENIDA DAS NAÇÕES UNIDAS - ALT. R. PROF. ALFREDO GOMES  - SENT. COPACABANA - BOTAFOGO</t>
  </si>
  <si>
    <t>Google Maps / HxGN / Jarvis / Tixxi - Cam - 44</t>
  </si>
  <si>
    <t>RUA JARDIM BOTÂNICO - ALT. RUA PACHECO LEÃO  - SENT. CENTRO - JARDIM BOTÂNICO</t>
  </si>
  <si>
    <t>Google Maps / HxGN / Jarvis / Tixxi - Cam - 6245</t>
  </si>
  <si>
    <t>RUA VISCONDE DE PIRAJÁ - ALT. R. MARIA QUITÉRIA - IPANEMA</t>
  </si>
  <si>
    <t>Google Maps / HxGN / Jarvis / Tixxi - Cam - 4317</t>
  </si>
  <si>
    <t>AC ON x VP</t>
  </si>
  <si>
    <t>AVENIDA BRASIL - ALT. TERMINAL GENTILEZA - SENT. CENTRO - SÃO CRISTÓVÃO</t>
  </si>
  <si>
    <t>Google Maps / HxGN / Jarvis / Tixxi - Cam - 895</t>
  </si>
  <si>
    <t>AVENIDA DAS AMÉRICAS - ALT. SAÍDA TÚNEL VICE-PRESIDENTE JOSÉ DE ALENCAR - SENT. BARRA DA TIJUCA - RECREIO DOS BANDEIRANTES</t>
  </si>
  <si>
    <t>DRONE</t>
  </si>
  <si>
    <t>Vinicius / Diego / Alex</t>
  </si>
  <si>
    <t>Rua General Herculano Gomes</t>
  </si>
  <si>
    <t>Tixxi CAM 4431</t>
  </si>
  <si>
    <t>Av. Brasil - Alt. BRT VIgário Geral - Sent. Centro</t>
  </si>
  <si>
    <t>Tixxi CAM 329</t>
  </si>
  <si>
    <t>VP x TX</t>
  </si>
  <si>
    <t>ALt. Golfe CLube</t>
  </si>
  <si>
    <t>Google Maps - HxGN</t>
  </si>
  <si>
    <t>Magessi / Leonardo / Jackson</t>
  </si>
  <si>
    <t>AVENIDA DAS AMÉRICAS - ALT. TÚNEL DA GROTA FUNDA - SENT BARRA - RECREIO DOS BANDEIRANTES</t>
  </si>
  <si>
    <t>AVENIDA BRASIL - BRT LOBO JUNIOR - SENT. CENTRO - OLARIA</t>
  </si>
  <si>
    <t>LINHA AMARELA - ALT. SAÍDA 4 - SENT. BARRA - INHAÚMA</t>
  </si>
  <si>
    <t>AVENIDA MARACANÃ - ALT. R. SÃO FRANCISCO XAVIER - MARACANÃ</t>
  </si>
  <si>
    <t>AVENIDA MARECHAL FONTENELE - ALT. ESTR. JAPORÉ - SENT. SULACAP - VILA VALQUEIRE</t>
  </si>
  <si>
    <t>QUEDA MT</t>
  </si>
  <si>
    <t>AVENIDA RODRIGUES ALVES - ALT. RODOVIARIA - SENT CENTRO - SANTO CRISTO</t>
  </si>
  <si>
    <t>PRAIA DE BOTAFOGO - ALT. R. VISC. DE OURO PRETO - SENT. CENTRO - BOTAFOGO</t>
  </si>
  <si>
    <t>AVENIDA BRASIL - ALT. PASSARELA 2 - SENT. Z. OESTE - VASCO DA GAMA</t>
  </si>
  <si>
    <t>AVENIDA AYRTON SENNA - ALT. VILA DO PAN - SENT. LINHA AMARELA - JACAREPAGUÁ</t>
  </si>
  <si>
    <t>AVENIDA BRASIL - ALT. DA  PASSARELA 23   - SENT. CENTRO. - IRAJÁ</t>
  </si>
  <si>
    <t>Google Maps - Tixxi - Cam 4689</t>
  </si>
  <si>
    <t xml:space="preserve">Matheus / Alex / Ricardo </t>
  </si>
  <si>
    <t xml:space="preserve">Av. Salvador Allende - Alt. R.Abrahão Jabour - Sent. Recreio dos Bandeirantes - Barra da Tijuca </t>
  </si>
  <si>
    <t>Google Maps - Tixxi - Cam 4407</t>
  </si>
  <si>
    <t xml:space="preserve">Av. Brasil - Alt. Est. BRT Mercado São Sebastião - Sent. Z. Oeste - Brás de Pina </t>
  </si>
  <si>
    <t>Google Maps - Tixxi - Cam 1498</t>
  </si>
  <si>
    <t xml:space="preserve">R. Visconde de Santa Isabel - Alt. R. Alexandre Calaza - Sent. Engenho Novo - Vila Isabel </t>
  </si>
  <si>
    <t>Google Maps - Tixxi - Cam 421</t>
  </si>
  <si>
    <t>Google Maps - Tixxi - Cam 4413</t>
  </si>
  <si>
    <t xml:space="preserve">Enguiço UT </t>
  </si>
  <si>
    <t xml:space="preserve">Av. Brasil - Alt; Est. BRT Rubens Vaz -  Sent. Centro - Ramos </t>
  </si>
  <si>
    <t xml:space="preserve">Enguiço CR </t>
  </si>
  <si>
    <t xml:space="preserve">Mtaheus /Alex / Ricardo </t>
  </si>
  <si>
    <t xml:space="preserve">Av. Brasil - Alt. Viaduto de Deodoro - Sent. Centro - Deodoro </t>
  </si>
  <si>
    <t>Daniel / Leonardo / Jackson</t>
  </si>
  <si>
    <t>LINHA VERMELHA - ALT. KM 14 - SENT. CENTRO - CORDOVIL</t>
  </si>
  <si>
    <t>Incendio VP</t>
  </si>
  <si>
    <t>AV. REI PELÉ - ALT. AV. PROF. MANOEL DE ABREU - SENT. PRAÇA DA BANDEIRA -MARACANÃ</t>
  </si>
  <si>
    <t>AVENIDA BRASIL - ALT. PASSARELA 28 - SENT. CENTRO - COELHO NETO</t>
  </si>
  <si>
    <t>AC TX x MT</t>
  </si>
  <si>
    <t>AVENIDA MARECHAL RONDON - ALT. R. MARECHAL BITTENCOURT - RIACHUELO</t>
  </si>
  <si>
    <t>Semáforo Apagado</t>
  </si>
  <si>
    <t>VIADUTO DOS FUZILEIROS - SENT. CENTRO - CIDADE NOVA</t>
  </si>
  <si>
    <t>AVENIDA BRASIL - ALT. PASSARELA 21 - SENT. Z. OESTE - VIGÁRIO GERAL</t>
  </si>
  <si>
    <t>AVENIDA SALVADOR ALLENDE - ALT. BRT CATEDRAL DO RECREIO - SENT. TRANSOLÍMPICA - BARRA DA TIJUCA</t>
  </si>
  <si>
    <t>Google Maps - Alarme HXG - Jarvis - Tixxi</t>
  </si>
  <si>
    <t>AVENIDA FRANCISCO BICALHO - ALT. UNIDOS DA TIJUCA - SENT. AV. BRASIL - SANTO CRISTO</t>
  </si>
  <si>
    <t>AVENIDA BRASIL - ALT. BRT LOBO JÚNIOR - SENT. CENTRO - PENHA</t>
  </si>
  <si>
    <t>RUA JARDIM BOTÂNICO - ALT. Nº767 -  SENT. HUMAITÁ - JARDIM BOTÂNICO</t>
  </si>
  <si>
    <t>Obra na via (Rio+)</t>
  </si>
  <si>
    <t>AVENIDA ALBERICO DINIZ - RUA PACIFÍCO PEREIRA - SENT. VILA VALQUEIRE - JARDIM SULACAP</t>
  </si>
  <si>
    <t>RIO+</t>
  </si>
  <si>
    <t>Google Maps / HxGN / Jarvis / Tixxi - Cam - 135</t>
  </si>
  <si>
    <t>AVENIDA AYRTON SENNA - ALT. GIRO DO CEBOLINHA - SENT. SENT. JACAREPAGUÁ - GARDÊNIA AZUL</t>
  </si>
  <si>
    <t>AVENIDA BRASIL - ALT. TRANSOLÍMPICA – SENT. SANTA CRUZ - DEODORO</t>
  </si>
  <si>
    <t>Google Maps / HxGN / Jarvis / Tixxi - Cam - 4522</t>
  </si>
  <si>
    <t>LINHA VERMELHA - ALT. KM 6 - BAIXADA - MARÉ</t>
  </si>
  <si>
    <t>LINHA VERMELHA - ALT. KM 8 -SENT, BAIXADA - GALEÃO</t>
  </si>
  <si>
    <t>Google Maps / HxGN / Jarvis / Tixxi - Cam - 3212</t>
  </si>
  <si>
    <t>Operção Policial</t>
  </si>
  <si>
    <t>Google Maps / HxGN / Jarvis / Tixxi - Cam - 4479</t>
  </si>
  <si>
    <t>Google Maps - Tixxi - Cam 684</t>
  </si>
  <si>
    <t>Ricardo / Matheus / Felipe</t>
  </si>
  <si>
    <t xml:space="preserve">Túnel Antônio Rebouças - Alt. 2ª Galeria - Sent. Lagoa - Rio Comprido </t>
  </si>
  <si>
    <t xml:space="preserve">Vinícius / Diego / Felipe </t>
  </si>
  <si>
    <t>AVENIDA DOM JOÃO VI - ALT. BRT ILHA DE GUARATIBA - SENT. SANTA CRUZ - GUARATIBA</t>
  </si>
  <si>
    <t>LINHA VERMELHA - ALT. KM 8 - SENT. BAIXADA - CIDADE UNIVERSITÁRIA</t>
  </si>
  <si>
    <t>Google Maps / HxGN / Jarvis / Tixxi - Cam - 7740</t>
  </si>
  <si>
    <t>AVENIDA AYRTON SENNA - ALT. ESPAÇO HALL - SENT. ORLA - BARRA DA TIJUCA</t>
  </si>
  <si>
    <t>Google Maps / HxGN / Tixxi - Cam - 5697</t>
  </si>
  <si>
    <t>RUA DAS LARANJEIRAS - ALT. RUA ALICE</t>
  </si>
  <si>
    <t>Google Maps / CCO ECOPONTE</t>
  </si>
  <si>
    <t>OBRA NA VIA (ECOVIAS PONTE)</t>
  </si>
  <si>
    <t>PONTE RIO - NITEROI</t>
  </si>
  <si>
    <t>MAPS Google</t>
  </si>
  <si>
    <t>TIXXI - Cam 4246</t>
  </si>
  <si>
    <t>Rua Amaro Cavalcante Alt. Viaduto de Todos os Santos - Sent. Engenho de Dentro</t>
  </si>
  <si>
    <t>TIXXI - Cam 81</t>
  </si>
  <si>
    <t>Rua 24 de Maio Alt. Rua Barão do Bom Retiro - Sent. Meier</t>
  </si>
  <si>
    <t>TIXXI - Cam 7042</t>
  </si>
  <si>
    <t>AC MT x Árvore</t>
  </si>
  <si>
    <t>Rua Artur Rios - Alt. N° 334 - Sent. Santíssimo</t>
  </si>
  <si>
    <t>Google Maps / HxGN / Jarvis / Tixxi - Cam - 173</t>
  </si>
  <si>
    <t>AVENIDA BRASIL - ALT. PASSARELA 04 - SENT. CENTRO - BENFICA</t>
  </si>
  <si>
    <t>TIXXI - Cam 2453</t>
  </si>
  <si>
    <t>Obra na calha BRT</t>
  </si>
  <si>
    <t>Transolímpica - Alt. Estação BRT Ventura - Sent. Av Brasil</t>
  </si>
  <si>
    <t>TIXXI - ViaRio</t>
  </si>
  <si>
    <t>TIXXI - Cam 302</t>
  </si>
  <si>
    <t>Rua Marques de Olinda - Alt. Praio de Botafogo</t>
  </si>
  <si>
    <t>TIXXI - Cam 018</t>
  </si>
  <si>
    <t>Evento Cultural (Junina na Lagoa)</t>
  </si>
  <si>
    <t>Av. Borges de Medeiros - Parque dos Patins</t>
  </si>
  <si>
    <t>TIXXI - Cam 6904</t>
  </si>
  <si>
    <t>Avenida Paulo de Frontin x Rua João Paulo - Cruzamento</t>
  </si>
  <si>
    <t>TÚNEL ANDRÉ REBOUÇAS - 1ª GALERIA - SENT. CENTRO - COSME VELHO</t>
  </si>
  <si>
    <t>RUA BARÃO DE SÃO FRANCISCO - ALT. R. TORRES HOMEM - VILA ISABEL</t>
  </si>
  <si>
    <t>AVENIDA BRASIL - VTO. BARROS FILHO - SENT. Z OESTE - BARROS FILHO</t>
  </si>
  <si>
    <t>RUA SANTA CLARA - ALT. R. TONELERO - COPACABANA</t>
  </si>
  <si>
    <t>Obra na via (Águas do Rio)</t>
  </si>
  <si>
    <t>AVENIDA NILO PEÇANHA - ALT. R. DEBRET - CENTRO</t>
  </si>
  <si>
    <t>AC envolv. VP</t>
  </si>
  <si>
    <t>RUA CÂNDIDO BENÍCIO - ALT. R. DOUTOR BERNARDINO - SENT. TAQUARA - PRAÇA SECA</t>
  </si>
  <si>
    <t>RUA SÃO CLEMENTE - ALT. R. DAS PALMEIRAS - BOTAFOGO</t>
  </si>
  <si>
    <t>Evento - UNISUAM</t>
  </si>
  <si>
    <t>AVENIDA PARIS - FACULDADE UNISUAM - BONSUCESSO</t>
  </si>
  <si>
    <t>GMSUBTRAN</t>
  </si>
  <si>
    <t>AVENIDA PRESIDENTE VARGAS - ALT. Nº2560 - SENT. PRAÇA DA BANDEIRA - CENTRO</t>
  </si>
  <si>
    <t>AVENIDA BRÁZ DE PINA - ALT. EST. BRT GUAPORÉ - SENT. MADUREIRA - PENHA CIRCULAR</t>
  </si>
  <si>
    <t>AVENIDA PASTOR MARTIN LUTHER KING JÚNIOR - ALT. METRO DEL CASTILHO - SENT. INHAÚMA - DEL CASTILHO</t>
  </si>
  <si>
    <t>LINHA VERMELHA - ALT. KM7 - SENT. BAIXADA - GALEÃO</t>
  </si>
  <si>
    <t>AVENIDA DOM HELDER CÂMARA - ALT. R. FERREIRA LEITE - SENT. CASCADURA - ABOLIÇÃO</t>
  </si>
  <si>
    <t>AVENIDA REI PELÉ - ALT. VTO. ODULVADO COZZI - SENT. MÉIER - MARACANÃ</t>
  </si>
  <si>
    <t>LINHA VERMELHA - ALT. KM 2 - SENT. CENTRO - CAJU</t>
  </si>
  <si>
    <t>Drone - Tixxi</t>
  </si>
  <si>
    <t>SÃO FRANCISCO XAVIER - ALT. UERJ - SENT. CENTRO - SÃO FRANCISCO XAVIER</t>
  </si>
  <si>
    <t>TUNEL ANTÔNIO REBOUÇAS - ALT. PRIMEIRA GALERIA - SENT. LAGOA - RIO COMPRIDO</t>
  </si>
  <si>
    <t>Atropelamento envolv. ON</t>
  </si>
  <si>
    <t>AVENIDA PROFESSOR MANOEL DE ABREU - ALT. AV. REI PELÉ - SENT. TIJUCA - MARACANÃ</t>
  </si>
  <si>
    <t>AC envolv. ON</t>
  </si>
  <si>
    <t>TRANSOLÍMPICA - ALT. ESTR. DO RIO GRANDE - SENT. DEODORO - TAQUARA</t>
  </si>
  <si>
    <t>VIARIO</t>
  </si>
  <si>
    <t>Alex / Ricardo / Diego</t>
  </si>
  <si>
    <t>Rua Mário Ribeiro cruzamento com Av. Borges de Medeiros</t>
  </si>
  <si>
    <t>AVENIDA BORGES DE MEDEIROS</t>
  </si>
  <si>
    <t>TIXXI - Cam 3636</t>
  </si>
  <si>
    <t>Av. Pastor Marques Lutherking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</si>
</sst>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"/>
  </numFmts>
  <fonts count="12">
    <font>
      <sz val="11"/>
      <color theme="1"/>
      <name val="Calibri"/>
      <scheme val="minor"/>
    </font>
    <font>
      <b/>
      <sz val="14"/>
      <color theme="0"/>
      <name val="Aptos Narrow"/>
    </font>
    <font>
      <sz val="11"/>
      <name val="Aptos Narrow"/>
    </font>
    <font>
      <sz val="8"/>
      <color theme="0"/>
      <name val="Aptos Narrow"/>
    </font>
    <font>
      <sz val="8"/>
      <color theme="1"/>
      <name val="Aptos Narrow"/>
    </font>
    <font>
      <sz val="8"/>
      <color theme="1"/>
      <name val="Arial"/>
    </font>
    <font>
      <sz val="8"/>
      <color rgb="FF333333"/>
      <name val="Arial"/>
    </font>
    <font>
      <sz val="8"/>
      <color theme="1"/>
      <name val="Calibri"/>
      <scheme val="minor"/>
    </font>
    <font>
      <sz val="7"/>
      <color theme="1"/>
      <name val="Arial"/>
    </font>
    <font>
      <sz val="7"/>
      <color theme="1"/>
      <name val="Aptos Narrow"/>
    </font>
    <font>
      <sz val="9"/>
      <color theme="1"/>
      <name val="Arial"/>
    </font>
    <font>
      <i/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74F6A"/>
        <bgColor rgb="FF074F6A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/>
    <xf numFmtId="0" fontId="4" fillId="0" borderId="0" xfId="0" applyFont="1"/>
    <xf numFmtId="0" fontId="4" fillId="0" borderId="11" xfId="0" applyFont="1" applyBorder="1" applyAlignment="1">
      <alignment horizontal="center"/>
    </xf>
    <xf numFmtId="16" fontId="4" fillId="0" borderId="11" xfId="0" applyNumberFormat="1" applyFont="1" applyBorder="1" applyAlignment="1">
      <alignment horizontal="center"/>
    </xf>
    <xf numFmtId="0" fontId="5" fillId="0" borderId="10" xfId="0" applyFont="1" applyBorder="1" applyAlignment="1"/>
    <xf numFmtId="0" fontId="5" fillId="0" borderId="11" xfId="0" applyFont="1" applyBorder="1"/>
    <xf numFmtId="0" fontId="4" fillId="0" borderId="11" xfId="0" applyFont="1" applyBorder="1" applyAlignment="1"/>
    <xf numFmtId="0" fontId="5" fillId="0" borderId="0" xfId="0" applyFont="1" applyAlignment="1"/>
    <xf numFmtId="0" fontId="6" fillId="4" borderId="0" xfId="0" applyFont="1" applyFill="1" applyAlignment="1"/>
    <xf numFmtId="0" fontId="7" fillId="0" borderId="0" xfId="0" applyFont="1" applyAlignment="1"/>
    <xf numFmtId="0" fontId="8" fillId="0" borderId="11" xfId="0" applyFont="1" applyBorder="1" applyAlignment="1"/>
    <xf numFmtId="0" fontId="9" fillId="0" borderId="11" xfId="0" applyFont="1" applyBorder="1" applyAlignment="1"/>
    <xf numFmtId="164" fontId="5" fillId="0" borderId="11" xfId="0" applyNumberFormat="1" applyFont="1" applyBorder="1" applyAlignment="1">
      <alignment horizontal="center"/>
    </xf>
    <xf numFmtId="0" fontId="10" fillId="0" borderId="11" xfId="0" applyFont="1" applyBorder="1" applyAlignment="1"/>
    <xf numFmtId="0" fontId="4" fillId="0" borderId="11" xfId="0" applyFont="1" applyBorder="1"/>
    <xf numFmtId="0" fontId="11" fillId="0" borderId="11" xfId="0" applyFont="1" applyBorder="1" applyAlignment="1"/>
    <xf numFmtId="0" fontId="5" fillId="0" borderId="10" xfId="0" applyFont="1" applyBorder="1"/>
    <xf numFmtId="0" fontId="6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99"/>
  <sheetViews>
    <sheetView tabSelected="1" topLeftCell="A415" workbookViewId="0">
      <selection activeCell="C461" sqref="C461:H483"/>
    </sheetView>
  </sheetViews>
  <sheetFormatPr defaultColWidth="14" defaultRowHeight="15" customHeight="1"/>
  <cols>
    <col min="1" max="3" width="11.88671875" style="1" customWidth="1"/>
    <col min="4" max="4" width="43" style="1" customWidth="1"/>
    <col min="5" max="5" width="20.44140625" style="1" customWidth="1"/>
    <col min="6" max="6" width="33" style="1" customWidth="1"/>
    <col min="7" max="7" width="78.5546875" style="1" customWidth="1"/>
    <col min="8" max="8" width="23" style="1" customWidth="1"/>
    <col min="9" max="18" width="11.88671875" style="1" customWidth="1"/>
    <col min="19" max="26" width="9.5546875" style="1" customWidth="1"/>
    <col min="27" max="16384" width="14" style="1"/>
  </cols>
  <sheetData>
    <row r="1" spans="2:23" ht="9.75" customHeight="1"/>
    <row r="2" spans="2:23" ht="9.75" customHeight="1"/>
    <row r="3" spans="2:23" ht="9.75" customHeight="1" thickBot="1"/>
    <row r="4" spans="2:23" ht="9.75" customHeight="1">
      <c r="B4" s="2" t="s">
        <v>0</v>
      </c>
      <c r="C4" s="3"/>
      <c r="D4" s="3"/>
      <c r="E4" s="3"/>
      <c r="F4" s="3"/>
      <c r="G4" s="3"/>
      <c r="H4" s="4"/>
    </row>
    <row r="5" spans="2:23" ht="9.75" customHeight="1">
      <c r="B5" s="5"/>
      <c r="C5" s="6"/>
      <c r="D5" s="6"/>
      <c r="E5" s="6"/>
      <c r="F5" s="6"/>
      <c r="G5" s="6"/>
      <c r="H5" s="7"/>
    </row>
    <row r="6" spans="2:23" ht="9.75" customHeight="1" thickBot="1">
      <c r="B6" s="8"/>
      <c r="C6" s="9"/>
      <c r="D6" s="9"/>
      <c r="E6" s="9"/>
      <c r="F6" s="9"/>
      <c r="G6" s="9"/>
      <c r="H6" s="10"/>
    </row>
    <row r="7" spans="2:23" ht="9.75" customHeight="1" thickBot="1"/>
    <row r="8" spans="2:23" ht="9.75" customHeight="1" thickBot="1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</row>
    <row r="9" spans="2:23" ht="9.75" customHeight="1">
      <c r="B9" s="12">
        <v>1</v>
      </c>
      <c r="C9" s="13">
        <v>46143</v>
      </c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2:23" ht="9.75" customHeight="1">
      <c r="B10" s="16">
        <f t="shared" ref="B10:B73" si="0">B9+1</f>
        <v>2</v>
      </c>
      <c r="C10" s="17">
        <f t="shared" ref="C10" si="1">C9</f>
        <v>46143</v>
      </c>
      <c r="D10" s="14" t="s">
        <v>13</v>
      </c>
      <c r="E10" s="14"/>
      <c r="F10" s="14" t="s">
        <v>10</v>
      </c>
      <c r="G10" s="14" t="s">
        <v>14</v>
      </c>
      <c r="H10" s="14" t="s">
        <v>15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2:23" ht="9.75" customHeight="1">
      <c r="B11" s="16">
        <f t="shared" si="0"/>
        <v>3</v>
      </c>
      <c r="C11" s="13">
        <v>46144</v>
      </c>
      <c r="D11" s="18" t="s">
        <v>16</v>
      </c>
      <c r="E11" s="18" t="s">
        <v>17</v>
      </c>
      <c r="F11" s="18" t="s">
        <v>18</v>
      </c>
      <c r="G11" s="18" t="s">
        <v>19</v>
      </c>
      <c r="H11" s="18" t="s">
        <v>20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2:23" ht="9.75" customHeight="1">
      <c r="B12" s="16">
        <f t="shared" si="0"/>
        <v>4</v>
      </c>
      <c r="C12" s="17">
        <f t="shared" ref="C12:C18" si="2">C11</f>
        <v>46144</v>
      </c>
      <c r="D12" s="14" t="s">
        <v>21</v>
      </c>
      <c r="E12" s="14" t="s">
        <v>22</v>
      </c>
      <c r="F12" s="18" t="s">
        <v>18</v>
      </c>
      <c r="G12" s="14" t="s">
        <v>23</v>
      </c>
      <c r="H12" s="14" t="s">
        <v>20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2:23" ht="9.75" customHeight="1">
      <c r="B13" s="16">
        <f t="shared" si="0"/>
        <v>5</v>
      </c>
      <c r="C13" s="17">
        <f t="shared" si="2"/>
        <v>46144</v>
      </c>
      <c r="D13" s="14" t="s">
        <v>21</v>
      </c>
      <c r="E13" s="14" t="s">
        <v>24</v>
      </c>
      <c r="F13" s="18" t="s">
        <v>18</v>
      </c>
      <c r="G13" s="14" t="s">
        <v>25</v>
      </c>
      <c r="H13" s="14" t="s">
        <v>20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2:23" ht="9.75" customHeight="1">
      <c r="B14" s="16">
        <f t="shared" si="0"/>
        <v>6</v>
      </c>
      <c r="C14" s="17">
        <f t="shared" si="2"/>
        <v>46144</v>
      </c>
      <c r="D14" s="14" t="s">
        <v>26</v>
      </c>
      <c r="E14" s="14" t="s">
        <v>27</v>
      </c>
      <c r="F14" s="18" t="s">
        <v>18</v>
      </c>
      <c r="G14" s="14" t="s">
        <v>28</v>
      </c>
      <c r="H14" s="14" t="s">
        <v>29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2:23" ht="9.75" customHeight="1">
      <c r="B15" s="16">
        <f t="shared" si="0"/>
        <v>7</v>
      </c>
      <c r="C15" s="17">
        <f t="shared" si="2"/>
        <v>46144</v>
      </c>
      <c r="D15" s="14" t="s">
        <v>21</v>
      </c>
      <c r="E15" s="14" t="s">
        <v>30</v>
      </c>
      <c r="F15" s="18" t="s">
        <v>31</v>
      </c>
      <c r="G15" s="14" t="s">
        <v>32</v>
      </c>
      <c r="H15" s="14" t="s">
        <v>20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2:23" ht="9.75" customHeight="1">
      <c r="B16" s="16">
        <f t="shared" si="0"/>
        <v>8</v>
      </c>
      <c r="C16" s="17">
        <f t="shared" si="2"/>
        <v>46144</v>
      </c>
      <c r="D16" s="14" t="s">
        <v>21</v>
      </c>
      <c r="E16" s="14" t="s">
        <v>33</v>
      </c>
      <c r="F16" s="18" t="s">
        <v>31</v>
      </c>
      <c r="G16" s="14" t="s">
        <v>34</v>
      </c>
      <c r="H16" s="14" t="s">
        <v>20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2:23" ht="9.75" customHeight="1">
      <c r="B17" s="16">
        <f t="shared" si="0"/>
        <v>9</v>
      </c>
      <c r="C17" s="17">
        <f t="shared" si="2"/>
        <v>46144</v>
      </c>
      <c r="D17" s="14" t="s">
        <v>21</v>
      </c>
      <c r="E17" s="14" t="s">
        <v>33</v>
      </c>
      <c r="F17" s="14" t="s">
        <v>35</v>
      </c>
      <c r="G17" s="14" t="s">
        <v>36</v>
      </c>
      <c r="H17" s="14" t="s">
        <v>37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2:23" ht="14.4">
      <c r="B18" s="16">
        <f t="shared" si="0"/>
        <v>10</v>
      </c>
      <c r="C18" s="17">
        <f t="shared" si="2"/>
        <v>46144</v>
      </c>
      <c r="D18" s="14" t="s">
        <v>21</v>
      </c>
      <c r="E18" s="14" t="s">
        <v>30</v>
      </c>
      <c r="F18" s="14" t="s">
        <v>35</v>
      </c>
      <c r="G18" s="14" t="s">
        <v>38</v>
      </c>
      <c r="H18" s="14" t="s">
        <v>20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2:23" ht="9.75" customHeight="1">
      <c r="B19" s="16">
        <f t="shared" si="0"/>
        <v>11</v>
      </c>
      <c r="C19" s="13">
        <v>46145</v>
      </c>
      <c r="D19" s="14" t="s">
        <v>21</v>
      </c>
      <c r="E19" s="18" t="s">
        <v>22</v>
      </c>
      <c r="F19" s="14" t="s">
        <v>35</v>
      </c>
      <c r="G19" s="18" t="s">
        <v>39</v>
      </c>
      <c r="H19" s="18" t="s">
        <v>20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2:23" ht="9.75" customHeight="1">
      <c r="B20" s="16">
        <f t="shared" si="0"/>
        <v>12</v>
      </c>
      <c r="C20" s="17">
        <f t="shared" ref="C20:C29" si="3">C19</f>
        <v>46145</v>
      </c>
      <c r="D20" s="14" t="s">
        <v>40</v>
      </c>
      <c r="E20" s="14" t="s">
        <v>30</v>
      </c>
      <c r="F20" s="18" t="s">
        <v>41</v>
      </c>
      <c r="G20" s="18" t="s">
        <v>42</v>
      </c>
      <c r="H20" s="14" t="s">
        <v>43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2:23" ht="9.75" customHeight="1">
      <c r="B21" s="16">
        <f t="shared" si="0"/>
        <v>13</v>
      </c>
      <c r="C21" s="17">
        <f t="shared" si="3"/>
        <v>46145</v>
      </c>
      <c r="D21" s="14" t="s">
        <v>44</v>
      </c>
      <c r="E21" s="14" t="s">
        <v>45</v>
      </c>
      <c r="F21" s="18" t="s">
        <v>41</v>
      </c>
      <c r="G21" s="14" t="s">
        <v>46</v>
      </c>
      <c r="H21" s="14" t="s">
        <v>20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2:23" ht="9.75" customHeight="1">
      <c r="B22" s="16">
        <f t="shared" si="0"/>
        <v>14</v>
      </c>
      <c r="C22" s="17">
        <f t="shared" si="3"/>
        <v>46145</v>
      </c>
      <c r="D22" s="14" t="s">
        <v>47</v>
      </c>
      <c r="E22" s="14" t="s">
        <v>9</v>
      </c>
      <c r="F22" s="18" t="s">
        <v>41</v>
      </c>
      <c r="G22" s="14" t="s">
        <v>48</v>
      </c>
      <c r="H22" s="14" t="s">
        <v>43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2:23" ht="9.75" customHeight="1">
      <c r="B23" s="16">
        <f t="shared" si="0"/>
        <v>15</v>
      </c>
      <c r="C23" s="17">
        <f t="shared" si="3"/>
        <v>46145</v>
      </c>
      <c r="D23" s="14" t="s">
        <v>44</v>
      </c>
      <c r="E23" s="14" t="s">
        <v>22</v>
      </c>
      <c r="F23" s="18" t="s">
        <v>41</v>
      </c>
      <c r="G23" s="14" t="s">
        <v>49</v>
      </c>
      <c r="H23" s="14" t="s">
        <v>20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2:23" ht="9.75" customHeight="1">
      <c r="B24" s="16">
        <f t="shared" si="0"/>
        <v>16</v>
      </c>
      <c r="C24" s="17">
        <f t="shared" si="3"/>
        <v>46145</v>
      </c>
      <c r="D24" s="14" t="s">
        <v>50</v>
      </c>
      <c r="E24" s="14" t="s">
        <v>51</v>
      </c>
      <c r="F24" s="18" t="s">
        <v>41</v>
      </c>
      <c r="G24" s="14" t="s">
        <v>52</v>
      </c>
      <c r="H24" s="14" t="s">
        <v>20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2:23" ht="9.75" customHeight="1">
      <c r="B25" s="16">
        <f t="shared" si="0"/>
        <v>17</v>
      </c>
      <c r="C25" s="17">
        <f t="shared" si="3"/>
        <v>46145</v>
      </c>
      <c r="D25" s="14" t="s">
        <v>44</v>
      </c>
      <c r="E25" s="14" t="s">
        <v>22</v>
      </c>
      <c r="F25" s="18" t="s">
        <v>41</v>
      </c>
      <c r="G25" s="14" t="s">
        <v>53</v>
      </c>
      <c r="H25" s="14" t="s">
        <v>54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2:23" ht="9.75" customHeight="1">
      <c r="B26" s="16">
        <f t="shared" si="0"/>
        <v>18</v>
      </c>
      <c r="C26" s="17">
        <f t="shared" si="3"/>
        <v>46145</v>
      </c>
      <c r="D26" s="14" t="s">
        <v>50</v>
      </c>
      <c r="E26" s="14" t="s">
        <v>55</v>
      </c>
      <c r="F26" s="18" t="s">
        <v>41</v>
      </c>
      <c r="G26" s="14" t="s">
        <v>56</v>
      </c>
      <c r="H26" s="14" t="s">
        <v>20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2:23" ht="9.75" customHeight="1">
      <c r="B27" s="16">
        <f t="shared" si="0"/>
        <v>19</v>
      </c>
      <c r="C27" s="17">
        <f t="shared" si="3"/>
        <v>46145</v>
      </c>
      <c r="D27" s="14" t="s">
        <v>50</v>
      </c>
      <c r="E27" s="14" t="s">
        <v>57</v>
      </c>
      <c r="F27" s="18" t="s">
        <v>41</v>
      </c>
      <c r="G27" s="14" t="s">
        <v>58</v>
      </c>
      <c r="H27" s="14" t="s">
        <v>20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2:23" ht="9.75" customHeight="1">
      <c r="B28" s="16">
        <f t="shared" si="0"/>
        <v>20</v>
      </c>
      <c r="C28" s="17">
        <f t="shared" si="3"/>
        <v>46145</v>
      </c>
      <c r="D28" s="14" t="s">
        <v>50</v>
      </c>
      <c r="E28" s="14" t="s">
        <v>59</v>
      </c>
      <c r="F28" s="18" t="s">
        <v>41</v>
      </c>
      <c r="G28" s="14" t="s">
        <v>60</v>
      </c>
      <c r="H28" s="14" t="s">
        <v>43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2:23" ht="9.75" customHeight="1">
      <c r="B29" s="16">
        <f t="shared" si="0"/>
        <v>21</v>
      </c>
      <c r="C29" s="17">
        <f t="shared" si="3"/>
        <v>46145</v>
      </c>
      <c r="D29" s="14" t="s">
        <v>61</v>
      </c>
      <c r="E29" s="14" t="s">
        <v>22</v>
      </c>
      <c r="F29" s="18" t="s">
        <v>62</v>
      </c>
      <c r="G29" s="14" t="s">
        <v>63</v>
      </c>
      <c r="H29" s="14" t="s">
        <v>64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2:23" ht="9.75" customHeight="1">
      <c r="B30" s="16">
        <f t="shared" si="0"/>
        <v>22</v>
      </c>
      <c r="C30" s="13">
        <v>46146</v>
      </c>
      <c r="D30" s="18" t="s">
        <v>65</v>
      </c>
      <c r="E30" s="14" t="s">
        <v>66</v>
      </c>
      <c r="F30" s="14" t="s">
        <v>62</v>
      </c>
      <c r="G30" s="14" t="s">
        <v>67</v>
      </c>
      <c r="H30" s="14" t="s">
        <v>20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2:23" ht="9.75" customHeight="1">
      <c r="B31" s="16">
        <f t="shared" si="0"/>
        <v>23</v>
      </c>
      <c r="C31" s="17">
        <f t="shared" ref="C31:C61" si="4">C30</f>
        <v>46146</v>
      </c>
      <c r="D31" s="14" t="s">
        <v>26</v>
      </c>
      <c r="E31" s="14" t="s">
        <v>68</v>
      </c>
      <c r="F31" s="14" t="s">
        <v>69</v>
      </c>
      <c r="G31" s="14" t="s">
        <v>70</v>
      </c>
      <c r="H31" s="14" t="s">
        <v>43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2:23" ht="9.75" customHeight="1">
      <c r="B32" s="16">
        <f t="shared" si="0"/>
        <v>24</v>
      </c>
      <c r="C32" s="17">
        <f t="shared" si="4"/>
        <v>46146</v>
      </c>
      <c r="D32" s="14" t="s">
        <v>26</v>
      </c>
      <c r="E32" s="14" t="s">
        <v>68</v>
      </c>
      <c r="F32" s="14" t="s">
        <v>69</v>
      </c>
      <c r="G32" s="14" t="s">
        <v>71</v>
      </c>
      <c r="H32" s="14" t="s">
        <v>43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2:23" ht="9.75" customHeight="1">
      <c r="B33" s="16">
        <f t="shared" si="0"/>
        <v>25</v>
      </c>
      <c r="C33" s="17">
        <f t="shared" si="4"/>
        <v>46146</v>
      </c>
      <c r="D33" s="14" t="s">
        <v>44</v>
      </c>
      <c r="E33" s="14" t="s">
        <v>72</v>
      </c>
      <c r="F33" s="14" t="s">
        <v>69</v>
      </c>
      <c r="G33" s="14" t="s">
        <v>73</v>
      </c>
      <c r="H33" s="14" t="s">
        <v>20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2:23" ht="9.75" customHeight="1">
      <c r="B34" s="16">
        <f t="shared" si="0"/>
        <v>26</v>
      </c>
      <c r="C34" s="17">
        <f t="shared" si="4"/>
        <v>46146</v>
      </c>
      <c r="D34" s="14" t="s">
        <v>44</v>
      </c>
      <c r="E34" s="14" t="s">
        <v>74</v>
      </c>
      <c r="F34" s="14" t="s">
        <v>69</v>
      </c>
      <c r="G34" s="14" t="s">
        <v>75</v>
      </c>
      <c r="H34" s="14" t="s">
        <v>20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2:23" ht="9.75" customHeight="1">
      <c r="B35" s="16">
        <f t="shared" si="0"/>
        <v>27</v>
      </c>
      <c r="C35" s="17">
        <f t="shared" si="4"/>
        <v>46146</v>
      </c>
      <c r="D35" s="14" t="s">
        <v>44</v>
      </c>
      <c r="E35" s="14" t="s">
        <v>33</v>
      </c>
      <c r="F35" s="14" t="s">
        <v>69</v>
      </c>
      <c r="G35" s="14" t="s">
        <v>76</v>
      </c>
      <c r="H35" s="14" t="s">
        <v>54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2:23" ht="9.75" customHeight="1">
      <c r="B36" s="16">
        <f t="shared" si="0"/>
        <v>28</v>
      </c>
      <c r="C36" s="17">
        <f t="shared" si="4"/>
        <v>46146</v>
      </c>
      <c r="D36" s="14" t="s">
        <v>44</v>
      </c>
      <c r="E36" s="14" t="s">
        <v>77</v>
      </c>
      <c r="F36" s="14" t="s">
        <v>69</v>
      </c>
      <c r="G36" s="14" t="s">
        <v>78</v>
      </c>
      <c r="H36" s="14" t="s">
        <v>20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2:23" ht="9.75" customHeight="1">
      <c r="B37" s="16">
        <f t="shared" si="0"/>
        <v>29</v>
      </c>
      <c r="C37" s="17">
        <f t="shared" si="4"/>
        <v>46146</v>
      </c>
      <c r="D37" s="14" t="s">
        <v>44</v>
      </c>
      <c r="E37" s="14" t="s">
        <v>22</v>
      </c>
      <c r="F37" s="14" t="s">
        <v>69</v>
      </c>
      <c r="G37" s="14" t="s">
        <v>79</v>
      </c>
      <c r="H37" s="14" t="s">
        <v>80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2:23" ht="9.75" customHeight="1">
      <c r="B38" s="16">
        <f t="shared" si="0"/>
        <v>30</v>
      </c>
      <c r="C38" s="17">
        <f t="shared" si="4"/>
        <v>46146</v>
      </c>
      <c r="D38" s="14" t="s">
        <v>47</v>
      </c>
      <c r="E38" s="14" t="s">
        <v>72</v>
      </c>
      <c r="F38" s="14" t="s">
        <v>69</v>
      </c>
      <c r="G38" s="14" t="s">
        <v>81</v>
      </c>
      <c r="H38" s="14" t="s">
        <v>43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2:23" ht="9.75" customHeight="1">
      <c r="B39" s="16">
        <f t="shared" si="0"/>
        <v>31</v>
      </c>
      <c r="C39" s="17">
        <f t="shared" si="4"/>
        <v>46146</v>
      </c>
      <c r="D39" s="14" t="s">
        <v>44</v>
      </c>
      <c r="E39" s="14" t="s">
        <v>22</v>
      </c>
      <c r="F39" s="14" t="s">
        <v>69</v>
      </c>
      <c r="G39" s="14" t="s">
        <v>82</v>
      </c>
      <c r="H39" s="14" t="s">
        <v>20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2:23" ht="9.75" customHeight="1">
      <c r="B40" s="16">
        <f t="shared" si="0"/>
        <v>32</v>
      </c>
      <c r="C40" s="17">
        <f t="shared" si="4"/>
        <v>46146</v>
      </c>
      <c r="D40" s="14" t="s">
        <v>47</v>
      </c>
      <c r="E40" s="14" t="s">
        <v>83</v>
      </c>
      <c r="F40" s="14" t="s">
        <v>69</v>
      </c>
      <c r="G40" s="14" t="s">
        <v>84</v>
      </c>
      <c r="H40" s="14" t="s">
        <v>43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2:23" ht="9.75" customHeight="1">
      <c r="B41" s="16">
        <f t="shared" si="0"/>
        <v>33</v>
      </c>
      <c r="C41" s="17">
        <f t="shared" si="4"/>
        <v>46146</v>
      </c>
      <c r="D41" s="14" t="s">
        <v>26</v>
      </c>
      <c r="E41" s="14" t="s">
        <v>33</v>
      </c>
      <c r="F41" s="14" t="s">
        <v>69</v>
      </c>
      <c r="G41" s="14" t="s">
        <v>85</v>
      </c>
      <c r="H41" s="14" t="s">
        <v>86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2:23" ht="9.75" customHeight="1">
      <c r="B42" s="16">
        <f t="shared" si="0"/>
        <v>34</v>
      </c>
      <c r="C42" s="17">
        <f t="shared" si="4"/>
        <v>46146</v>
      </c>
      <c r="D42" s="14" t="s">
        <v>44</v>
      </c>
      <c r="E42" s="14" t="s">
        <v>87</v>
      </c>
      <c r="F42" s="14" t="s">
        <v>69</v>
      </c>
      <c r="G42" s="14" t="s">
        <v>88</v>
      </c>
      <c r="H42" s="14" t="s">
        <v>20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2:23" ht="9.75" customHeight="1">
      <c r="B43" s="16">
        <f t="shared" si="0"/>
        <v>35</v>
      </c>
      <c r="C43" s="17">
        <f t="shared" si="4"/>
        <v>46146</v>
      </c>
      <c r="D43" s="14" t="s">
        <v>47</v>
      </c>
      <c r="E43" s="14" t="s">
        <v>87</v>
      </c>
      <c r="F43" s="14" t="s">
        <v>69</v>
      </c>
      <c r="G43" s="14" t="s">
        <v>89</v>
      </c>
      <c r="H43" s="14" t="s">
        <v>43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2:23" ht="9.75" customHeight="1">
      <c r="B44" s="16">
        <f t="shared" si="0"/>
        <v>36</v>
      </c>
      <c r="C44" s="17">
        <f t="shared" si="4"/>
        <v>46146</v>
      </c>
      <c r="D44" s="14" t="s">
        <v>47</v>
      </c>
      <c r="E44" s="14" t="s">
        <v>22</v>
      </c>
      <c r="F44" s="14" t="s">
        <v>69</v>
      </c>
      <c r="G44" s="14" t="s">
        <v>90</v>
      </c>
      <c r="H44" s="14" t="s">
        <v>43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2:23" ht="9.75" customHeight="1">
      <c r="B45" s="16">
        <f t="shared" si="0"/>
        <v>37</v>
      </c>
      <c r="C45" s="17">
        <f t="shared" si="4"/>
        <v>46146</v>
      </c>
      <c r="D45" s="14" t="s">
        <v>47</v>
      </c>
      <c r="E45" s="14" t="s">
        <v>91</v>
      </c>
      <c r="F45" s="14" t="s">
        <v>69</v>
      </c>
      <c r="G45" s="14" t="s">
        <v>92</v>
      </c>
      <c r="H45" s="14" t="s">
        <v>43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2:23" ht="9.75" customHeight="1">
      <c r="B46" s="16">
        <f t="shared" si="0"/>
        <v>38</v>
      </c>
      <c r="C46" s="17">
        <f t="shared" si="4"/>
        <v>46146</v>
      </c>
      <c r="D46" s="14" t="s">
        <v>47</v>
      </c>
      <c r="E46" s="14" t="s">
        <v>87</v>
      </c>
      <c r="F46" s="14" t="s">
        <v>69</v>
      </c>
      <c r="G46" s="14" t="s">
        <v>93</v>
      </c>
      <c r="H46" s="14" t="s">
        <v>43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2:23" ht="9.75" customHeight="1">
      <c r="B47" s="16">
        <f t="shared" si="0"/>
        <v>39</v>
      </c>
      <c r="C47" s="17">
        <f t="shared" si="4"/>
        <v>46146</v>
      </c>
      <c r="D47" s="14" t="s">
        <v>47</v>
      </c>
      <c r="E47" s="14" t="s">
        <v>22</v>
      </c>
      <c r="F47" s="14" t="s">
        <v>69</v>
      </c>
      <c r="G47" s="14" t="s">
        <v>94</v>
      </c>
      <c r="H47" s="14" t="s">
        <v>43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2:23" ht="9.75" customHeight="1">
      <c r="B48" s="16">
        <f t="shared" si="0"/>
        <v>40</v>
      </c>
      <c r="C48" s="17">
        <f t="shared" si="4"/>
        <v>46146</v>
      </c>
      <c r="D48" s="14" t="s">
        <v>47</v>
      </c>
      <c r="E48" s="14" t="s">
        <v>22</v>
      </c>
      <c r="F48" s="14" t="s">
        <v>69</v>
      </c>
      <c r="G48" s="14" t="s">
        <v>95</v>
      </c>
      <c r="H48" s="14" t="s">
        <v>43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2:23" ht="9.75" customHeight="1">
      <c r="B49" s="16">
        <f t="shared" si="0"/>
        <v>41</v>
      </c>
      <c r="C49" s="17">
        <f t="shared" si="4"/>
        <v>46146</v>
      </c>
      <c r="D49" s="14" t="s">
        <v>47</v>
      </c>
      <c r="E49" s="14" t="s">
        <v>72</v>
      </c>
      <c r="F49" s="14" t="s">
        <v>69</v>
      </c>
      <c r="G49" s="14" t="s">
        <v>96</v>
      </c>
      <c r="H49" s="14" t="s">
        <v>43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2:23" ht="9.75" customHeight="1">
      <c r="B50" s="16">
        <f t="shared" si="0"/>
        <v>42</v>
      </c>
      <c r="C50" s="17">
        <f t="shared" si="4"/>
        <v>46146</v>
      </c>
      <c r="D50" s="14" t="s">
        <v>47</v>
      </c>
      <c r="E50" s="14" t="s">
        <v>97</v>
      </c>
      <c r="F50" s="14" t="s">
        <v>69</v>
      </c>
      <c r="G50" s="14" t="s">
        <v>96</v>
      </c>
      <c r="H50" s="14" t="s">
        <v>43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2:23" ht="9.75" customHeight="1">
      <c r="B51" s="16">
        <f t="shared" si="0"/>
        <v>43</v>
      </c>
      <c r="C51" s="17">
        <f t="shared" si="4"/>
        <v>46146</v>
      </c>
      <c r="D51" s="14" t="s">
        <v>47</v>
      </c>
      <c r="E51" s="14" t="s">
        <v>72</v>
      </c>
      <c r="F51" s="14" t="s">
        <v>69</v>
      </c>
      <c r="G51" s="14" t="s">
        <v>98</v>
      </c>
      <c r="H51" s="14" t="s">
        <v>20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2:23" ht="9.75" customHeight="1">
      <c r="B52" s="16">
        <f t="shared" si="0"/>
        <v>44</v>
      </c>
      <c r="C52" s="17">
        <f t="shared" si="4"/>
        <v>46146</v>
      </c>
      <c r="D52" s="14" t="s">
        <v>44</v>
      </c>
      <c r="E52" s="14" t="s">
        <v>87</v>
      </c>
      <c r="F52" s="14" t="s">
        <v>69</v>
      </c>
      <c r="G52" s="14" t="s">
        <v>88</v>
      </c>
      <c r="H52" s="14" t="s">
        <v>20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2:23" ht="9.75" customHeight="1">
      <c r="B53" s="16">
        <f t="shared" si="0"/>
        <v>45</v>
      </c>
      <c r="C53" s="17">
        <f t="shared" si="4"/>
        <v>46146</v>
      </c>
      <c r="D53" s="14" t="s">
        <v>47</v>
      </c>
      <c r="E53" s="14" t="s">
        <v>33</v>
      </c>
      <c r="F53" s="14" t="s">
        <v>69</v>
      </c>
      <c r="G53" s="14" t="s">
        <v>88</v>
      </c>
      <c r="H53" s="14" t="s">
        <v>20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2:23" ht="9.75" customHeight="1">
      <c r="B54" s="16">
        <f t="shared" si="0"/>
        <v>46</v>
      </c>
      <c r="C54" s="17">
        <f t="shared" si="4"/>
        <v>46146</v>
      </c>
      <c r="D54" s="14" t="s">
        <v>26</v>
      </c>
      <c r="E54" s="14" t="s">
        <v>33</v>
      </c>
      <c r="F54" s="14" t="s">
        <v>69</v>
      </c>
      <c r="G54" s="14" t="s">
        <v>99</v>
      </c>
      <c r="H54" s="14" t="s">
        <v>86</v>
      </c>
    </row>
    <row r="55" spans="2:23" ht="9.75" customHeight="1">
      <c r="B55" s="16">
        <f t="shared" si="0"/>
        <v>47</v>
      </c>
      <c r="C55" s="17">
        <f t="shared" si="4"/>
        <v>46146</v>
      </c>
      <c r="D55" s="14" t="s">
        <v>26</v>
      </c>
      <c r="E55" s="14" t="s">
        <v>100</v>
      </c>
      <c r="F55" s="14" t="s">
        <v>69</v>
      </c>
      <c r="G55" s="14" t="s">
        <v>101</v>
      </c>
      <c r="H55" s="14" t="s">
        <v>86</v>
      </c>
    </row>
    <row r="56" spans="2:23" ht="9.75" customHeight="1">
      <c r="B56" s="16">
        <f t="shared" si="0"/>
        <v>48</v>
      </c>
      <c r="C56" s="17">
        <f t="shared" si="4"/>
        <v>46146</v>
      </c>
      <c r="D56" s="14" t="s">
        <v>26</v>
      </c>
      <c r="E56" s="14" t="s">
        <v>33</v>
      </c>
      <c r="F56" s="14" t="s">
        <v>69</v>
      </c>
      <c r="G56" s="14" t="s">
        <v>102</v>
      </c>
      <c r="H56" s="14" t="s">
        <v>86</v>
      </c>
    </row>
    <row r="57" spans="2:23" ht="9.75" customHeight="1">
      <c r="B57" s="16">
        <f t="shared" si="0"/>
        <v>49</v>
      </c>
      <c r="C57" s="17">
        <f t="shared" si="4"/>
        <v>46146</v>
      </c>
      <c r="D57" s="14" t="s">
        <v>103</v>
      </c>
      <c r="E57" s="14" t="s">
        <v>104</v>
      </c>
      <c r="F57" s="14" t="s">
        <v>69</v>
      </c>
      <c r="G57" s="14" t="s">
        <v>105</v>
      </c>
      <c r="H57" s="14" t="s">
        <v>103</v>
      </c>
    </row>
    <row r="58" spans="2:23" ht="9.75" customHeight="1">
      <c r="B58" s="16">
        <f t="shared" si="0"/>
        <v>50</v>
      </c>
      <c r="C58" s="17">
        <f t="shared" si="4"/>
        <v>46146</v>
      </c>
      <c r="D58" s="14" t="s">
        <v>106</v>
      </c>
      <c r="E58" s="14" t="s">
        <v>87</v>
      </c>
      <c r="F58" s="14" t="s">
        <v>107</v>
      </c>
      <c r="G58" s="14" t="s">
        <v>108</v>
      </c>
      <c r="H58" s="14" t="s">
        <v>64</v>
      </c>
    </row>
    <row r="59" spans="2:23" ht="9.75" customHeight="1">
      <c r="B59" s="16">
        <f t="shared" si="0"/>
        <v>51</v>
      </c>
      <c r="C59" s="17">
        <f t="shared" si="4"/>
        <v>46146</v>
      </c>
      <c r="D59" s="14" t="s">
        <v>65</v>
      </c>
      <c r="E59" s="14" t="s">
        <v>109</v>
      </c>
      <c r="F59" s="14" t="s">
        <v>107</v>
      </c>
      <c r="G59" s="14" t="s">
        <v>110</v>
      </c>
      <c r="H59" s="14" t="s">
        <v>111</v>
      </c>
    </row>
    <row r="60" spans="2:23" ht="9.75" customHeight="1">
      <c r="B60" s="16">
        <f t="shared" si="0"/>
        <v>52</v>
      </c>
      <c r="C60" s="17">
        <f t="shared" si="4"/>
        <v>46146</v>
      </c>
      <c r="D60" s="14" t="s">
        <v>65</v>
      </c>
      <c r="E60" s="14" t="s">
        <v>112</v>
      </c>
      <c r="F60" s="14" t="s">
        <v>107</v>
      </c>
      <c r="G60" s="14" t="s">
        <v>113</v>
      </c>
      <c r="H60" s="14" t="s">
        <v>114</v>
      </c>
    </row>
    <row r="61" spans="2:23" ht="9.75" customHeight="1">
      <c r="B61" s="16">
        <f t="shared" si="0"/>
        <v>53</v>
      </c>
      <c r="C61" s="17">
        <f t="shared" si="4"/>
        <v>46146</v>
      </c>
      <c r="D61" s="14" t="s">
        <v>65</v>
      </c>
      <c r="E61" s="14" t="s">
        <v>87</v>
      </c>
      <c r="F61" s="14" t="s">
        <v>107</v>
      </c>
      <c r="G61" s="14" t="s">
        <v>115</v>
      </c>
      <c r="H61" s="14" t="s">
        <v>20</v>
      </c>
    </row>
    <row r="62" spans="2:23" ht="9.75" customHeight="1">
      <c r="B62" s="16">
        <f t="shared" si="0"/>
        <v>54</v>
      </c>
      <c r="C62" s="13">
        <v>46147</v>
      </c>
      <c r="D62" s="14" t="s">
        <v>116</v>
      </c>
      <c r="E62" s="14" t="s">
        <v>117</v>
      </c>
      <c r="F62" s="14" t="s">
        <v>118</v>
      </c>
      <c r="G62" s="14" t="s">
        <v>119</v>
      </c>
      <c r="H62" s="14" t="s">
        <v>26</v>
      </c>
    </row>
    <row r="63" spans="2:23" ht="9.75" customHeight="1">
      <c r="B63" s="16">
        <f t="shared" si="0"/>
        <v>55</v>
      </c>
      <c r="C63" s="17">
        <f t="shared" ref="C63:C65" si="5">C62</f>
        <v>46147</v>
      </c>
      <c r="D63" s="14" t="s">
        <v>120</v>
      </c>
      <c r="E63" s="14" t="s">
        <v>22</v>
      </c>
      <c r="F63" s="14" t="s">
        <v>118</v>
      </c>
      <c r="G63" s="14" t="s">
        <v>121</v>
      </c>
      <c r="H63" s="14" t="s">
        <v>122</v>
      </c>
    </row>
    <row r="64" spans="2:23" ht="9.75" customHeight="1">
      <c r="B64" s="16">
        <f t="shared" si="0"/>
        <v>56</v>
      </c>
      <c r="C64" s="17">
        <f t="shared" si="5"/>
        <v>46147</v>
      </c>
      <c r="D64" s="14" t="s">
        <v>123</v>
      </c>
      <c r="E64" s="14" t="s">
        <v>83</v>
      </c>
      <c r="F64" s="14" t="s">
        <v>118</v>
      </c>
      <c r="G64" s="14" t="s">
        <v>124</v>
      </c>
      <c r="H64" s="14" t="s">
        <v>43</v>
      </c>
    </row>
    <row r="65" spans="2:8" ht="9.75" customHeight="1">
      <c r="B65" s="16">
        <f t="shared" si="0"/>
        <v>57</v>
      </c>
      <c r="C65" s="17">
        <f t="shared" si="5"/>
        <v>46147</v>
      </c>
      <c r="D65" s="14" t="s">
        <v>125</v>
      </c>
      <c r="E65" s="14" t="s">
        <v>126</v>
      </c>
      <c r="F65" s="14" t="s">
        <v>118</v>
      </c>
      <c r="G65" s="14" t="s">
        <v>127</v>
      </c>
      <c r="H65" s="14" t="s">
        <v>43</v>
      </c>
    </row>
    <row r="66" spans="2:8" ht="9.75" customHeight="1">
      <c r="B66" s="16">
        <f t="shared" si="0"/>
        <v>58</v>
      </c>
      <c r="C66" s="13">
        <v>46148</v>
      </c>
      <c r="D66" s="18" t="s">
        <v>128</v>
      </c>
      <c r="E66" s="18" t="s">
        <v>83</v>
      </c>
      <c r="F66" s="18" t="s">
        <v>129</v>
      </c>
      <c r="G66" s="18" t="s">
        <v>130</v>
      </c>
      <c r="H66" s="18" t="s">
        <v>131</v>
      </c>
    </row>
    <row r="67" spans="2:8" ht="9.75" customHeight="1">
      <c r="B67" s="16">
        <f t="shared" si="0"/>
        <v>59</v>
      </c>
      <c r="C67" s="17">
        <f t="shared" ref="C67:C77" si="6">C66</f>
        <v>46148</v>
      </c>
      <c r="D67" s="14" t="s">
        <v>132</v>
      </c>
      <c r="E67" s="14" t="s">
        <v>133</v>
      </c>
      <c r="F67" s="18" t="s">
        <v>129</v>
      </c>
      <c r="G67" s="14" t="s">
        <v>134</v>
      </c>
      <c r="H67" s="18" t="s">
        <v>131</v>
      </c>
    </row>
    <row r="68" spans="2:8" ht="9.75" customHeight="1">
      <c r="B68" s="16">
        <f t="shared" si="0"/>
        <v>60</v>
      </c>
      <c r="C68" s="17">
        <f t="shared" si="6"/>
        <v>46148</v>
      </c>
      <c r="D68" s="14" t="s">
        <v>128</v>
      </c>
      <c r="E68" s="14" t="s">
        <v>45</v>
      </c>
      <c r="F68" s="18" t="s">
        <v>129</v>
      </c>
      <c r="G68" s="14" t="s">
        <v>135</v>
      </c>
      <c r="H68" s="14" t="s">
        <v>131</v>
      </c>
    </row>
    <row r="69" spans="2:8" ht="9.75" customHeight="1">
      <c r="B69" s="16">
        <f t="shared" si="0"/>
        <v>61</v>
      </c>
      <c r="C69" s="17">
        <f t="shared" si="6"/>
        <v>46148</v>
      </c>
      <c r="D69" s="14" t="s">
        <v>128</v>
      </c>
      <c r="E69" s="14" t="s">
        <v>45</v>
      </c>
      <c r="F69" s="18" t="s">
        <v>129</v>
      </c>
      <c r="G69" s="14" t="s">
        <v>136</v>
      </c>
      <c r="H69" s="14" t="s">
        <v>131</v>
      </c>
    </row>
    <row r="70" spans="2:8" ht="9.75" customHeight="1">
      <c r="B70" s="16">
        <f t="shared" si="0"/>
        <v>62</v>
      </c>
      <c r="C70" s="17">
        <f t="shared" si="6"/>
        <v>46148</v>
      </c>
      <c r="D70" s="14" t="s">
        <v>128</v>
      </c>
      <c r="E70" s="14" t="s">
        <v>22</v>
      </c>
      <c r="F70" s="18" t="s">
        <v>129</v>
      </c>
      <c r="G70" s="14" t="s">
        <v>137</v>
      </c>
      <c r="H70" s="14" t="s">
        <v>26</v>
      </c>
    </row>
    <row r="71" spans="2:8" ht="9.75" customHeight="1">
      <c r="B71" s="16">
        <f t="shared" si="0"/>
        <v>63</v>
      </c>
      <c r="C71" s="17">
        <f t="shared" si="6"/>
        <v>46148</v>
      </c>
      <c r="D71" s="14" t="s">
        <v>128</v>
      </c>
      <c r="E71" s="14" t="s">
        <v>138</v>
      </c>
      <c r="F71" s="18" t="s">
        <v>129</v>
      </c>
      <c r="G71" s="14" t="s">
        <v>139</v>
      </c>
      <c r="H71" s="14" t="s">
        <v>131</v>
      </c>
    </row>
    <row r="72" spans="2:8" ht="9.75" customHeight="1">
      <c r="B72" s="16">
        <f t="shared" si="0"/>
        <v>64</v>
      </c>
      <c r="C72" s="17">
        <f t="shared" si="6"/>
        <v>46148</v>
      </c>
      <c r="D72" s="14" t="s">
        <v>128</v>
      </c>
      <c r="E72" s="14" t="s">
        <v>30</v>
      </c>
      <c r="F72" s="18" t="s">
        <v>129</v>
      </c>
      <c r="G72" s="14" t="s">
        <v>139</v>
      </c>
      <c r="H72" s="14" t="s">
        <v>131</v>
      </c>
    </row>
    <row r="73" spans="2:8" ht="9.75" customHeight="1">
      <c r="B73" s="16">
        <f t="shared" si="0"/>
        <v>65</v>
      </c>
      <c r="C73" s="17">
        <f t="shared" si="6"/>
        <v>46148</v>
      </c>
      <c r="D73" s="14" t="s">
        <v>128</v>
      </c>
      <c r="E73" s="14" t="s">
        <v>140</v>
      </c>
      <c r="F73" s="18" t="s">
        <v>129</v>
      </c>
      <c r="G73" s="14" t="s">
        <v>141</v>
      </c>
      <c r="H73" s="14" t="s">
        <v>43</v>
      </c>
    </row>
    <row r="74" spans="2:8" ht="9.75" customHeight="1">
      <c r="B74" s="16">
        <f t="shared" ref="B74:B107" si="7">B73+1</f>
        <v>66</v>
      </c>
      <c r="C74" s="17">
        <f t="shared" si="6"/>
        <v>46148</v>
      </c>
      <c r="D74" s="14" t="s">
        <v>128</v>
      </c>
      <c r="E74" s="14" t="s">
        <v>142</v>
      </c>
      <c r="F74" s="18" t="s">
        <v>129</v>
      </c>
      <c r="G74" s="14" t="s">
        <v>143</v>
      </c>
      <c r="H74" s="14" t="s">
        <v>131</v>
      </c>
    </row>
    <row r="75" spans="2:8" ht="9.75" customHeight="1">
      <c r="B75" s="16">
        <f t="shared" si="7"/>
        <v>67</v>
      </c>
      <c r="C75" s="17">
        <f t="shared" si="6"/>
        <v>46148</v>
      </c>
      <c r="D75" s="14" t="s">
        <v>128</v>
      </c>
      <c r="E75" s="14" t="s">
        <v>144</v>
      </c>
      <c r="F75" s="18" t="s">
        <v>129</v>
      </c>
      <c r="G75" s="14" t="s">
        <v>145</v>
      </c>
      <c r="H75" s="14" t="s">
        <v>131</v>
      </c>
    </row>
    <row r="76" spans="2:8" ht="9.75" customHeight="1">
      <c r="B76" s="16">
        <f t="shared" si="7"/>
        <v>68</v>
      </c>
      <c r="C76" s="17">
        <f t="shared" si="6"/>
        <v>46148</v>
      </c>
      <c r="D76" s="14" t="s">
        <v>128</v>
      </c>
      <c r="E76" s="14" t="s">
        <v>138</v>
      </c>
      <c r="F76" s="18" t="s">
        <v>129</v>
      </c>
      <c r="G76" s="14" t="s">
        <v>146</v>
      </c>
      <c r="H76" s="14" t="s">
        <v>131</v>
      </c>
    </row>
    <row r="77" spans="2:8" ht="9.75" customHeight="1">
      <c r="B77" s="16">
        <f t="shared" si="7"/>
        <v>69</v>
      </c>
      <c r="C77" s="17">
        <f t="shared" si="6"/>
        <v>46148</v>
      </c>
      <c r="D77" s="19"/>
      <c r="E77" s="14" t="s">
        <v>100</v>
      </c>
      <c r="F77" s="18" t="s">
        <v>129</v>
      </c>
      <c r="G77" s="14" t="s">
        <v>147</v>
      </c>
      <c r="H77" s="14" t="s">
        <v>131</v>
      </c>
    </row>
    <row r="78" spans="2:8" ht="9.75" customHeight="1">
      <c r="B78" s="16">
        <f t="shared" si="7"/>
        <v>70</v>
      </c>
      <c r="C78" s="13">
        <v>46149</v>
      </c>
      <c r="D78" s="18" t="s">
        <v>148</v>
      </c>
      <c r="E78" s="18" t="s">
        <v>149</v>
      </c>
      <c r="F78" s="18" t="s">
        <v>150</v>
      </c>
      <c r="G78" s="18" t="s">
        <v>151</v>
      </c>
      <c r="H78" s="18" t="s">
        <v>152</v>
      </c>
    </row>
    <row r="79" spans="2:8" ht="9.75" customHeight="1">
      <c r="B79" s="16">
        <f t="shared" si="7"/>
        <v>71</v>
      </c>
      <c r="C79" s="17">
        <f t="shared" ref="C79:C97" si="8">C78</f>
        <v>46149</v>
      </c>
      <c r="D79" s="18" t="s">
        <v>153</v>
      </c>
      <c r="E79" s="14" t="s">
        <v>154</v>
      </c>
      <c r="F79" s="18" t="s">
        <v>150</v>
      </c>
      <c r="G79" s="14" t="s">
        <v>155</v>
      </c>
      <c r="H79" s="18" t="s">
        <v>20</v>
      </c>
    </row>
    <row r="80" spans="2:8" ht="9.75" customHeight="1">
      <c r="B80" s="16">
        <f t="shared" si="7"/>
        <v>72</v>
      </c>
      <c r="C80" s="17">
        <f t="shared" si="8"/>
        <v>46149</v>
      </c>
      <c r="D80" s="14" t="s">
        <v>65</v>
      </c>
      <c r="E80" s="14" t="s">
        <v>33</v>
      </c>
      <c r="F80" s="18" t="s">
        <v>150</v>
      </c>
      <c r="G80" s="14" t="s">
        <v>156</v>
      </c>
      <c r="H80" s="18" t="s">
        <v>86</v>
      </c>
    </row>
    <row r="81" spans="2:8" ht="9.75" customHeight="1">
      <c r="B81" s="16">
        <f t="shared" si="7"/>
        <v>73</v>
      </c>
      <c r="C81" s="17">
        <f t="shared" si="8"/>
        <v>46149</v>
      </c>
      <c r="D81" s="14" t="s">
        <v>157</v>
      </c>
      <c r="E81" s="14" t="s">
        <v>149</v>
      </c>
      <c r="F81" s="18" t="s">
        <v>150</v>
      </c>
      <c r="G81" s="14" t="s">
        <v>158</v>
      </c>
      <c r="H81" s="18" t="s">
        <v>152</v>
      </c>
    </row>
    <row r="82" spans="2:8" ht="9.75" customHeight="1">
      <c r="B82" s="16">
        <f t="shared" si="7"/>
        <v>74</v>
      </c>
      <c r="C82" s="17">
        <f t="shared" si="8"/>
        <v>46149</v>
      </c>
      <c r="D82" s="14" t="s">
        <v>44</v>
      </c>
      <c r="E82" s="14" t="s">
        <v>100</v>
      </c>
      <c r="F82" s="18" t="s">
        <v>150</v>
      </c>
      <c r="G82" s="14" t="s">
        <v>159</v>
      </c>
      <c r="H82" s="18" t="s">
        <v>20</v>
      </c>
    </row>
    <row r="83" spans="2:8" ht="9.75" customHeight="1">
      <c r="B83" s="16">
        <f t="shared" si="7"/>
        <v>75</v>
      </c>
      <c r="C83" s="17">
        <f t="shared" si="8"/>
        <v>46149</v>
      </c>
      <c r="D83" s="14" t="s">
        <v>44</v>
      </c>
      <c r="E83" s="14" t="s">
        <v>160</v>
      </c>
      <c r="F83" s="18" t="s">
        <v>150</v>
      </c>
      <c r="G83" s="14" t="s">
        <v>161</v>
      </c>
      <c r="H83" s="18" t="s">
        <v>20</v>
      </c>
    </row>
    <row r="84" spans="2:8" ht="9.75" customHeight="1">
      <c r="B84" s="16">
        <f t="shared" si="7"/>
        <v>76</v>
      </c>
      <c r="C84" s="17">
        <f t="shared" si="8"/>
        <v>46149</v>
      </c>
      <c r="D84" s="14" t="s">
        <v>162</v>
      </c>
      <c r="E84" s="14" t="s">
        <v>33</v>
      </c>
      <c r="F84" s="18" t="s">
        <v>150</v>
      </c>
      <c r="G84" s="14" t="s">
        <v>163</v>
      </c>
      <c r="H84" s="14" t="s">
        <v>114</v>
      </c>
    </row>
    <row r="85" spans="2:8" ht="9.75" customHeight="1">
      <c r="B85" s="16">
        <f t="shared" si="7"/>
        <v>77</v>
      </c>
      <c r="C85" s="17">
        <f t="shared" si="8"/>
        <v>46149</v>
      </c>
      <c r="D85" s="14" t="s">
        <v>162</v>
      </c>
      <c r="E85" s="14" t="s">
        <v>72</v>
      </c>
      <c r="F85" s="18" t="s">
        <v>150</v>
      </c>
      <c r="G85" s="14" t="s">
        <v>163</v>
      </c>
      <c r="H85" s="14" t="s">
        <v>20</v>
      </c>
    </row>
    <row r="86" spans="2:8" ht="9.75" customHeight="1">
      <c r="B86" s="16">
        <f t="shared" si="7"/>
        <v>78</v>
      </c>
      <c r="C86" s="17">
        <f t="shared" si="8"/>
        <v>46149</v>
      </c>
      <c r="D86" s="14" t="s">
        <v>44</v>
      </c>
      <c r="E86" s="14" t="s">
        <v>164</v>
      </c>
      <c r="F86" s="18" t="s">
        <v>150</v>
      </c>
      <c r="G86" s="14" t="s">
        <v>165</v>
      </c>
      <c r="H86" s="14" t="s">
        <v>114</v>
      </c>
    </row>
    <row r="87" spans="2:8" ht="9.75" customHeight="1">
      <c r="B87" s="16">
        <f t="shared" si="7"/>
        <v>79</v>
      </c>
      <c r="C87" s="17">
        <f t="shared" si="8"/>
        <v>46149</v>
      </c>
      <c r="D87" s="14" t="s">
        <v>166</v>
      </c>
      <c r="E87" s="14" t="s">
        <v>167</v>
      </c>
      <c r="F87" s="18" t="s">
        <v>150</v>
      </c>
      <c r="G87" s="20" t="s">
        <v>168</v>
      </c>
      <c r="H87" s="14" t="s">
        <v>20</v>
      </c>
    </row>
    <row r="88" spans="2:8" ht="9.75" customHeight="1">
      <c r="B88" s="16">
        <f t="shared" si="7"/>
        <v>80</v>
      </c>
      <c r="C88" s="17">
        <f t="shared" si="8"/>
        <v>46149</v>
      </c>
      <c r="D88" s="14" t="s">
        <v>44</v>
      </c>
      <c r="E88" s="14" t="s">
        <v>167</v>
      </c>
      <c r="F88" s="18" t="s">
        <v>150</v>
      </c>
      <c r="G88" s="20" t="s">
        <v>169</v>
      </c>
      <c r="H88" s="14" t="s">
        <v>20</v>
      </c>
    </row>
    <row r="89" spans="2:8" ht="9.75" customHeight="1">
      <c r="B89" s="16">
        <f t="shared" si="7"/>
        <v>81</v>
      </c>
      <c r="C89" s="17">
        <f t="shared" si="8"/>
        <v>46149</v>
      </c>
      <c r="D89" s="14" t="s">
        <v>44</v>
      </c>
      <c r="E89" s="14" t="s">
        <v>170</v>
      </c>
      <c r="F89" s="18" t="s">
        <v>150</v>
      </c>
      <c r="G89" s="20" t="s">
        <v>171</v>
      </c>
      <c r="H89" s="14" t="s">
        <v>20</v>
      </c>
    </row>
    <row r="90" spans="2:8" ht="9.75" customHeight="1">
      <c r="B90" s="16">
        <f t="shared" si="7"/>
        <v>82</v>
      </c>
      <c r="C90" s="17">
        <f t="shared" si="8"/>
        <v>46149</v>
      </c>
      <c r="D90" s="14" t="s">
        <v>44</v>
      </c>
      <c r="E90" s="14" t="s">
        <v>22</v>
      </c>
      <c r="F90" s="18" t="s">
        <v>150</v>
      </c>
      <c r="G90" s="20" t="s">
        <v>172</v>
      </c>
      <c r="H90" s="14" t="s">
        <v>20</v>
      </c>
    </row>
    <row r="91" spans="2:8" ht="9.75" customHeight="1">
      <c r="B91" s="16">
        <f t="shared" si="7"/>
        <v>83</v>
      </c>
      <c r="C91" s="17">
        <f t="shared" si="8"/>
        <v>46149</v>
      </c>
      <c r="D91" s="14" t="s">
        <v>44</v>
      </c>
      <c r="E91" s="14" t="s">
        <v>133</v>
      </c>
      <c r="F91" s="18" t="s">
        <v>150</v>
      </c>
      <c r="G91" s="20" t="s">
        <v>173</v>
      </c>
      <c r="H91" s="14" t="s">
        <v>20</v>
      </c>
    </row>
    <row r="92" spans="2:8" ht="9.75" customHeight="1">
      <c r="B92" s="16">
        <f t="shared" si="7"/>
        <v>84</v>
      </c>
      <c r="C92" s="17">
        <f t="shared" si="8"/>
        <v>46149</v>
      </c>
      <c r="D92" s="14" t="s">
        <v>44</v>
      </c>
      <c r="E92" s="14" t="s">
        <v>174</v>
      </c>
      <c r="F92" s="18" t="s">
        <v>150</v>
      </c>
      <c r="G92" s="20" t="s">
        <v>175</v>
      </c>
      <c r="H92" s="14" t="s">
        <v>176</v>
      </c>
    </row>
    <row r="93" spans="2:8" ht="9.75" customHeight="1">
      <c r="B93" s="16">
        <f t="shared" si="7"/>
        <v>85</v>
      </c>
      <c r="C93" s="17">
        <f t="shared" si="8"/>
        <v>46149</v>
      </c>
      <c r="D93" s="14" t="s">
        <v>177</v>
      </c>
      <c r="E93" s="14" t="s">
        <v>178</v>
      </c>
      <c r="F93" s="18" t="s">
        <v>150</v>
      </c>
      <c r="G93" s="20" t="s">
        <v>179</v>
      </c>
      <c r="H93" s="14" t="s">
        <v>20</v>
      </c>
    </row>
    <row r="94" spans="2:8" ht="9.75" customHeight="1">
      <c r="B94" s="16">
        <f t="shared" si="7"/>
        <v>86</v>
      </c>
      <c r="C94" s="17">
        <f t="shared" si="8"/>
        <v>46149</v>
      </c>
      <c r="D94" s="14" t="s">
        <v>180</v>
      </c>
      <c r="E94" s="14" t="s">
        <v>149</v>
      </c>
      <c r="F94" s="18" t="s">
        <v>150</v>
      </c>
      <c r="G94" s="20" t="s">
        <v>181</v>
      </c>
      <c r="H94" s="14" t="s">
        <v>152</v>
      </c>
    </row>
    <row r="95" spans="2:8" ht="9.75" customHeight="1">
      <c r="B95" s="16">
        <f t="shared" si="7"/>
        <v>87</v>
      </c>
      <c r="C95" s="17">
        <f t="shared" si="8"/>
        <v>46149</v>
      </c>
      <c r="D95" s="14" t="s">
        <v>44</v>
      </c>
      <c r="E95" s="14" t="s">
        <v>22</v>
      </c>
      <c r="F95" s="18" t="s">
        <v>150</v>
      </c>
      <c r="G95" s="20" t="s">
        <v>182</v>
      </c>
      <c r="H95" s="14" t="s">
        <v>152</v>
      </c>
    </row>
    <row r="96" spans="2:8" ht="9.75" customHeight="1">
      <c r="B96" s="16">
        <f t="shared" si="7"/>
        <v>88</v>
      </c>
      <c r="C96" s="17">
        <f t="shared" si="8"/>
        <v>46149</v>
      </c>
      <c r="D96" s="14" t="s">
        <v>183</v>
      </c>
      <c r="E96" s="14" t="s">
        <v>87</v>
      </c>
      <c r="F96" s="14" t="s">
        <v>184</v>
      </c>
      <c r="G96" s="14" t="s">
        <v>185</v>
      </c>
      <c r="H96" s="14" t="s">
        <v>152</v>
      </c>
    </row>
    <row r="97" spans="2:8" ht="9.75" customHeight="1">
      <c r="B97" s="16">
        <f t="shared" si="7"/>
        <v>89</v>
      </c>
      <c r="C97" s="17">
        <f t="shared" si="8"/>
        <v>46149</v>
      </c>
      <c r="D97" s="14" t="s">
        <v>186</v>
      </c>
      <c r="E97" s="14" t="s">
        <v>87</v>
      </c>
      <c r="F97" s="14" t="s">
        <v>184</v>
      </c>
      <c r="G97" s="14" t="s">
        <v>187</v>
      </c>
      <c r="H97" s="14" t="s">
        <v>152</v>
      </c>
    </row>
    <row r="98" spans="2:8" ht="9.75" customHeight="1">
      <c r="B98" s="16">
        <f t="shared" si="7"/>
        <v>90</v>
      </c>
      <c r="C98" s="13">
        <v>46150</v>
      </c>
      <c r="D98" s="18" t="s">
        <v>188</v>
      </c>
      <c r="E98" s="18" t="s">
        <v>22</v>
      </c>
      <c r="F98" s="18" t="s">
        <v>189</v>
      </c>
      <c r="G98" s="18" t="s">
        <v>190</v>
      </c>
      <c r="H98" s="18" t="s">
        <v>43</v>
      </c>
    </row>
    <row r="99" spans="2:8" ht="9.75" customHeight="1">
      <c r="B99" s="16">
        <f t="shared" si="7"/>
        <v>91</v>
      </c>
      <c r="C99" s="17">
        <f t="shared" ref="C99:C112" si="9">C98</f>
        <v>46150</v>
      </c>
      <c r="D99" s="18" t="s">
        <v>191</v>
      </c>
      <c r="E99" s="14" t="s">
        <v>33</v>
      </c>
      <c r="F99" s="18" t="s">
        <v>189</v>
      </c>
      <c r="G99" s="14" t="s">
        <v>192</v>
      </c>
      <c r="H99" s="14" t="s">
        <v>86</v>
      </c>
    </row>
    <row r="100" spans="2:8" ht="9.75" customHeight="1">
      <c r="B100" s="16">
        <f t="shared" si="7"/>
        <v>92</v>
      </c>
      <c r="C100" s="17">
        <f t="shared" si="9"/>
        <v>46150</v>
      </c>
      <c r="D100" s="18" t="s">
        <v>44</v>
      </c>
      <c r="E100" s="14" t="s">
        <v>100</v>
      </c>
      <c r="F100" s="18" t="s">
        <v>189</v>
      </c>
      <c r="G100" s="14" t="s">
        <v>193</v>
      </c>
      <c r="H100" s="14" t="s">
        <v>80</v>
      </c>
    </row>
    <row r="101" spans="2:8" ht="9.75" customHeight="1">
      <c r="B101" s="16">
        <f t="shared" si="7"/>
        <v>93</v>
      </c>
      <c r="C101" s="17">
        <f t="shared" si="9"/>
        <v>46150</v>
      </c>
      <c r="D101" s="18" t="s">
        <v>44</v>
      </c>
      <c r="E101" s="14" t="s">
        <v>33</v>
      </c>
      <c r="F101" s="18" t="s">
        <v>189</v>
      </c>
      <c r="G101" s="14" t="s">
        <v>194</v>
      </c>
      <c r="H101" s="14" t="s">
        <v>20</v>
      </c>
    </row>
    <row r="102" spans="2:8" ht="9.75" customHeight="1">
      <c r="B102" s="16">
        <f t="shared" si="7"/>
        <v>94</v>
      </c>
      <c r="C102" s="17">
        <f t="shared" si="9"/>
        <v>46150</v>
      </c>
      <c r="D102" s="18" t="s">
        <v>195</v>
      </c>
      <c r="E102" s="14" t="s">
        <v>196</v>
      </c>
      <c r="F102" s="18" t="s">
        <v>189</v>
      </c>
      <c r="G102" s="14" t="s">
        <v>197</v>
      </c>
      <c r="H102" s="14" t="s">
        <v>43</v>
      </c>
    </row>
    <row r="103" spans="2:8" ht="9.75" customHeight="1">
      <c r="B103" s="16">
        <f t="shared" si="7"/>
        <v>95</v>
      </c>
      <c r="C103" s="17">
        <f t="shared" si="9"/>
        <v>46150</v>
      </c>
      <c r="D103" s="18" t="s">
        <v>198</v>
      </c>
      <c r="E103" s="14" t="s">
        <v>133</v>
      </c>
      <c r="F103" s="18" t="s">
        <v>189</v>
      </c>
      <c r="G103" s="14" t="s">
        <v>199</v>
      </c>
      <c r="H103" s="14" t="s">
        <v>43</v>
      </c>
    </row>
    <row r="104" spans="2:8" ht="9.75" customHeight="1">
      <c r="B104" s="16">
        <f t="shared" si="7"/>
        <v>96</v>
      </c>
      <c r="C104" s="17">
        <f t="shared" si="9"/>
        <v>46150</v>
      </c>
      <c r="D104" s="18" t="s">
        <v>44</v>
      </c>
      <c r="E104" s="14" t="s">
        <v>33</v>
      </c>
      <c r="F104" s="18" t="s">
        <v>189</v>
      </c>
      <c r="G104" s="20" t="s">
        <v>200</v>
      </c>
      <c r="H104" s="14" t="s">
        <v>54</v>
      </c>
    </row>
    <row r="105" spans="2:8" ht="9.75" customHeight="1">
      <c r="B105" s="16">
        <f t="shared" si="7"/>
        <v>97</v>
      </c>
      <c r="C105" s="17">
        <f t="shared" si="9"/>
        <v>46150</v>
      </c>
      <c r="D105" s="14" t="s">
        <v>201</v>
      </c>
      <c r="E105" s="14" t="s">
        <v>9</v>
      </c>
      <c r="F105" s="18" t="s">
        <v>189</v>
      </c>
      <c r="G105" s="20" t="s">
        <v>202</v>
      </c>
      <c r="H105" s="14" t="s">
        <v>20</v>
      </c>
    </row>
    <row r="106" spans="2:8" ht="9.75" customHeight="1">
      <c r="B106" s="16">
        <f t="shared" si="7"/>
        <v>98</v>
      </c>
      <c r="C106" s="17">
        <f t="shared" si="9"/>
        <v>46150</v>
      </c>
      <c r="D106" s="14" t="s">
        <v>203</v>
      </c>
      <c r="E106" s="14" t="s">
        <v>51</v>
      </c>
      <c r="F106" s="18" t="s">
        <v>189</v>
      </c>
      <c r="G106" s="20" t="s">
        <v>204</v>
      </c>
      <c r="H106" s="14" t="s">
        <v>20</v>
      </c>
    </row>
    <row r="107" spans="2:8" ht="9.75" customHeight="1">
      <c r="B107" s="16">
        <f t="shared" si="7"/>
        <v>99</v>
      </c>
      <c r="C107" s="17">
        <f t="shared" si="9"/>
        <v>46150</v>
      </c>
      <c r="D107" s="14" t="s">
        <v>205</v>
      </c>
      <c r="E107" s="14" t="s">
        <v>206</v>
      </c>
      <c r="F107" s="18" t="s">
        <v>189</v>
      </c>
      <c r="G107" s="14" t="s">
        <v>207</v>
      </c>
      <c r="H107" s="14" t="s">
        <v>20</v>
      </c>
    </row>
    <row r="108" spans="2:8" ht="9.75" customHeight="1">
      <c r="C108" s="17">
        <f t="shared" si="9"/>
        <v>46150</v>
      </c>
      <c r="D108" s="14" t="s">
        <v>44</v>
      </c>
      <c r="E108" s="19"/>
      <c r="F108" s="18" t="s">
        <v>189</v>
      </c>
      <c r="G108" s="14" t="s">
        <v>208</v>
      </c>
      <c r="H108" s="14" t="s">
        <v>20</v>
      </c>
    </row>
    <row r="109" spans="2:8" ht="15.75" customHeight="1">
      <c r="C109" s="17">
        <f t="shared" si="9"/>
        <v>46150</v>
      </c>
      <c r="D109" s="14" t="s">
        <v>65</v>
      </c>
      <c r="E109" s="14" t="s">
        <v>30</v>
      </c>
      <c r="F109" s="18" t="s">
        <v>209</v>
      </c>
      <c r="G109" s="14" t="s">
        <v>210</v>
      </c>
      <c r="H109" s="14" t="s">
        <v>211</v>
      </c>
    </row>
    <row r="110" spans="2:8" ht="15.75" customHeight="1">
      <c r="C110" s="17">
        <f t="shared" si="9"/>
        <v>46150</v>
      </c>
      <c r="D110" s="14" t="s">
        <v>65</v>
      </c>
      <c r="E110" s="14" t="s">
        <v>87</v>
      </c>
      <c r="F110" s="18" t="s">
        <v>209</v>
      </c>
      <c r="G110" s="14" t="s">
        <v>212</v>
      </c>
      <c r="H110" s="14" t="s">
        <v>20</v>
      </c>
    </row>
    <row r="111" spans="2:8" ht="15.75" customHeight="1">
      <c r="C111" s="17">
        <f t="shared" si="9"/>
        <v>46150</v>
      </c>
      <c r="D111" s="14" t="s">
        <v>213</v>
      </c>
      <c r="E111" s="14" t="s">
        <v>87</v>
      </c>
      <c r="F111" s="18" t="s">
        <v>209</v>
      </c>
      <c r="G111" s="14" t="s">
        <v>214</v>
      </c>
      <c r="H111" s="14" t="s">
        <v>64</v>
      </c>
    </row>
    <row r="112" spans="2:8" ht="15.75" customHeight="1">
      <c r="C112" s="17">
        <f t="shared" si="9"/>
        <v>46150</v>
      </c>
      <c r="D112" s="14" t="s">
        <v>215</v>
      </c>
      <c r="E112" s="14" t="s">
        <v>87</v>
      </c>
      <c r="F112" s="18" t="s">
        <v>209</v>
      </c>
      <c r="G112" s="14" t="s">
        <v>216</v>
      </c>
      <c r="H112" s="14" t="s">
        <v>64</v>
      </c>
    </row>
    <row r="113" spans="3:8" ht="15.75" customHeight="1">
      <c r="C113" s="13">
        <v>46151</v>
      </c>
      <c r="D113" s="18" t="s">
        <v>217</v>
      </c>
      <c r="E113" s="18" t="s">
        <v>218</v>
      </c>
      <c r="F113" s="18" t="s">
        <v>209</v>
      </c>
      <c r="G113" s="18" t="s">
        <v>219</v>
      </c>
      <c r="H113" s="18" t="s">
        <v>64</v>
      </c>
    </row>
    <row r="114" spans="3:8" ht="15.75" customHeight="1">
      <c r="C114" s="17">
        <f t="shared" ref="C114:C121" si="10">C113</f>
        <v>46151</v>
      </c>
      <c r="D114" s="14" t="s">
        <v>220</v>
      </c>
      <c r="E114" s="14" t="s">
        <v>221</v>
      </c>
      <c r="F114" s="14" t="s">
        <v>209</v>
      </c>
      <c r="G114" s="14" t="s">
        <v>222</v>
      </c>
      <c r="H114" s="14" t="s">
        <v>64</v>
      </c>
    </row>
    <row r="115" spans="3:8" ht="15.75" customHeight="1">
      <c r="C115" s="17">
        <f t="shared" si="10"/>
        <v>46151</v>
      </c>
      <c r="D115" s="14" t="s">
        <v>44</v>
      </c>
      <c r="E115" s="14" t="s">
        <v>33</v>
      </c>
      <c r="F115" s="14" t="s">
        <v>223</v>
      </c>
      <c r="G115" s="14" t="s">
        <v>224</v>
      </c>
      <c r="H115" s="14" t="s">
        <v>131</v>
      </c>
    </row>
    <row r="116" spans="3:8" ht="15.75" customHeight="1">
      <c r="C116" s="17">
        <f t="shared" si="10"/>
        <v>46151</v>
      </c>
      <c r="D116" s="14" t="s">
        <v>26</v>
      </c>
      <c r="E116" s="14" t="s">
        <v>30</v>
      </c>
      <c r="F116" s="14" t="s">
        <v>223</v>
      </c>
      <c r="G116" s="14" t="s">
        <v>225</v>
      </c>
      <c r="H116" s="14" t="s">
        <v>64</v>
      </c>
    </row>
    <row r="117" spans="3:8" ht="15.75" customHeight="1">
      <c r="C117" s="17">
        <f t="shared" si="10"/>
        <v>46151</v>
      </c>
      <c r="D117" s="14" t="s">
        <v>44</v>
      </c>
      <c r="E117" s="14" t="s">
        <v>30</v>
      </c>
      <c r="F117" s="14" t="s">
        <v>223</v>
      </c>
      <c r="G117" s="14" t="s">
        <v>226</v>
      </c>
      <c r="H117" s="14" t="s">
        <v>131</v>
      </c>
    </row>
    <row r="118" spans="3:8" ht="15.75" customHeight="1">
      <c r="C118" s="17">
        <f t="shared" si="10"/>
        <v>46151</v>
      </c>
      <c r="D118" s="14" t="s">
        <v>44</v>
      </c>
      <c r="E118" s="14" t="s">
        <v>22</v>
      </c>
      <c r="F118" s="14" t="s">
        <v>223</v>
      </c>
      <c r="G118" s="14" t="s">
        <v>227</v>
      </c>
      <c r="H118" s="14" t="s">
        <v>131</v>
      </c>
    </row>
    <row r="119" spans="3:8" ht="15.75" customHeight="1">
      <c r="C119" s="17">
        <f t="shared" si="10"/>
        <v>46151</v>
      </c>
      <c r="D119" s="14" t="s">
        <v>44</v>
      </c>
      <c r="E119" s="14" t="s">
        <v>22</v>
      </c>
      <c r="F119" s="14" t="s">
        <v>223</v>
      </c>
      <c r="G119" s="14" t="s">
        <v>228</v>
      </c>
      <c r="H119" s="14" t="s">
        <v>131</v>
      </c>
    </row>
    <row r="120" spans="3:8" ht="15.75" customHeight="1">
      <c r="C120" s="17">
        <f t="shared" si="10"/>
        <v>46151</v>
      </c>
      <c r="D120" s="14" t="s">
        <v>26</v>
      </c>
      <c r="E120" s="14" t="s">
        <v>30</v>
      </c>
      <c r="F120" s="14" t="s">
        <v>223</v>
      </c>
      <c r="G120" s="14" t="s">
        <v>229</v>
      </c>
      <c r="H120" s="14" t="s">
        <v>64</v>
      </c>
    </row>
    <row r="121" spans="3:8" ht="15.75" customHeight="1">
      <c r="C121" s="17">
        <f t="shared" si="10"/>
        <v>46151</v>
      </c>
      <c r="D121" s="14" t="s">
        <v>230</v>
      </c>
      <c r="E121" s="14" t="s">
        <v>30</v>
      </c>
      <c r="F121" s="14" t="s">
        <v>223</v>
      </c>
      <c r="G121" s="14" t="s">
        <v>231</v>
      </c>
      <c r="H121" s="14" t="s">
        <v>131</v>
      </c>
    </row>
    <row r="122" spans="3:8" ht="15.75" customHeight="1">
      <c r="C122" s="13">
        <v>46152</v>
      </c>
      <c r="D122" s="18" t="s">
        <v>43</v>
      </c>
      <c r="E122" s="18" t="s">
        <v>232</v>
      </c>
      <c r="F122" s="18" t="s">
        <v>233</v>
      </c>
      <c r="G122" s="18" t="s">
        <v>234</v>
      </c>
      <c r="H122" s="18" t="s">
        <v>235</v>
      </c>
    </row>
    <row r="123" spans="3:8" ht="15.75" customHeight="1">
      <c r="C123" s="17">
        <f t="shared" ref="C123:C142" si="11">C122</f>
        <v>46152</v>
      </c>
      <c r="D123" s="18" t="s">
        <v>236</v>
      </c>
      <c r="E123" s="18" t="s">
        <v>237</v>
      </c>
      <c r="F123" s="18" t="s">
        <v>233</v>
      </c>
      <c r="G123" s="18" t="s">
        <v>238</v>
      </c>
      <c r="H123" s="18" t="s">
        <v>43</v>
      </c>
    </row>
    <row r="124" spans="3:8" ht="15.75" customHeight="1">
      <c r="C124" s="17">
        <f t="shared" si="11"/>
        <v>46152</v>
      </c>
      <c r="D124" s="14" t="s">
        <v>239</v>
      </c>
      <c r="E124" s="14" t="s">
        <v>30</v>
      </c>
      <c r="F124" s="14" t="s">
        <v>233</v>
      </c>
      <c r="G124" s="14" t="s">
        <v>240</v>
      </c>
      <c r="H124" s="14" t="s">
        <v>241</v>
      </c>
    </row>
    <row r="125" spans="3:8" ht="15.75" customHeight="1">
      <c r="C125" s="17">
        <f t="shared" si="11"/>
        <v>46152</v>
      </c>
      <c r="D125" s="14" t="s">
        <v>242</v>
      </c>
      <c r="E125" s="14" t="s">
        <v>72</v>
      </c>
      <c r="F125" s="14" t="s">
        <v>243</v>
      </c>
      <c r="G125" s="14" t="s">
        <v>244</v>
      </c>
      <c r="H125" s="14" t="s">
        <v>20</v>
      </c>
    </row>
    <row r="126" spans="3:8" ht="15.75" customHeight="1">
      <c r="C126" s="17">
        <f t="shared" si="11"/>
        <v>46152</v>
      </c>
      <c r="D126" s="14" t="s">
        <v>44</v>
      </c>
      <c r="E126" s="14" t="s">
        <v>51</v>
      </c>
      <c r="F126" s="14" t="s">
        <v>243</v>
      </c>
      <c r="G126" s="14" t="s">
        <v>245</v>
      </c>
      <c r="H126" s="14" t="s">
        <v>114</v>
      </c>
    </row>
    <row r="127" spans="3:8" ht="15.75" customHeight="1">
      <c r="C127" s="17">
        <f t="shared" si="11"/>
        <v>46152</v>
      </c>
      <c r="D127" s="14" t="s">
        <v>246</v>
      </c>
      <c r="E127" s="14" t="s">
        <v>247</v>
      </c>
      <c r="F127" s="14" t="s">
        <v>243</v>
      </c>
      <c r="G127" s="20" t="s">
        <v>248</v>
      </c>
      <c r="H127" s="14" t="s">
        <v>114</v>
      </c>
    </row>
    <row r="128" spans="3:8" ht="15.75" customHeight="1">
      <c r="C128" s="17">
        <f t="shared" si="11"/>
        <v>46152</v>
      </c>
      <c r="D128" s="14" t="s">
        <v>65</v>
      </c>
      <c r="E128" s="14" t="s">
        <v>112</v>
      </c>
      <c r="F128" s="14" t="s">
        <v>243</v>
      </c>
      <c r="G128" s="14" t="s">
        <v>194</v>
      </c>
      <c r="H128" s="14" t="s">
        <v>86</v>
      </c>
    </row>
    <row r="129" spans="3:8" ht="15.75" customHeight="1">
      <c r="C129" s="17">
        <f t="shared" si="11"/>
        <v>46152</v>
      </c>
      <c r="D129" s="14" t="s">
        <v>249</v>
      </c>
      <c r="E129" s="14" t="s">
        <v>77</v>
      </c>
      <c r="F129" s="14" t="s">
        <v>243</v>
      </c>
      <c r="G129" s="14" t="s">
        <v>250</v>
      </c>
      <c r="H129" s="14" t="s">
        <v>114</v>
      </c>
    </row>
    <row r="130" spans="3:8" ht="15.75" customHeight="1">
      <c r="C130" s="17">
        <f t="shared" si="11"/>
        <v>46152</v>
      </c>
      <c r="D130" s="14" t="s">
        <v>251</v>
      </c>
      <c r="E130" s="14" t="s">
        <v>252</v>
      </c>
      <c r="F130" s="14" t="s">
        <v>243</v>
      </c>
      <c r="G130" s="14" t="s">
        <v>253</v>
      </c>
      <c r="H130" s="14" t="s">
        <v>254</v>
      </c>
    </row>
    <row r="131" spans="3:8" ht="15.75" customHeight="1">
      <c r="C131" s="17">
        <f t="shared" si="11"/>
        <v>46152</v>
      </c>
      <c r="D131" s="14" t="s">
        <v>255</v>
      </c>
      <c r="E131" s="14" t="s">
        <v>22</v>
      </c>
      <c r="F131" s="14" t="s">
        <v>243</v>
      </c>
      <c r="G131" s="14" t="s">
        <v>256</v>
      </c>
      <c r="H131" s="14" t="s">
        <v>43</v>
      </c>
    </row>
    <row r="132" spans="3:8" ht="15.75" customHeight="1">
      <c r="C132" s="17">
        <f t="shared" si="11"/>
        <v>46152</v>
      </c>
      <c r="D132" s="14" t="s">
        <v>257</v>
      </c>
      <c r="E132" s="14" t="s">
        <v>100</v>
      </c>
      <c r="F132" s="14" t="s">
        <v>243</v>
      </c>
      <c r="G132" s="14" t="s">
        <v>258</v>
      </c>
      <c r="H132" s="14" t="s">
        <v>43</v>
      </c>
    </row>
    <row r="133" spans="3:8" ht="15.75" customHeight="1">
      <c r="C133" s="17">
        <f t="shared" si="11"/>
        <v>46152</v>
      </c>
      <c r="D133" s="14" t="s">
        <v>259</v>
      </c>
      <c r="E133" s="14" t="s">
        <v>138</v>
      </c>
      <c r="F133" s="14" t="s">
        <v>243</v>
      </c>
      <c r="G133" s="14" t="s">
        <v>260</v>
      </c>
      <c r="H133" s="14" t="s">
        <v>152</v>
      </c>
    </row>
    <row r="134" spans="3:8" ht="15.75" customHeight="1">
      <c r="C134" s="17">
        <f t="shared" si="11"/>
        <v>46152</v>
      </c>
      <c r="D134" s="14" t="s">
        <v>65</v>
      </c>
      <c r="E134" s="14" t="s">
        <v>22</v>
      </c>
      <c r="F134" s="14" t="s">
        <v>243</v>
      </c>
      <c r="G134" s="14" t="s">
        <v>159</v>
      </c>
      <c r="H134" s="14" t="s">
        <v>20</v>
      </c>
    </row>
    <row r="135" spans="3:8" ht="15.75" customHeight="1">
      <c r="C135" s="17">
        <f t="shared" si="11"/>
        <v>46152</v>
      </c>
      <c r="D135" s="14" t="s">
        <v>251</v>
      </c>
      <c r="E135" s="14" t="s">
        <v>22</v>
      </c>
      <c r="F135" s="14" t="s">
        <v>243</v>
      </c>
      <c r="G135" s="20" t="s">
        <v>261</v>
      </c>
      <c r="H135" s="14" t="s">
        <v>26</v>
      </c>
    </row>
    <row r="136" spans="3:8" ht="15.75" customHeight="1">
      <c r="C136" s="17">
        <f t="shared" si="11"/>
        <v>46152</v>
      </c>
      <c r="D136" s="14" t="s">
        <v>65</v>
      </c>
      <c r="E136" s="14" t="s">
        <v>22</v>
      </c>
      <c r="F136" s="14" t="s">
        <v>243</v>
      </c>
      <c r="G136" s="20" t="s">
        <v>262</v>
      </c>
      <c r="H136" s="14" t="s">
        <v>20</v>
      </c>
    </row>
    <row r="137" spans="3:8" ht="15.75" customHeight="1">
      <c r="C137" s="17">
        <f t="shared" si="11"/>
        <v>46152</v>
      </c>
      <c r="D137" s="14" t="s">
        <v>263</v>
      </c>
      <c r="E137" s="14" t="s">
        <v>100</v>
      </c>
      <c r="F137" s="14" t="s">
        <v>243</v>
      </c>
      <c r="G137" s="20" t="s">
        <v>264</v>
      </c>
      <c r="H137" s="14" t="s">
        <v>26</v>
      </c>
    </row>
    <row r="138" spans="3:8" ht="15.75" customHeight="1">
      <c r="C138" s="17">
        <f t="shared" si="11"/>
        <v>46152</v>
      </c>
      <c r="D138" s="14" t="s">
        <v>65</v>
      </c>
      <c r="E138" s="14" t="s">
        <v>112</v>
      </c>
      <c r="F138" s="14" t="s">
        <v>243</v>
      </c>
      <c r="G138" s="14" t="s">
        <v>265</v>
      </c>
      <c r="H138" s="14" t="s">
        <v>37</v>
      </c>
    </row>
    <row r="139" spans="3:8" ht="15.75" customHeight="1">
      <c r="C139" s="17">
        <f t="shared" si="11"/>
        <v>46152</v>
      </c>
      <c r="D139" s="14" t="s">
        <v>266</v>
      </c>
      <c r="E139" s="14" t="s">
        <v>22</v>
      </c>
      <c r="F139" s="14" t="s">
        <v>267</v>
      </c>
      <c r="G139" s="14" t="s">
        <v>268</v>
      </c>
      <c r="H139" s="14" t="s">
        <v>26</v>
      </c>
    </row>
    <row r="140" spans="3:8" ht="15.75" customHeight="1">
      <c r="C140" s="17">
        <f t="shared" si="11"/>
        <v>46152</v>
      </c>
      <c r="D140" s="14" t="s">
        <v>269</v>
      </c>
      <c r="E140" s="14" t="s">
        <v>30</v>
      </c>
      <c r="F140" s="14" t="s">
        <v>267</v>
      </c>
      <c r="G140" s="14" t="s">
        <v>270</v>
      </c>
      <c r="H140" s="14" t="s">
        <v>43</v>
      </c>
    </row>
    <row r="141" spans="3:8" ht="15.75" customHeight="1">
      <c r="C141" s="17">
        <f t="shared" si="11"/>
        <v>46152</v>
      </c>
      <c r="D141" s="14" t="s">
        <v>271</v>
      </c>
      <c r="E141" s="14" t="s">
        <v>112</v>
      </c>
      <c r="F141" s="14" t="s">
        <v>267</v>
      </c>
      <c r="G141" s="20" t="s">
        <v>272</v>
      </c>
      <c r="H141" s="14" t="s">
        <v>271</v>
      </c>
    </row>
    <row r="142" spans="3:8" ht="15.75" customHeight="1">
      <c r="C142" s="17">
        <f t="shared" si="11"/>
        <v>46152</v>
      </c>
      <c r="D142" s="14" t="s">
        <v>273</v>
      </c>
      <c r="E142" s="14" t="s">
        <v>274</v>
      </c>
      <c r="F142" s="14" t="s">
        <v>267</v>
      </c>
      <c r="G142" s="14" t="s">
        <v>275</v>
      </c>
      <c r="H142" s="14" t="s">
        <v>276</v>
      </c>
    </row>
    <row r="143" spans="3:8" ht="15.75" customHeight="1">
      <c r="C143" s="13">
        <v>46153</v>
      </c>
      <c r="D143" s="18" t="s">
        <v>277</v>
      </c>
      <c r="E143" s="18" t="s">
        <v>22</v>
      </c>
      <c r="F143" s="18" t="s">
        <v>278</v>
      </c>
      <c r="G143" s="18" t="s">
        <v>279</v>
      </c>
      <c r="H143" s="18" t="s">
        <v>43</v>
      </c>
    </row>
    <row r="144" spans="3:8" ht="15.75" customHeight="1">
      <c r="C144" s="17">
        <f t="shared" ref="C144:C160" si="12">C143</f>
        <v>46153</v>
      </c>
      <c r="D144" s="14" t="s">
        <v>280</v>
      </c>
      <c r="E144" s="14" t="s">
        <v>22</v>
      </c>
      <c r="F144" s="14" t="s">
        <v>278</v>
      </c>
      <c r="G144" s="14" t="s">
        <v>281</v>
      </c>
      <c r="H144" s="14" t="s">
        <v>43</v>
      </c>
    </row>
    <row r="145" spans="3:8" ht="15.75" customHeight="1">
      <c r="C145" s="17">
        <f t="shared" si="12"/>
        <v>46153</v>
      </c>
      <c r="D145" s="14" t="s">
        <v>282</v>
      </c>
      <c r="E145" s="14" t="s">
        <v>283</v>
      </c>
      <c r="F145" s="14" t="s">
        <v>278</v>
      </c>
      <c r="G145" s="14" t="s">
        <v>284</v>
      </c>
      <c r="H145" s="14" t="s">
        <v>43</v>
      </c>
    </row>
    <row r="146" spans="3:8" ht="15.75" customHeight="1">
      <c r="C146" s="17">
        <f t="shared" si="12"/>
        <v>46153</v>
      </c>
      <c r="D146" s="14" t="s">
        <v>285</v>
      </c>
      <c r="E146" s="14" t="s">
        <v>33</v>
      </c>
      <c r="F146" s="14" t="s">
        <v>278</v>
      </c>
      <c r="G146" s="14" t="s">
        <v>286</v>
      </c>
      <c r="H146" s="14" t="s">
        <v>43</v>
      </c>
    </row>
    <row r="147" spans="3:8" ht="15.75" customHeight="1">
      <c r="C147" s="17">
        <f t="shared" si="12"/>
        <v>46153</v>
      </c>
      <c r="D147" s="14" t="s">
        <v>287</v>
      </c>
      <c r="E147" s="14" t="s">
        <v>22</v>
      </c>
      <c r="F147" s="14" t="s">
        <v>288</v>
      </c>
      <c r="G147" s="14" t="s">
        <v>289</v>
      </c>
      <c r="H147" s="14" t="s">
        <v>20</v>
      </c>
    </row>
    <row r="148" spans="3:8" ht="15.75" customHeight="1">
      <c r="C148" s="17">
        <f t="shared" si="12"/>
        <v>46153</v>
      </c>
      <c r="D148" s="14" t="s">
        <v>290</v>
      </c>
      <c r="E148" s="14" t="s">
        <v>291</v>
      </c>
      <c r="F148" s="14" t="s">
        <v>288</v>
      </c>
      <c r="G148" s="14" t="s">
        <v>292</v>
      </c>
      <c r="H148" s="14" t="s">
        <v>43</v>
      </c>
    </row>
    <row r="149" spans="3:8" ht="15.75" customHeight="1">
      <c r="C149" s="17">
        <f t="shared" si="12"/>
        <v>46153</v>
      </c>
      <c r="D149" s="14" t="s">
        <v>293</v>
      </c>
      <c r="E149" s="14" t="s">
        <v>83</v>
      </c>
      <c r="F149" s="14" t="s">
        <v>288</v>
      </c>
      <c r="G149" s="14" t="s">
        <v>294</v>
      </c>
      <c r="H149" s="14" t="s">
        <v>20</v>
      </c>
    </row>
    <row r="150" spans="3:8" ht="15.75" customHeight="1">
      <c r="C150" s="17">
        <f t="shared" si="12"/>
        <v>46153</v>
      </c>
      <c r="D150" s="14" t="s">
        <v>295</v>
      </c>
      <c r="E150" s="14" t="s">
        <v>77</v>
      </c>
      <c r="F150" s="14" t="s">
        <v>288</v>
      </c>
      <c r="G150" s="14" t="s">
        <v>296</v>
      </c>
      <c r="H150" s="14" t="s">
        <v>43</v>
      </c>
    </row>
    <row r="151" spans="3:8" ht="15.75" customHeight="1">
      <c r="C151" s="17">
        <f t="shared" si="12"/>
        <v>46153</v>
      </c>
      <c r="D151" s="21" t="s">
        <v>44</v>
      </c>
      <c r="E151" s="14" t="s">
        <v>297</v>
      </c>
      <c r="F151" s="14" t="s">
        <v>288</v>
      </c>
      <c r="G151" s="14" t="s">
        <v>298</v>
      </c>
      <c r="H151" s="14" t="s">
        <v>20</v>
      </c>
    </row>
    <row r="152" spans="3:8" ht="15.75" customHeight="1">
      <c r="C152" s="17">
        <f t="shared" si="12"/>
        <v>46153</v>
      </c>
      <c r="D152" s="14" t="s">
        <v>299</v>
      </c>
      <c r="E152" s="14" t="s">
        <v>72</v>
      </c>
      <c r="F152" s="14" t="s">
        <v>288</v>
      </c>
      <c r="G152" s="14" t="s">
        <v>300</v>
      </c>
      <c r="H152" s="14" t="s">
        <v>43</v>
      </c>
    </row>
    <row r="153" spans="3:8" ht="15.75" customHeight="1">
      <c r="C153" s="17">
        <f t="shared" si="12"/>
        <v>46153</v>
      </c>
      <c r="D153" s="14" t="s">
        <v>301</v>
      </c>
      <c r="E153" s="14" t="s">
        <v>302</v>
      </c>
      <c r="F153" s="14" t="s">
        <v>288</v>
      </c>
      <c r="G153" s="14" t="s">
        <v>303</v>
      </c>
      <c r="H153" s="14" t="s">
        <v>43</v>
      </c>
    </row>
    <row r="154" spans="3:8" ht="15.75" customHeight="1">
      <c r="C154" s="17">
        <f t="shared" si="12"/>
        <v>46153</v>
      </c>
      <c r="D154" s="14" t="s">
        <v>304</v>
      </c>
      <c r="E154" s="14" t="s">
        <v>305</v>
      </c>
      <c r="F154" s="14" t="s">
        <v>288</v>
      </c>
      <c r="G154" s="14" t="s">
        <v>306</v>
      </c>
      <c r="H154" s="14" t="s">
        <v>307</v>
      </c>
    </row>
    <row r="155" spans="3:8" ht="15.75" customHeight="1">
      <c r="C155" s="17">
        <f t="shared" si="12"/>
        <v>46153</v>
      </c>
      <c r="D155" s="14" t="s">
        <v>44</v>
      </c>
      <c r="E155" s="14" t="s">
        <v>133</v>
      </c>
      <c r="F155" s="14" t="s">
        <v>288</v>
      </c>
      <c r="G155" s="14" t="s">
        <v>308</v>
      </c>
      <c r="H155" s="14" t="s">
        <v>114</v>
      </c>
    </row>
    <row r="156" spans="3:8" ht="15.75" customHeight="1">
      <c r="C156" s="17">
        <f t="shared" si="12"/>
        <v>46153</v>
      </c>
      <c r="D156" s="14" t="s">
        <v>44</v>
      </c>
      <c r="E156" s="14" t="s">
        <v>83</v>
      </c>
      <c r="F156" s="14" t="s">
        <v>288</v>
      </c>
      <c r="G156" s="14" t="s">
        <v>309</v>
      </c>
      <c r="H156" s="14" t="s">
        <v>307</v>
      </c>
    </row>
    <row r="157" spans="3:8" ht="15.75" customHeight="1">
      <c r="C157" s="17">
        <f t="shared" si="12"/>
        <v>46153</v>
      </c>
      <c r="D157" s="14" t="s">
        <v>310</v>
      </c>
      <c r="E157" s="14" t="s">
        <v>22</v>
      </c>
      <c r="F157" s="14" t="s">
        <v>288</v>
      </c>
      <c r="G157" s="20" t="s">
        <v>311</v>
      </c>
      <c r="H157" s="14" t="s">
        <v>43</v>
      </c>
    </row>
    <row r="158" spans="3:8" ht="15.75" customHeight="1">
      <c r="C158" s="17">
        <f t="shared" si="12"/>
        <v>46153</v>
      </c>
      <c r="D158" s="14" t="s">
        <v>312</v>
      </c>
      <c r="E158" s="14" t="s">
        <v>87</v>
      </c>
      <c r="F158" s="14" t="s">
        <v>313</v>
      </c>
      <c r="G158" s="14" t="s">
        <v>314</v>
      </c>
      <c r="H158" s="14" t="s">
        <v>43</v>
      </c>
    </row>
    <row r="159" spans="3:8" ht="15.75" customHeight="1">
      <c r="C159" s="17">
        <f t="shared" si="12"/>
        <v>46153</v>
      </c>
      <c r="D159" s="14" t="s">
        <v>315</v>
      </c>
      <c r="E159" s="14" t="s">
        <v>316</v>
      </c>
      <c r="F159" s="14" t="s">
        <v>313</v>
      </c>
      <c r="G159" s="14" t="s">
        <v>317</v>
      </c>
      <c r="H159" s="14" t="s">
        <v>64</v>
      </c>
    </row>
    <row r="160" spans="3:8" ht="15.75" customHeight="1">
      <c r="C160" s="17">
        <f t="shared" si="12"/>
        <v>46153</v>
      </c>
      <c r="D160" s="14" t="s">
        <v>318</v>
      </c>
      <c r="E160" s="14" t="s">
        <v>319</v>
      </c>
      <c r="F160" s="14" t="s">
        <v>313</v>
      </c>
      <c r="G160" s="14" t="s">
        <v>320</v>
      </c>
      <c r="H160" s="14" t="s">
        <v>64</v>
      </c>
    </row>
    <row r="161" spans="3:8" ht="15.75" customHeight="1">
      <c r="C161" s="13">
        <v>46154</v>
      </c>
      <c r="D161" s="18" t="s">
        <v>321</v>
      </c>
      <c r="E161" s="18" t="s">
        <v>167</v>
      </c>
      <c r="F161" s="18" t="s">
        <v>322</v>
      </c>
      <c r="G161" s="18" t="s">
        <v>323</v>
      </c>
      <c r="H161" s="18" t="s">
        <v>131</v>
      </c>
    </row>
    <row r="162" spans="3:8" ht="15.75" customHeight="1">
      <c r="C162" s="17">
        <f t="shared" ref="C162:C171" si="13">C161</f>
        <v>46154</v>
      </c>
      <c r="D162" s="18" t="s">
        <v>321</v>
      </c>
      <c r="E162" s="14" t="s">
        <v>324</v>
      </c>
      <c r="F162" s="18" t="s">
        <v>322</v>
      </c>
      <c r="G162" s="14" t="s">
        <v>325</v>
      </c>
      <c r="H162" s="18" t="s">
        <v>131</v>
      </c>
    </row>
    <row r="163" spans="3:8" ht="15.75" customHeight="1">
      <c r="C163" s="17">
        <f t="shared" si="13"/>
        <v>46154</v>
      </c>
      <c r="D163" s="18" t="s">
        <v>321</v>
      </c>
      <c r="E163" s="14" t="s">
        <v>22</v>
      </c>
      <c r="F163" s="18" t="s">
        <v>322</v>
      </c>
      <c r="G163" s="14" t="s">
        <v>326</v>
      </c>
      <c r="H163" s="18" t="s">
        <v>131</v>
      </c>
    </row>
    <row r="164" spans="3:8" ht="15.75" customHeight="1">
      <c r="C164" s="17">
        <f t="shared" si="13"/>
        <v>46154</v>
      </c>
      <c r="D164" s="18" t="s">
        <v>321</v>
      </c>
      <c r="E164" s="14" t="s">
        <v>133</v>
      </c>
      <c r="F164" s="18" t="s">
        <v>322</v>
      </c>
      <c r="G164" s="14" t="s">
        <v>327</v>
      </c>
      <c r="H164" s="18" t="s">
        <v>131</v>
      </c>
    </row>
    <row r="165" spans="3:8" ht="15.75" customHeight="1">
      <c r="C165" s="17">
        <f t="shared" si="13"/>
        <v>46154</v>
      </c>
      <c r="D165" s="18" t="s">
        <v>321</v>
      </c>
      <c r="E165" s="14" t="s">
        <v>291</v>
      </c>
      <c r="F165" s="18" t="s">
        <v>322</v>
      </c>
      <c r="G165" s="14" t="s">
        <v>328</v>
      </c>
      <c r="H165" s="18" t="s">
        <v>131</v>
      </c>
    </row>
    <row r="166" spans="3:8" ht="15.75" customHeight="1">
      <c r="C166" s="17">
        <f t="shared" si="13"/>
        <v>46154</v>
      </c>
      <c r="D166" s="18" t="s">
        <v>321</v>
      </c>
      <c r="E166" s="14" t="s">
        <v>83</v>
      </c>
      <c r="F166" s="18" t="s">
        <v>322</v>
      </c>
      <c r="G166" s="14" t="s">
        <v>329</v>
      </c>
      <c r="H166" s="18" t="s">
        <v>131</v>
      </c>
    </row>
    <row r="167" spans="3:8" ht="15.75" customHeight="1">
      <c r="C167" s="17">
        <f t="shared" si="13"/>
        <v>46154</v>
      </c>
      <c r="D167" s="18" t="s">
        <v>321</v>
      </c>
      <c r="E167" s="14" t="s">
        <v>9</v>
      </c>
      <c r="F167" s="18" t="s">
        <v>322</v>
      </c>
      <c r="G167" s="14" t="s">
        <v>330</v>
      </c>
      <c r="H167" s="18" t="s">
        <v>131</v>
      </c>
    </row>
    <row r="168" spans="3:8" ht="15.75" customHeight="1">
      <c r="C168" s="17">
        <f t="shared" si="13"/>
        <v>46154</v>
      </c>
      <c r="D168" s="18" t="s">
        <v>331</v>
      </c>
      <c r="E168" s="14" t="s">
        <v>51</v>
      </c>
      <c r="F168" s="18" t="s">
        <v>322</v>
      </c>
      <c r="G168" s="14" t="s">
        <v>332</v>
      </c>
      <c r="H168" s="18" t="s">
        <v>131</v>
      </c>
    </row>
    <row r="169" spans="3:8" ht="15.75" customHeight="1">
      <c r="C169" s="17">
        <f t="shared" si="13"/>
        <v>46154</v>
      </c>
      <c r="D169" s="18" t="s">
        <v>331</v>
      </c>
      <c r="E169" s="14" t="s">
        <v>133</v>
      </c>
      <c r="F169" s="18" t="s">
        <v>322</v>
      </c>
      <c r="G169" s="14" t="s">
        <v>333</v>
      </c>
      <c r="H169" s="18" t="s">
        <v>54</v>
      </c>
    </row>
    <row r="170" spans="3:8" ht="15.75" customHeight="1">
      <c r="C170" s="17">
        <f t="shared" si="13"/>
        <v>46154</v>
      </c>
      <c r="D170" s="14" t="s">
        <v>65</v>
      </c>
      <c r="E170" s="14" t="s">
        <v>334</v>
      </c>
      <c r="F170" s="14" t="s">
        <v>209</v>
      </c>
      <c r="G170" s="14" t="s">
        <v>335</v>
      </c>
      <c r="H170" s="18" t="s">
        <v>114</v>
      </c>
    </row>
    <row r="171" spans="3:8" ht="15.75" customHeight="1">
      <c r="C171" s="17">
        <f t="shared" si="13"/>
        <v>46154</v>
      </c>
      <c r="D171" s="14" t="s">
        <v>310</v>
      </c>
      <c r="E171" s="14" t="s">
        <v>336</v>
      </c>
      <c r="F171" s="14" t="s">
        <v>209</v>
      </c>
      <c r="G171" s="14" t="s">
        <v>337</v>
      </c>
      <c r="H171" s="14" t="s">
        <v>64</v>
      </c>
    </row>
    <row r="172" spans="3:8" ht="15.75" customHeight="1">
      <c r="C172" s="13">
        <v>46155</v>
      </c>
      <c r="D172" s="18" t="s">
        <v>338</v>
      </c>
      <c r="E172" s="18" t="s">
        <v>209</v>
      </c>
      <c r="F172" s="18" t="s">
        <v>339</v>
      </c>
      <c r="G172" s="18" t="s">
        <v>340</v>
      </c>
      <c r="H172" s="18" t="s">
        <v>64</v>
      </c>
    </row>
    <row r="173" spans="3:8" ht="15.75" customHeight="1">
      <c r="C173" s="17">
        <f t="shared" ref="C173:C175" si="14">C172</f>
        <v>46155</v>
      </c>
      <c r="D173" s="18" t="s">
        <v>65</v>
      </c>
      <c r="E173" s="14" t="s">
        <v>209</v>
      </c>
      <c r="F173" s="18" t="s">
        <v>341</v>
      </c>
      <c r="G173" s="14" t="s">
        <v>342</v>
      </c>
      <c r="H173" s="14" t="s">
        <v>343</v>
      </c>
    </row>
    <row r="174" spans="3:8" ht="15.75" customHeight="1">
      <c r="C174" s="17">
        <f t="shared" si="14"/>
        <v>46155</v>
      </c>
      <c r="D174" s="18" t="s">
        <v>44</v>
      </c>
      <c r="E174" s="14" t="s">
        <v>209</v>
      </c>
      <c r="F174" s="18" t="s">
        <v>344</v>
      </c>
      <c r="G174" s="14" t="s">
        <v>345</v>
      </c>
      <c r="H174" s="14" t="s">
        <v>343</v>
      </c>
    </row>
    <row r="175" spans="3:8" ht="15.75" customHeight="1">
      <c r="C175" s="17">
        <f t="shared" si="14"/>
        <v>46155</v>
      </c>
      <c r="D175" s="21" t="s">
        <v>346</v>
      </c>
      <c r="E175" s="14" t="s">
        <v>347</v>
      </c>
      <c r="F175" s="18" t="s">
        <v>336</v>
      </c>
      <c r="G175" s="14" t="s">
        <v>348</v>
      </c>
      <c r="H175" s="14" t="s">
        <v>64</v>
      </c>
    </row>
    <row r="176" spans="3:8" ht="15.75" customHeight="1">
      <c r="C176" s="13">
        <v>46156</v>
      </c>
      <c r="D176" s="18" t="s">
        <v>349</v>
      </c>
      <c r="E176" s="18" t="s">
        <v>221</v>
      </c>
      <c r="F176" s="18" t="s">
        <v>350</v>
      </c>
      <c r="G176" s="21" t="s">
        <v>351</v>
      </c>
      <c r="H176" s="18" t="s">
        <v>114</v>
      </c>
    </row>
    <row r="177" spans="3:8" ht="15.75" customHeight="1">
      <c r="C177" s="17">
        <f t="shared" ref="C177:C190" si="15">C176</f>
        <v>46156</v>
      </c>
      <c r="D177" s="14" t="s">
        <v>352</v>
      </c>
      <c r="E177" s="14" t="s">
        <v>83</v>
      </c>
      <c r="F177" s="18" t="s">
        <v>350</v>
      </c>
      <c r="G177" s="18" t="s">
        <v>353</v>
      </c>
      <c r="H177" s="14" t="s">
        <v>26</v>
      </c>
    </row>
    <row r="178" spans="3:8" ht="15.75" customHeight="1">
      <c r="C178" s="17">
        <f t="shared" si="15"/>
        <v>46156</v>
      </c>
      <c r="D178" s="14" t="s">
        <v>354</v>
      </c>
      <c r="E178" s="14" t="s">
        <v>355</v>
      </c>
      <c r="F178" s="18" t="s">
        <v>350</v>
      </c>
      <c r="G178" s="14" t="s">
        <v>356</v>
      </c>
      <c r="H178" s="14" t="s">
        <v>152</v>
      </c>
    </row>
    <row r="179" spans="3:8" ht="15.75" customHeight="1">
      <c r="C179" s="17">
        <f t="shared" si="15"/>
        <v>46156</v>
      </c>
      <c r="D179" s="14" t="s">
        <v>357</v>
      </c>
      <c r="E179" s="14" t="s">
        <v>358</v>
      </c>
      <c r="F179" s="18" t="s">
        <v>350</v>
      </c>
      <c r="G179" s="14" t="s">
        <v>359</v>
      </c>
      <c r="H179" s="14" t="s">
        <v>114</v>
      </c>
    </row>
    <row r="180" spans="3:8" ht="15.75" customHeight="1">
      <c r="C180" s="17">
        <f t="shared" si="15"/>
        <v>46156</v>
      </c>
      <c r="D180" s="14" t="s">
        <v>360</v>
      </c>
      <c r="E180" s="14" t="s">
        <v>361</v>
      </c>
      <c r="F180" s="18" t="s">
        <v>350</v>
      </c>
      <c r="G180" s="14" t="s">
        <v>362</v>
      </c>
      <c r="H180" s="14" t="s">
        <v>26</v>
      </c>
    </row>
    <row r="181" spans="3:8" ht="15.75" customHeight="1">
      <c r="C181" s="17">
        <f t="shared" si="15"/>
        <v>46156</v>
      </c>
      <c r="D181" s="14" t="s">
        <v>363</v>
      </c>
      <c r="E181" s="14" t="s">
        <v>339</v>
      </c>
      <c r="F181" s="18" t="s">
        <v>350</v>
      </c>
      <c r="G181" s="14" t="s">
        <v>364</v>
      </c>
      <c r="H181" s="14" t="s">
        <v>114</v>
      </c>
    </row>
    <row r="182" spans="3:8" ht="15.75" customHeight="1">
      <c r="C182" s="17">
        <f t="shared" si="15"/>
        <v>46156</v>
      </c>
      <c r="D182" s="14" t="s">
        <v>65</v>
      </c>
      <c r="E182" s="14" t="s">
        <v>87</v>
      </c>
      <c r="F182" s="18" t="s">
        <v>350</v>
      </c>
      <c r="G182" s="14" t="s">
        <v>365</v>
      </c>
      <c r="H182" s="14" t="s">
        <v>114</v>
      </c>
    </row>
    <row r="183" spans="3:8" ht="15.75" customHeight="1">
      <c r="C183" s="17">
        <f t="shared" si="15"/>
        <v>46156</v>
      </c>
      <c r="D183" s="14" t="s">
        <v>366</v>
      </c>
      <c r="E183" s="14" t="s">
        <v>33</v>
      </c>
      <c r="F183" s="18" t="s">
        <v>350</v>
      </c>
      <c r="G183" s="14" t="s">
        <v>367</v>
      </c>
      <c r="H183" s="14" t="s">
        <v>114</v>
      </c>
    </row>
    <row r="184" spans="3:8" ht="15.75" customHeight="1">
      <c r="C184" s="17">
        <f t="shared" si="15"/>
        <v>46156</v>
      </c>
      <c r="D184" s="14" t="s">
        <v>368</v>
      </c>
      <c r="E184" s="14" t="s">
        <v>369</v>
      </c>
      <c r="F184" s="18" t="s">
        <v>350</v>
      </c>
      <c r="G184" s="20" t="s">
        <v>370</v>
      </c>
      <c r="H184" s="14" t="s">
        <v>114</v>
      </c>
    </row>
    <row r="185" spans="3:8" ht="15.75" customHeight="1">
      <c r="C185" s="17">
        <f t="shared" si="15"/>
        <v>46156</v>
      </c>
      <c r="D185" s="14" t="s">
        <v>371</v>
      </c>
      <c r="E185" s="14" t="s">
        <v>339</v>
      </c>
      <c r="F185" s="18" t="s">
        <v>350</v>
      </c>
      <c r="G185" s="14" t="s">
        <v>372</v>
      </c>
      <c r="H185" s="14" t="s">
        <v>26</v>
      </c>
    </row>
    <row r="186" spans="3:8" ht="15.75" customHeight="1">
      <c r="C186" s="17">
        <f t="shared" si="15"/>
        <v>46156</v>
      </c>
      <c r="D186" s="14" t="s">
        <v>373</v>
      </c>
      <c r="E186" s="14" t="s">
        <v>339</v>
      </c>
      <c r="F186" s="18" t="s">
        <v>350</v>
      </c>
      <c r="G186" s="14" t="s">
        <v>374</v>
      </c>
      <c r="H186" s="14" t="s">
        <v>26</v>
      </c>
    </row>
    <row r="187" spans="3:8" ht="15.75" customHeight="1">
      <c r="C187" s="17">
        <f t="shared" si="15"/>
        <v>46156</v>
      </c>
      <c r="D187" s="14" t="s">
        <v>375</v>
      </c>
      <c r="E187" s="14" t="s">
        <v>376</v>
      </c>
      <c r="F187" s="18" t="s">
        <v>350</v>
      </c>
      <c r="G187" s="14" t="s">
        <v>377</v>
      </c>
      <c r="H187" s="14" t="s">
        <v>26</v>
      </c>
    </row>
    <row r="188" spans="3:8" ht="15.75" customHeight="1">
      <c r="C188" s="17">
        <f t="shared" si="15"/>
        <v>46156</v>
      </c>
      <c r="D188" s="14" t="s">
        <v>65</v>
      </c>
      <c r="E188" s="14" t="s">
        <v>77</v>
      </c>
      <c r="F188" s="18" t="s">
        <v>350</v>
      </c>
      <c r="G188" s="20" t="s">
        <v>378</v>
      </c>
      <c r="H188" s="14" t="s">
        <v>114</v>
      </c>
    </row>
    <row r="189" spans="3:8" ht="15.75" customHeight="1">
      <c r="C189" s="17">
        <f t="shared" si="15"/>
        <v>46156</v>
      </c>
      <c r="D189" s="14" t="s">
        <v>65</v>
      </c>
      <c r="E189" s="14" t="s">
        <v>379</v>
      </c>
      <c r="F189" s="18" t="s">
        <v>350</v>
      </c>
      <c r="G189" s="14" t="s">
        <v>380</v>
      </c>
      <c r="H189" s="14" t="s">
        <v>114</v>
      </c>
    </row>
    <row r="190" spans="3:8" ht="15.75" customHeight="1">
      <c r="C190" s="17">
        <f t="shared" si="15"/>
        <v>46156</v>
      </c>
      <c r="D190" s="14" t="s">
        <v>381</v>
      </c>
      <c r="E190" s="14" t="s">
        <v>339</v>
      </c>
      <c r="F190" s="18" t="s">
        <v>350</v>
      </c>
      <c r="G190" s="20" t="s">
        <v>382</v>
      </c>
      <c r="H190" s="14" t="s">
        <v>26</v>
      </c>
    </row>
    <row r="191" spans="3:8" ht="15.75" customHeight="1">
      <c r="C191" s="13">
        <v>46157</v>
      </c>
      <c r="D191" s="18" t="s">
        <v>383</v>
      </c>
      <c r="E191" s="14" t="s">
        <v>33</v>
      </c>
      <c r="F191" s="18" t="s">
        <v>384</v>
      </c>
      <c r="G191" s="18" t="s">
        <v>385</v>
      </c>
      <c r="H191" s="18" t="s">
        <v>386</v>
      </c>
    </row>
    <row r="192" spans="3:8" ht="15.75" customHeight="1">
      <c r="C192" s="17">
        <f t="shared" ref="C192:C219" si="16">C191</f>
        <v>46157</v>
      </c>
      <c r="D192" s="14" t="s">
        <v>387</v>
      </c>
      <c r="E192" s="21" t="s">
        <v>100</v>
      </c>
      <c r="F192" s="18" t="s">
        <v>384</v>
      </c>
      <c r="G192" s="14" t="s">
        <v>388</v>
      </c>
      <c r="H192" s="14" t="s">
        <v>386</v>
      </c>
    </row>
    <row r="193" spans="3:8" ht="15.75" customHeight="1">
      <c r="C193" s="17">
        <f t="shared" si="16"/>
        <v>46157</v>
      </c>
      <c r="D193" s="14" t="s">
        <v>383</v>
      </c>
      <c r="E193" s="14" t="s">
        <v>339</v>
      </c>
      <c r="F193" s="18" t="s">
        <v>384</v>
      </c>
      <c r="G193" s="14" t="s">
        <v>389</v>
      </c>
      <c r="H193" s="14" t="s">
        <v>386</v>
      </c>
    </row>
    <row r="194" spans="3:8" ht="15.75" customHeight="1">
      <c r="C194" s="17">
        <f t="shared" si="16"/>
        <v>46157</v>
      </c>
      <c r="D194" s="14" t="s">
        <v>390</v>
      </c>
      <c r="E194" s="14" t="s">
        <v>33</v>
      </c>
      <c r="F194" s="18" t="s">
        <v>384</v>
      </c>
      <c r="G194" s="14" t="s">
        <v>391</v>
      </c>
      <c r="H194" s="14" t="s">
        <v>26</v>
      </c>
    </row>
    <row r="195" spans="3:8" ht="15.75" customHeight="1">
      <c r="C195" s="17">
        <f t="shared" si="16"/>
        <v>46157</v>
      </c>
      <c r="D195" s="14" t="s">
        <v>383</v>
      </c>
      <c r="E195" s="14" t="s">
        <v>149</v>
      </c>
      <c r="F195" s="18" t="s">
        <v>384</v>
      </c>
      <c r="G195" s="20" t="s">
        <v>392</v>
      </c>
      <c r="H195" s="14" t="s">
        <v>103</v>
      </c>
    </row>
    <row r="196" spans="3:8" ht="15.75" customHeight="1">
      <c r="C196" s="17">
        <f t="shared" si="16"/>
        <v>46157</v>
      </c>
      <c r="D196" s="14" t="s">
        <v>65</v>
      </c>
      <c r="E196" s="14" t="s">
        <v>339</v>
      </c>
      <c r="F196" s="18" t="s">
        <v>384</v>
      </c>
      <c r="G196" s="14" t="s">
        <v>393</v>
      </c>
      <c r="H196" s="14" t="s">
        <v>54</v>
      </c>
    </row>
    <row r="197" spans="3:8" ht="15.75" customHeight="1">
      <c r="C197" s="17">
        <f t="shared" si="16"/>
        <v>46157</v>
      </c>
      <c r="D197" s="14" t="s">
        <v>394</v>
      </c>
      <c r="E197" s="14" t="s">
        <v>149</v>
      </c>
      <c r="F197" s="18" t="s">
        <v>384</v>
      </c>
      <c r="G197" s="14" t="s">
        <v>395</v>
      </c>
      <c r="H197" s="14" t="s">
        <v>26</v>
      </c>
    </row>
    <row r="198" spans="3:8" ht="15.75" customHeight="1">
      <c r="C198" s="17">
        <f t="shared" si="16"/>
        <v>46157</v>
      </c>
      <c r="D198" s="14" t="s">
        <v>65</v>
      </c>
      <c r="E198" s="14" t="s">
        <v>9</v>
      </c>
      <c r="F198" s="18" t="s">
        <v>384</v>
      </c>
      <c r="G198" s="14" t="s">
        <v>396</v>
      </c>
      <c r="H198" s="14" t="s">
        <v>386</v>
      </c>
    </row>
    <row r="199" spans="3:8" ht="15.75" customHeight="1">
      <c r="C199" s="17">
        <f t="shared" si="16"/>
        <v>46157</v>
      </c>
      <c r="D199" s="14" t="s">
        <v>397</v>
      </c>
      <c r="E199" s="14" t="s">
        <v>398</v>
      </c>
      <c r="F199" s="18" t="s">
        <v>384</v>
      </c>
      <c r="G199" s="14" t="s">
        <v>399</v>
      </c>
      <c r="H199" s="14" t="s">
        <v>26</v>
      </c>
    </row>
    <row r="200" spans="3:8" ht="15.75" customHeight="1">
      <c r="C200" s="17">
        <f t="shared" si="16"/>
        <v>46157</v>
      </c>
      <c r="D200" s="14" t="s">
        <v>400</v>
      </c>
      <c r="E200" s="14" t="s">
        <v>398</v>
      </c>
      <c r="F200" s="18" t="s">
        <v>384</v>
      </c>
      <c r="G200" s="14" t="s">
        <v>401</v>
      </c>
      <c r="H200" s="14" t="s">
        <v>386</v>
      </c>
    </row>
    <row r="201" spans="3:8" ht="15.75" customHeight="1">
      <c r="C201" s="17">
        <f t="shared" si="16"/>
        <v>46157</v>
      </c>
      <c r="D201" s="14" t="s">
        <v>402</v>
      </c>
      <c r="E201" s="14" t="s">
        <v>403</v>
      </c>
      <c r="F201" s="18" t="s">
        <v>384</v>
      </c>
      <c r="G201" s="14" t="s">
        <v>404</v>
      </c>
      <c r="H201" s="14" t="s">
        <v>26</v>
      </c>
    </row>
    <row r="202" spans="3:8" ht="15.75" customHeight="1">
      <c r="C202" s="17">
        <f t="shared" si="16"/>
        <v>46157</v>
      </c>
      <c r="D202" s="14" t="s">
        <v>405</v>
      </c>
      <c r="E202" s="14" t="s">
        <v>406</v>
      </c>
      <c r="F202" s="18" t="s">
        <v>384</v>
      </c>
      <c r="G202" s="14" t="s">
        <v>407</v>
      </c>
      <c r="H202" s="14" t="s">
        <v>386</v>
      </c>
    </row>
    <row r="203" spans="3:8" ht="15.75" customHeight="1">
      <c r="C203" s="17">
        <f t="shared" si="16"/>
        <v>46157</v>
      </c>
      <c r="D203" s="14" t="s">
        <v>408</v>
      </c>
      <c r="E203" s="14" t="s">
        <v>409</v>
      </c>
      <c r="F203" s="18" t="s">
        <v>384</v>
      </c>
      <c r="G203" s="14" t="s">
        <v>410</v>
      </c>
      <c r="H203" s="14" t="s">
        <v>86</v>
      </c>
    </row>
    <row r="204" spans="3:8" ht="15.75" customHeight="1">
      <c r="C204" s="17">
        <f t="shared" si="16"/>
        <v>46157</v>
      </c>
      <c r="D204" s="14" t="s">
        <v>405</v>
      </c>
      <c r="E204" s="14" t="s">
        <v>33</v>
      </c>
      <c r="F204" s="18" t="s">
        <v>384</v>
      </c>
      <c r="G204" s="14" t="s">
        <v>411</v>
      </c>
      <c r="H204" s="14" t="s">
        <v>386</v>
      </c>
    </row>
    <row r="205" spans="3:8" ht="15.75" customHeight="1">
      <c r="C205" s="17">
        <f t="shared" si="16"/>
        <v>46157</v>
      </c>
      <c r="D205" s="14" t="s">
        <v>412</v>
      </c>
      <c r="E205" s="14" t="s">
        <v>409</v>
      </c>
      <c r="F205" s="18" t="s">
        <v>384</v>
      </c>
      <c r="G205" s="14" t="s">
        <v>413</v>
      </c>
      <c r="H205" s="14" t="s">
        <v>26</v>
      </c>
    </row>
    <row r="206" spans="3:8" ht="15.75" customHeight="1">
      <c r="C206" s="17">
        <f t="shared" si="16"/>
        <v>46157</v>
      </c>
      <c r="D206" s="14" t="s">
        <v>414</v>
      </c>
      <c r="E206" s="14" t="s">
        <v>33</v>
      </c>
      <c r="F206" s="18" t="s">
        <v>384</v>
      </c>
      <c r="G206" s="14" t="s">
        <v>415</v>
      </c>
      <c r="H206" s="14" t="s">
        <v>86</v>
      </c>
    </row>
    <row r="207" spans="3:8" ht="15.75" customHeight="1">
      <c r="C207" s="17">
        <f t="shared" si="16"/>
        <v>46157</v>
      </c>
      <c r="D207" s="14" t="s">
        <v>416</v>
      </c>
      <c r="E207" s="14" t="s">
        <v>339</v>
      </c>
      <c r="F207" s="18" t="s">
        <v>384</v>
      </c>
      <c r="G207" s="14" t="s">
        <v>417</v>
      </c>
      <c r="H207" s="14" t="s">
        <v>26</v>
      </c>
    </row>
    <row r="208" spans="3:8" ht="15.75" customHeight="1">
      <c r="C208" s="17">
        <f t="shared" si="16"/>
        <v>46157</v>
      </c>
      <c r="D208" s="14" t="s">
        <v>405</v>
      </c>
      <c r="E208" s="14" t="s">
        <v>339</v>
      </c>
      <c r="F208" s="18" t="s">
        <v>384</v>
      </c>
      <c r="G208" s="14" t="s">
        <v>418</v>
      </c>
      <c r="H208" s="14" t="s">
        <v>54</v>
      </c>
    </row>
    <row r="209" spans="3:8" ht="15.75" customHeight="1">
      <c r="C209" s="17">
        <f t="shared" si="16"/>
        <v>46157</v>
      </c>
      <c r="D209" s="14" t="s">
        <v>414</v>
      </c>
      <c r="E209" s="14" t="s">
        <v>33</v>
      </c>
      <c r="F209" s="18" t="s">
        <v>384</v>
      </c>
      <c r="G209" s="14" t="s">
        <v>419</v>
      </c>
      <c r="H209" s="14" t="s">
        <v>20</v>
      </c>
    </row>
    <row r="210" spans="3:8" ht="15.75" customHeight="1">
      <c r="C210" s="17">
        <f t="shared" si="16"/>
        <v>46157</v>
      </c>
      <c r="D210" s="14" t="s">
        <v>65</v>
      </c>
      <c r="E210" s="14" t="s">
        <v>339</v>
      </c>
      <c r="F210" s="18" t="s">
        <v>384</v>
      </c>
      <c r="G210" s="20" t="s">
        <v>420</v>
      </c>
      <c r="H210" s="14" t="s">
        <v>54</v>
      </c>
    </row>
    <row r="211" spans="3:8" ht="15.75" customHeight="1">
      <c r="C211" s="17">
        <f t="shared" si="16"/>
        <v>46157</v>
      </c>
      <c r="D211" s="14" t="s">
        <v>405</v>
      </c>
      <c r="E211" s="14" t="s">
        <v>339</v>
      </c>
      <c r="F211" s="18" t="s">
        <v>384</v>
      </c>
      <c r="G211" s="20" t="s">
        <v>421</v>
      </c>
      <c r="H211" s="14" t="s">
        <v>20</v>
      </c>
    </row>
    <row r="212" spans="3:8" ht="15.75" customHeight="1">
      <c r="C212" s="17">
        <f t="shared" si="16"/>
        <v>46157</v>
      </c>
      <c r="D212" s="14" t="s">
        <v>405</v>
      </c>
      <c r="E212" s="14" t="s">
        <v>398</v>
      </c>
      <c r="F212" s="18" t="s">
        <v>384</v>
      </c>
      <c r="G212" s="14" t="s">
        <v>422</v>
      </c>
      <c r="H212" s="14" t="s">
        <v>20</v>
      </c>
    </row>
    <row r="213" spans="3:8" ht="15.75" customHeight="1">
      <c r="C213" s="17">
        <f t="shared" si="16"/>
        <v>46157</v>
      </c>
      <c r="D213" s="14" t="s">
        <v>423</v>
      </c>
      <c r="E213" s="14" t="s">
        <v>424</v>
      </c>
      <c r="F213" s="18" t="s">
        <v>384</v>
      </c>
      <c r="G213" s="20" t="s">
        <v>425</v>
      </c>
      <c r="H213" s="14" t="s">
        <v>26</v>
      </c>
    </row>
    <row r="214" spans="3:8" ht="15.75" customHeight="1">
      <c r="C214" s="17">
        <f t="shared" si="16"/>
        <v>46157</v>
      </c>
      <c r="D214" s="14" t="s">
        <v>426</v>
      </c>
      <c r="E214" s="14" t="s">
        <v>427</v>
      </c>
      <c r="F214" s="18" t="s">
        <v>384</v>
      </c>
      <c r="G214" s="20" t="s">
        <v>428</v>
      </c>
      <c r="H214" s="14" t="s">
        <v>26</v>
      </c>
    </row>
    <row r="215" spans="3:8" ht="15.75" customHeight="1">
      <c r="C215" s="17">
        <f t="shared" si="16"/>
        <v>46157</v>
      </c>
      <c r="D215" s="14" t="s">
        <v>65</v>
      </c>
      <c r="E215" s="14" t="s">
        <v>33</v>
      </c>
      <c r="F215" s="18" t="s">
        <v>429</v>
      </c>
      <c r="G215" s="14" t="s">
        <v>430</v>
      </c>
      <c r="H215" s="14" t="s">
        <v>431</v>
      </c>
    </row>
    <row r="216" spans="3:8" ht="15.75" customHeight="1">
      <c r="C216" s="17">
        <f t="shared" si="16"/>
        <v>46157</v>
      </c>
      <c r="D216" s="14" t="s">
        <v>201</v>
      </c>
      <c r="E216" s="14" t="s">
        <v>87</v>
      </c>
      <c r="F216" s="18" t="s">
        <v>429</v>
      </c>
      <c r="G216" s="14" t="s">
        <v>432</v>
      </c>
      <c r="H216" s="14" t="s">
        <v>64</v>
      </c>
    </row>
    <row r="217" spans="3:8" ht="15.75" customHeight="1">
      <c r="C217" s="17">
        <f t="shared" si="16"/>
        <v>46157</v>
      </c>
      <c r="D217" s="14" t="s">
        <v>433</v>
      </c>
      <c r="E217" s="14" t="s">
        <v>33</v>
      </c>
      <c r="F217" s="18" t="s">
        <v>429</v>
      </c>
      <c r="G217" s="14" t="s">
        <v>434</v>
      </c>
      <c r="H217" s="14" t="s">
        <v>43</v>
      </c>
    </row>
    <row r="218" spans="3:8" ht="15.75" customHeight="1">
      <c r="C218" s="17">
        <f t="shared" si="16"/>
        <v>46157</v>
      </c>
      <c r="D218" s="14" t="s">
        <v>435</v>
      </c>
      <c r="E218" s="14" t="s">
        <v>436</v>
      </c>
      <c r="F218" s="14" t="s">
        <v>429</v>
      </c>
      <c r="G218" s="14" t="s">
        <v>437</v>
      </c>
      <c r="H218" s="14" t="s">
        <v>64</v>
      </c>
    </row>
    <row r="219" spans="3:8" ht="15.75" customHeight="1">
      <c r="C219" s="17">
        <f t="shared" si="16"/>
        <v>46157</v>
      </c>
      <c r="D219" s="14" t="s">
        <v>65</v>
      </c>
      <c r="E219" s="14" t="s">
        <v>30</v>
      </c>
      <c r="F219" s="14" t="s">
        <v>429</v>
      </c>
      <c r="G219" s="14" t="s">
        <v>438</v>
      </c>
      <c r="H219" s="14" t="s">
        <v>20</v>
      </c>
    </row>
    <row r="220" spans="3:8" ht="15.75" customHeight="1">
      <c r="C220" s="13">
        <v>46158</v>
      </c>
      <c r="D220" s="18" t="s">
        <v>44</v>
      </c>
      <c r="E220" s="18" t="s">
        <v>72</v>
      </c>
      <c r="F220" s="18" t="s">
        <v>439</v>
      </c>
      <c r="G220" s="18" t="s">
        <v>440</v>
      </c>
      <c r="H220" s="18" t="s">
        <v>20</v>
      </c>
    </row>
    <row r="221" spans="3:8" ht="15.75" customHeight="1">
      <c r="C221" s="17">
        <f t="shared" ref="C221:C237" si="17">C220</f>
        <v>46158</v>
      </c>
      <c r="D221" s="18" t="s">
        <v>441</v>
      </c>
      <c r="E221" s="14" t="s">
        <v>442</v>
      </c>
      <c r="F221" s="18" t="s">
        <v>439</v>
      </c>
      <c r="G221" s="14" t="s">
        <v>443</v>
      </c>
      <c r="H221" s="14" t="s">
        <v>20</v>
      </c>
    </row>
    <row r="222" spans="3:8" ht="15.75" customHeight="1">
      <c r="C222" s="17">
        <f t="shared" si="17"/>
        <v>46158</v>
      </c>
      <c r="D222" s="14" t="s">
        <v>444</v>
      </c>
      <c r="E222" s="14" t="s">
        <v>297</v>
      </c>
      <c r="F222" s="18" t="s">
        <v>439</v>
      </c>
      <c r="G222" s="20" t="s">
        <v>445</v>
      </c>
      <c r="H222" s="14" t="s">
        <v>20</v>
      </c>
    </row>
    <row r="223" spans="3:8" ht="15.75" customHeight="1">
      <c r="C223" s="17">
        <f t="shared" si="17"/>
        <v>46158</v>
      </c>
      <c r="D223" s="14" t="s">
        <v>47</v>
      </c>
      <c r="E223" s="14" t="s">
        <v>446</v>
      </c>
      <c r="F223" s="18" t="s">
        <v>439</v>
      </c>
      <c r="G223" s="14" t="s">
        <v>447</v>
      </c>
      <c r="H223" s="14" t="s">
        <v>43</v>
      </c>
    </row>
    <row r="224" spans="3:8" ht="15.75" customHeight="1">
      <c r="C224" s="17">
        <f t="shared" si="17"/>
        <v>46158</v>
      </c>
      <c r="D224" s="14" t="s">
        <v>448</v>
      </c>
      <c r="E224" s="14" t="s">
        <v>22</v>
      </c>
      <c r="F224" s="18" t="s">
        <v>439</v>
      </c>
      <c r="G224" s="22" t="s">
        <v>449</v>
      </c>
      <c r="H224" s="14" t="s">
        <v>103</v>
      </c>
    </row>
    <row r="225" spans="3:8" ht="15.75" customHeight="1">
      <c r="C225" s="17">
        <f t="shared" si="17"/>
        <v>46158</v>
      </c>
      <c r="D225" s="14" t="s">
        <v>47</v>
      </c>
      <c r="E225" s="14" t="s">
        <v>450</v>
      </c>
      <c r="F225" s="18" t="s">
        <v>439</v>
      </c>
      <c r="G225" s="14" t="s">
        <v>451</v>
      </c>
      <c r="H225" s="14" t="s">
        <v>43</v>
      </c>
    </row>
    <row r="226" spans="3:8" ht="15.75" customHeight="1">
      <c r="C226" s="17">
        <f t="shared" si="17"/>
        <v>46158</v>
      </c>
      <c r="D226" s="14" t="s">
        <v>452</v>
      </c>
      <c r="E226" s="14" t="s">
        <v>33</v>
      </c>
      <c r="F226" s="18" t="s">
        <v>439</v>
      </c>
      <c r="G226" s="14" t="s">
        <v>453</v>
      </c>
      <c r="H226" s="14" t="s">
        <v>43</v>
      </c>
    </row>
    <row r="227" spans="3:8" ht="15.75" customHeight="1">
      <c r="C227" s="17">
        <f t="shared" si="17"/>
        <v>46158</v>
      </c>
      <c r="D227" s="14" t="s">
        <v>47</v>
      </c>
      <c r="E227" s="14" t="s">
        <v>97</v>
      </c>
      <c r="F227" s="18" t="s">
        <v>439</v>
      </c>
      <c r="G227" s="14" t="s">
        <v>454</v>
      </c>
      <c r="H227" s="14" t="s">
        <v>43</v>
      </c>
    </row>
    <row r="228" spans="3:8" ht="15.75" customHeight="1">
      <c r="C228" s="17">
        <f t="shared" si="17"/>
        <v>46158</v>
      </c>
      <c r="D228" s="14" t="s">
        <v>47</v>
      </c>
      <c r="E228" s="14" t="s">
        <v>22</v>
      </c>
      <c r="F228" s="18" t="s">
        <v>439</v>
      </c>
      <c r="G228" s="14" t="s">
        <v>455</v>
      </c>
      <c r="H228" s="14" t="s">
        <v>43</v>
      </c>
    </row>
    <row r="229" spans="3:8" ht="15.75" customHeight="1">
      <c r="C229" s="17">
        <f t="shared" si="17"/>
        <v>46158</v>
      </c>
      <c r="D229" s="14" t="s">
        <v>456</v>
      </c>
      <c r="E229" s="14" t="s">
        <v>22</v>
      </c>
      <c r="F229" s="18" t="s">
        <v>439</v>
      </c>
      <c r="G229" s="14" t="s">
        <v>457</v>
      </c>
      <c r="H229" s="14" t="s">
        <v>111</v>
      </c>
    </row>
    <row r="230" spans="3:8" ht="15.75" customHeight="1">
      <c r="C230" s="17">
        <f t="shared" si="17"/>
        <v>46158</v>
      </c>
      <c r="D230" s="14" t="s">
        <v>44</v>
      </c>
      <c r="E230" s="14" t="s">
        <v>33</v>
      </c>
      <c r="F230" s="18" t="s">
        <v>439</v>
      </c>
      <c r="G230" s="20" t="s">
        <v>458</v>
      </c>
      <c r="H230" s="14" t="s">
        <v>111</v>
      </c>
    </row>
    <row r="231" spans="3:8" ht="15.75" customHeight="1">
      <c r="C231" s="17">
        <f t="shared" si="17"/>
        <v>46158</v>
      </c>
      <c r="D231" s="14" t="s">
        <v>452</v>
      </c>
      <c r="E231" s="21" t="s">
        <v>22</v>
      </c>
      <c r="F231" s="18" t="s">
        <v>439</v>
      </c>
      <c r="G231" s="20" t="s">
        <v>459</v>
      </c>
      <c r="H231" s="14" t="s">
        <v>43</v>
      </c>
    </row>
    <row r="232" spans="3:8" ht="15.75" customHeight="1">
      <c r="C232" s="17">
        <f t="shared" si="17"/>
        <v>46158</v>
      </c>
      <c r="D232" s="14" t="s">
        <v>47</v>
      </c>
      <c r="E232" s="14" t="s">
        <v>51</v>
      </c>
      <c r="F232" s="18" t="s">
        <v>439</v>
      </c>
      <c r="G232" s="14" t="s">
        <v>365</v>
      </c>
      <c r="H232" s="14" t="s">
        <v>43</v>
      </c>
    </row>
    <row r="233" spans="3:8" ht="15.75" customHeight="1">
      <c r="C233" s="17">
        <f t="shared" si="17"/>
        <v>46158</v>
      </c>
      <c r="D233" s="14" t="s">
        <v>460</v>
      </c>
      <c r="E233" s="14" t="s">
        <v>167</v>
      </c>
      <c r="F233" s="18" t="s">
        <v>439</v>
      </c>
      <c r="G233" s="14" t="s">
        <v>461</v>
      </c>
      <c r="H233" s="14" t="s">
        <v>43</v>
      </c>
    </row>
    <row r="234" spans="3:8" ht="15.75" customHeight="1">
      <c r="C234" s="17">
        <f t="shared" si="17"/>
        <v>46158</v>
      </c>
      <c r="D234" s="14" t="s">
        <v>44</v>
      </c>
      <c r="E234" s="14" t="s">
        <v>33</v>
      </c>
      <c r="F234" s="18" t="s">
        <v>439</v>
      </c>
      <c r="G234" s="14" t="s">
        <v>462</v>
      </c>
      <c r="H234" s="14" t="s">
        <v>86</v>
      </c>
    </row>
    <row r="235" spans="3:8" ht="15.75" customHeight="1">
      <c r="C235" s="17">
        <f t="shared" si="17"/>
        <v>46158</v>
      </c>
      <c r="D235" s="14" t="s">
        <v>47</v>
      </c>
      <c r="E235" s="14" t="s">
        <v>463</v>
      </c>
      <c r="F235" s="18" t="s">
        <v>439</v>
      </c>
      <c r="G235" s="14" t="s">
        <v>464</v>
      </c>
      <c r="H235" s="14" t="s">
        <v>20</v>
      </c>
    </row>
    <row r="236" spans="3:8" ht="15.75" customHeight="1">
      <c r="C236" s="17">
        <f t="shared" si="17"/>
        <v>46158</v>
      </c>
      <c r="D236" s="14" t="s">
        <v>201</v>
      </c>
      <c r="E236" s="14" t="s">
        <v>51</v>
      </c>
      <c r="F236" s="18" t="s">
        <v>465</v>
      </c>
      <c r="G236" s="14" t="s">
        <v>214</v>
      </c>
      <c r="H236" s="14" t="s">
        <v>43</v>
      </c>
    </row>
    <row r="237" spans="3:8" ht="15.75" customHeight="1">
      <c r="C237" s="17">
        <f t="shared" si="17"/>
        <v>46158</v>
      </c>
      <c r="D237" s="14" t="s">
        <v>466</v>
      </c>
      <c r="E237" s="14" t="s">
        <v>112</v>
      </c>
      <c r="F237" s="18" t="s">
        <v>465</v>
      </c>
      <c r="G237" s="14" t="s">
        <v>467</v>
      </c>
      <c r="H237" s="14" t="s">
        <v>64</v>
      </c>
    </row>
    <row r="238" spans="3:8" ht="15.75" customHeight="1">
      <c r="C238" s="13">
        <v>46159</v>
      </c>
      <c r="D238" s="14" t="s">
        <v>468</v>
      </c>
      <c r="E238" s="14" t="s">
        <v>316</v>
      </c>
      <c r="F238" s="14" t="s">
        <v>469</v>
      </c>
      <c r="G238" s="14" t="s">
        <v>470</v>
      </c>
      <c r="H238" s="14" t="s">
        <v>20</v>
      </c>
    </row>
    <row r="239" spans="3:8" ht="15.75" customHeight="1">
      <c r="C239" s="17">
        <f t="shared" ref="C239:C257" si="18">C238</f>
        <v>46159</v>
      </c>
      <c r="D239" s="14" t="s">
        <v>471</v>
      </c>
      <c r="E239" s="14" t="s">
        <v>33</v>
      </c>
      <c r="F239" s="14" t="s">
        <v>469</v>
      </c>
      <c r="G239" s="14" t="s">
        <v>472</v>
      </c>
      <c r="H239" s="14" t="s">
        <v>20</v>
      </c>
    </row>
    <row r="240" spans="3:8" ht="15.75" customHeight="1">
      <c r="C240" s="17">
        <f t="shared" si="18"/>
        <v>46159</v>
      </c>
      <c r="D240" s="14" t="s">
        <v>65</v>
      </c>
      <c r="E240" s="14" t="s">
        <v>87</v>
      </c>
      <c r="F240" s="14" t="s">
        <v>469</v>
      </c>
      <c r="G240" s="14" t="s">
        <v>473</v>
      </c>
      <c r="H240" s="14" t="s">
        <v>20</v>
      </c>
    </row>
    <row r="241" spans="3:8" ht="15.75" customHeight="1">
      <c r="C241" s="17">
        <f t="shared" si="18"/>
        <v>46159</v>
      </c>
      <c r="D241" s="14" t="s">
        <v>405</v>
      </c>
      <c r="E241" s="14" t="s">
        <v>87</v>
      </c>
      <c r="F241" s="14" t="s">
        <v>469</v>
      </c>
      <c r="G241" s="14" t="s">
        <v>245</v>
      </c>
      <c r="H241" s="14" t="s">
        <v>20</v>
      </c>
    </row>
    <row r="242" spans="3:8" ht="15.75" customHeight="1">
      <c r="C242" s="17">
        <f t="shared" si="18"/>
        <v>46159</v>
      </c>
      <c r="D242" s="14" t="s">
        <v>474</v>
      </c>
      <c r="E242" s="14" t="s">
        <v>339</v>
      </c>
      <c r="F242" s="14" t="s">
        <v>469</v>
      </c>
      <c r="G242" s="14" t="s">
        <v>475</v>
      </c>
      <c r="H242" s="14" t="s">
        <v>152</v>
      </c>
    </row>
    <row r="243" spans="3:8" ht="15.75" customHeight="1">
      <c r="C243" s="17">
        <f t="shared" si="18"/>
        <v>46159</v>
      </c>
      <c r="D243" s="14" t="s">
        <v>405</v>
      </c>
      <c r="E243" s="14" t="s">
        <v>339</v>
      </c>
      <c r="F243" s="14" t="s">
        <v>469</v>
      </c>
      <c r="G243" s="14" t="s">
        <v>476</v>
      </c>
      <c r="H243" s="14" t="s">
        <v>20</v>
      </c>
    </row>
    <row r="244" spans="3:8" ht="15.75" customHeight="1">
      <c r="C244" s="17">
        <f t="shared" si="18"/>
        <v>46159</v>
      </c>
      <c r="D244" s="14" t="s">
        <v>477</v>
      </c>
      <c r="E244" s="14" t="s">
        <v>478</v>
      </c>
      <c r="F244" s="14" t="s">
        <v>469</v>
      </c>
      <c r="G244" s="14" t="s">
        <v>479</v>
      </c>
      <c r="H244" s="14" t="s">
        <v>86</v>
      </c>
    </row>
    <row r="245" spans="3:8" ht="15.75" customHeight="1">
      <c r="C245" s="17">
        <f t="shared" si="18"/>
        <v>46159</v>
      </c>
      <c r="D245" s="14" t="s">
        <v>405</v>
      </c>
      <c r="E245" s="14" t="s">
        <v>9</v>
      </c>
      <c r="F245" s="14" t="s">
        <v>469</v>
      </c>
      <c r="G245" s="14" t="s">
        <v>480</v>
      </c>
      <c r="H245" s="14" t="s">
        <v>86</v>
      </c>
    </row>
    <row r="246" spans="3:8" ht="15.75" customHeight="1">
      <c r="C246" s="17">
        <f t="shared" si="18"/>
        <v>46159</v>
      </c>
      <c r="D246" s="14" t="s">
        <v>481</v>
      </c>
      <c r="E246" s="14" t="s">
        <v>339</v>
      </c>
      <c r="F246" s="14" t="s">
        <v>469</v>
      </c>
      <c r="G246" s="14" t="s">
        <v>482</v>
      </c>
      <c r="H246" s="14" t="s">
        <v>152</v>
      </c>
    </row>
    <row r="247" spans="3:8" ht="15.75" customHeight="1">
      <c r="C247" s="17">
        <f t="shared" si="18"/>
        <v>46159</v>
      </c>
      <c r="D247" s="14" t="s">
        <v>44</v>
      </c>
      <c r="E247" s="14" t="s">
        <v>478</v>
      </c>
      <c r="F247" s="14" t="s">
        <v>469</v>
      </c>
      <c r="G247" s="14" t="s">
        <v>483</v>
      </c>
      <c r="H247" s="14" t="s">
        <v>86</v>
      </c>
    </row>
    <row r="248" spans="3:8" ht="15.75" customHeight="1">
      <c r="C248" s="17">
        <f t="shared" si="18"/>
        <v>46159</v>
      </c>
      <c r="D248" s="14" t="s">
        <v>44</v>
      </c>
      <c r="E248" s="14" t="s">
        <v>484</v>
      </c>
      <c r="F248" s="14" t="s">
        <v>469</v>
      </c>
      <c r="G248" s="23" t="s">
        <v>485</v>
      </c>
      <c r="H248" s="14" t="s">
        <v>86</v>
      </c>
    </row>
    <row r="249" spans="3:8" ht="15.75" customHeight="1">
      <c r="C249" s="17">
        <f t="shared" si="18"/>
        <v>46159</v>
      </c>
      <c r="D249" s="14" t="s">
        <v>486</v>
      </c>
      <c r="E249" s="14" t="s">
        <v>77</v>
      </c>
      <c r="F249" s="14" t="s">
        <v>469</v>
      </c>
      <c r="G249" s="14" t="s">
        <v>487</v>
      </c>
      <c r="H249" s="14" t="s">
        <v>20</v>
      </c>
    </row>
    <row r="250" spans="3:8" ht="15.75" customHeight="1">
      <c r="C250" s="17">
        <f t="shared" si="18"/>
        <v>46159</v>
      </c>
      <c r="D250" s="14" t="s">
        <v>488</v>
      </c>
      <c r="E250" s="14" t="s">
        <v>339</v>
      </c>
      <c r="F250" s="14" t="s">
        <v>469</v>
      </c>
      <c r="G250" s="14" t="s">
        <v>489</v>
      </c>
      <c r="H250" s="14" t="s">
        <v>152</v>
      </c>
    </row>
    <row r="251" spans="3:8" ht="15.75" customHeight="1">
      <c r="C251" s="17">
        <f t="shared" si="18"/>
        <v>46159</v>
      </c>
      <c r="D251" s="14" t="s">
        <v>490</v>
      </c>
      <c r="E251" s="14" t="s">
        <v>33</v>
      </c>
      <c r="F251" s="14" t="s">
        <v>469</v>
      </c>
      <c r="G251" s="14" t="s">
        <v>491</v>
      </c>
      <c r="H251" s="14" t="s">
        <v>86</v>
      </c>
    </row>
    <row r="252" spans="3:8" ht="15.75" customHeight="1">
      <c r="C252" s="17">
        <f t="shared" si="18"/>
        <v>46159</v>
      </c>
      <c r="D252" s="14" t="s">
        <v>44</v>
      </c>
      <c r="E252" s="14" t="s">
        <v>339</v>
      </c>
      <c r="F252" s="14" t="s">
        <v>469</v>
      </c>
      <c r="G252" s="14" t="s">
        <v>492</v>
      </c>
      <c r="H252" s="14" t="s">
        <v>20</v>
      </c>
    </row>
    <row r="253" spans="3:8" ht="15.75" customHeight="1">
      <c r="C253" s="17">
        <f t="shared" si="18"/>
        <v>46159</v>
      </c>
      <c r="D253" s="14" t="s">
        <v>44</v>
      </c>
      <c r="E253" s="14" t="s">
        <v>109</v>
      </c>
      <c r="F253" s="14" t="s">
        <v>469</v>
      </c>
      <c r="G253" s="14" t="s">
        <v>493</v>
      </c>
      <c r="H253" s="14" t="s">
        <v>54</v>
      </c>
    </row>
    <row r="254" spans="3:8" ht="15.75" customHeight="1">
      <c r="C254" s="17">
        <f t="shared" si="18"/>
        <v>46159</v>
      </c>
      <c r="D254" s="14" t="s">
        <v>494</v>
      </c>
      <c r="E254" s="14" t="s">
        <v>339</v>
      </c>
      <c r="F254" s="14" t="s">
        <v>118</v>
      </c>
      <c r="G254" s="14" t="s">
        <v>495</v>
      </c>
      <c r="H254" s="14" t="s">
        <v>496</v>
      </c>
    </row>
    <row r="255" spans="3:8" ht="15.75" customHeight="1">
      <c r="C255" s="17">
        <f t="shared" si="18"/>
        <v>46159</v>
      </c>
      <c r="D255" s="14" t="s">
        <v>497</v>
      </c>
      <c r="E255" s="14" t="s">
        <v>498</v>
      </c>
      <c r="F255" s="14" t="s">
        <v>118</v>
      </c>
      <c r="G255" s="14" t="s">
        <v>279</v>
      </c>
      <c r="H255" s="14" t="s">
        <v>43</v>
      </c>
    </row>
    <row r="256" spans="3:8" ht="15.75" customHeight="1">
      <c r="C256" s="17">
        <f t="shared" si="18"/>
        <v>46159</v>
      </c>
      <c r="D256" s="14" t="s">
        <v>499</v>
      </c>
      <c r="E256" s="14" t="s">
        <v>500</v>
      </c>
      <c r="F256" s="14" t="s">
        <v>118</v>
      </c>
      <c r="G256" s="14" t="s">
        <v>501</v>
      </c>
      <c r="H256" s="14" t="s">
        <v>43</v>
      </c>
    </row>
    <row r="257" spans="3:8" ht="15.75" customHeight="1">
      <c r="C257" s="17">
        <f t="shared" si="18"/>
        <v>46159</v>
      </c>
      <c r="D257" s="14" t="s">
        <v>502</v>
      </c>
      <c r="E257" s="14" t="s">
        <v>336</v>
      </c>
      <c r="F257" s="14" t="s">
        <v>118</v>
      </c>
      <c r="G257" s="14" t="s">
        <v>503</v>
      </c>
      <c r="H257" s="14" t="s">
        <v>43</v>
      </c>
    </row>
    <row r="258" spans="3:8" ht="15.75" customHeight="1">
      <c r="C258" s="13">
        <v>46161</v>
      </c>
      <c r="D258" s="18" t="s">
        <v>43</v>
      </c>
      <c r="E258" s="18" t="s">
        <v>504</v>
      </c>
      <c r="F258" s="18" t="s">
        <v>278</v>
      </c>
      <c r="G258" s="18" t="s">
        <v>505</v>
      </c>
      <c r="H258" s="18" t="s">
        <v>506</v>
      </c>
    </row>
    <row r="259" spans="3:8" ht="15.75" customHeight="1">
      <c r="C259" s="17">
        <f t="shared" ref="C259:C297" si="19">C258</f>
        <v>46161</v>
      </c>
      <c r="D259" s="14" t="s">
        <v>507</v>
      </c>
      <c r="E259" s="14" t="s">
        <v>376</v>
      </c>
      <c r="F259" s="14" t="s">
        <v>278</v>
      </c>
      <c r="G259" s="14" t="s">
        <v>508</v>
      </c>
      <c r="H259" s="14" t="s">
        <v>43</v>
      </c>
    </row>
    <row r="260" spans="3:8" ht="15.75" customHeight="1">
      <c r="C260" s="17">
        <f t="shared" si="19"/>
        <v>46161</v>
      </c>
      <c r="D260" s="14" t="s">
        <v>509</v>
      </c>
      <c r="E260" s="14" t="s">
        <v>83</v>
      </c>
      <c r="F260" s="14" t="s">
        <v>278</v>
      </c>
      <c r="G260" s="14" t="s">
        <v>510</v>
      </c>
      <c r="H260" s="14" t="s">
        <v>511</v>
      </c>
    </row>
    <row r="261" spans="3:8" ht="15.75" customHeight="1">
      <c r="C261" s="17">
        <f t="shared" si="19"/>
        <v>46161</v>
      </c>
      <c r="D261" s="14" t="s">
        <v>512</v>
      </c>
      <c r="E261" s="14" t="s">
        <v>22</v>
      </c>
      <c r="F261" s="14" t="s">
        <v>278</v>
      </c>
      <c r="G261" s="14" t="s">
        <v>513</v>
      </c>
      <c r="H261" s="14" t="s">
        <v>43</v>
      </c>
    </row>
    <row r="262" spans="3:8" ht="15.75" customHeight="1">
      <c r="C262" s="17">
        <f t="shared" si="19"/>
        <v>46161</v>
      </c>
      <c r="D262" s="14" t="s">
        <v>514</v>
      </c>
      <c r="E262" s="14" t="s">
        <v>398</v>
      </c>
      <c r="F262" s="14" t="s">
        <v>515</v>
      </c>
      <c r="G262" s="24" t="s">
        <v>516</v>
      </c>
      <c r="H262" s="14" t="s">
        <v>26</v>
      </c>
    </row>
    <row r="263" spans="3:8" ht="15.75" customHeight="1">
      <c r="C263" s="17">
        <f t="shared" si="19"/>
        <v>46161</v>
      </c>
      <c r="D263" s="14" t="s">
        <v>517</v>
      </c>
      <c r="E263" s="14" t="s">
        <v>83</v>
      </c>
      <c r="F263" s="14" t="s">
        <v>515</v>
      </c>
      <c r="G263" s="24" t="s">
        <v>518</v>
      </c>
      <c r="H263" s="14" t="s">
        <v>26</v>
      </c>
    </row>
    <row r="264" spans="3:8" ht="15.75" customHeight="1">
      <c r="C264" s="17">
        <f t="shared" si="19"/>
        <v>46161</v>
      </c>
      <c r="D264" s="14" t="s">
        <v>517</v>
      </c>
      <c r="E264" s="14" t="s">
        <v>22</v>
      </c>
      <c r="F264" s="14" t="s">
        <v>515</v>
      </c>
      <c r="G264" s="24" t="s">
        <v>519</v>
      </c>
      <c r="H264" s="14" t="s">
        <v>26</v>
      </c>
    </row>
    <row r="265" spans="3:8" ht="15.75" customHeight="1">
      <c r="C265" s="17">
        <f t="shared" si="19"/>
        <v>46161</v>
      </c>
      <c r="D265" s="14" t="s">
        <v>405</v>
      </c>
      <c r="E265" s="14" t="s">
        <v>398</v>
      </c>
      <c r="F265" s="14" t="s">
        <v>515</v>
      </c>
      <c r="G265" s="24" t="s">
        <v>520</v>
      </c>
      <c r="H265" s="14" t="s">
        <v>20</v>
      </c>
    </row>
    <row r="266" spans="3:8" ht="15.75" customHeight="1">
      <c r="C266" s="17">
        <f t="shared" si="19"/>
        <v>46161</v>
      </c>
      <c r="D266" s="14" t="s">
        <v>521</v>
      </c>
      <c r="E266" s="14" t="s">
        <v>30</v>
      </c>
      <c r="F266" s="14" t="s">
        <v>515</v>
      </c>
      <c r="G266" s="24" t="s">
        <v>522</v>
      </c>
      <c r="H266" s="14" t="s">
        <v>26</v>
      </c>
    </row>
    <row r="267" spans="3:8" ht="15.75" customHeight="1">
      <c r="C267" s="17">
        <f t="shared" si="19"/>
        <v>46161</v>
      </c>
      <c r="D267" s="14" t="s">
        <v>523</v>
      </c>
      <c r="E267" s="14" t="s">
        <v>83</v>
      </c>
      <c r="F267" s="14" t="s">
        <v>515</v>
      </c>
      <c r="G267" s="24" t="s">
        <v>524</v>
      </c>
      <c r="H267" s="14" t="s">
        <v>26</v>
      </c>
    </row>
    <row r="268" spans="3:8" ht="15.75" customHeight="1">
      <c r="C268" s="17">
        <f t="shared" si="19"/>
        <v>46161</v>
      </c>
      <c r="D268" s="14" t="s">
        <v>525</v>
      </c>
      <c r="E268" s="14" t="s">
        <v>33</v>
      </c>
      <c r="F268" s="14" t="s">
        <v>515</v>
      </c>
      <c r="G268" s="24" t="s">
        <v>526</v>
      </c>
      <c r="H268" s="14" t="s">
        <v>20</v>
      </c>
    </row>
    <row r="269" spans="3:8" ht="15.75" customHeight="1">
      <c r="C269" s="17">
        <f t="shared" si="19"/>
        <v>46161</v>
      </c>
      <c r="D269" s="14" t="s">
        <v>405</v>
      </c>
      <c r="E269" s="14" t="s">
        <v>33</v>
      </c>
      <c r="F269" s="14" t="s">
        <v>515</v>
      </c>
      <c r="G269" s="24" t="s">
        <v>527</v>
      </c>
      <c r="H269" s="14" t="s">
        <v>20</v>
      </c>
    </row>
    <row r="270" spans="3:8" ht="15.75" customHeight="1">
      <c r="C270" s="17">
        <f t="shared" si="19"/>
        <v>46161</v>
      </c>
      <c r="D270" s="14" t="s">
        <v>405</v>
      </c>
      <c r="E270" s="14" t="s">
        <v>33</v>
      </c>
      <c r="F270" s="14" t="s">
        <v>515</v>
      </c>
      <c r="G270" s="24" t="s">
        <v>528</v>
      </c>
      <c r="H270" s="14" t="s">
        <v>20</v>
      </c>
    </row>
    <row r="271" spans="3:8" ht="15.75" customHeight="1">
      <c r="C271" s="17">
        <f t="shared" si="19"/>
        <v>46161</v>
      </c>
      <c r="D271" s="14" t="s">
        <v>405</v>
      </c>
      <c r="E271" s="14" t="s">
        <v>72</v>
      </c>
      <c r="F271" s="14" t="s">
        <v>515</v>
      </c>
      <c r="G271" s="24" t="s">
        <v>529</v>
      </c>
      <c r="H271" s="14" t="s">
        <v>20</v>
      </c>
    </row>
    <row r="272" spans="3:8" ht="15.75" customHeight="1">
      <c r="C272" s="17">
        <f t="shared" si="19"/>
        <v>46161</v>
      </c>
      <c r="D272" s="14" t="s">
        <v>405</v>
      </c>
      <c r="E272" s="14" t="s">
        <v>530</v>
      </c>
      <c r="F272" s="14" t="s">
        <v>515</v>
      </c>
      <c r="G272" s="25" t="s">
        <v>531</v>
      </c>
      <c r="H272" s="14" t="s">
        <v>20</v>
      </c>
    </row>
    <row r="273" spans="3:8" ht="15.75" customHeight="1">
      <c r="C273" s="17">
        <f t="shared" si="19"/>
        <v>46161</v>
      </c>
      <c r="D273" s="14" t="s">
        <v>532</v>
      </c>
      <c r="E273" s="14" t="s">
        <v>533</v>
      </c>
      <c r="F273" s="14" t="s">
        <v>515</v>
      </c>
      <c r="G273" s="24" t="s">
        <v>534</v>
      </c>
      <c r="H273" s="14" t="s">
        <v>86</v>
      </c>
    </row>
    <row r="274" spans="3:8" ht="15.75" customHeight="1">
      <c r="C274" s="17">
        <f t="shared" si="19"/>
        <v>46161</v>
      </c>
      <c r="D274" s="14" t="s">
        <v>405</v>
      </c>
      <c r="E274" s="14" t="s">
        <v>33</v>
      </c>
      <c r="F274" s="14" t="s">
        <v>515</v>
      </c>
      <c r="G274" s="24" t="s">
        <v>535</v>
      </c>
      <c r="H274" s="14" t="s">
        <v>86</v>
      </c>
    </row>
    <row r="275" spans="3:8" ht="15.75" customHeight="1">
      <c r="C275" s="17">
        <f t="shared" si="19"/>
        <v>46161</v>
      </c>
      <c r="D275" s="14" t="s">
        <v>536</v>
      </c>
      <c r="E275" s="14" t="s">
        <v>398</v>
      </c>
      <c r="F275" s="14" t="s">
        <v>515</v>
      </c>
      <c r="G275" s="24" t="s">
        <v>537</v>
      </c>
      <c r="H275" s="14" t="s">
        <v>26</v>
      </c>
    </row>
    <row r="276" spans="3:8" ht="15.75" customHeight="1">
      <c r="C276" s="17">
        <f t="shared" si="19"/>
        <v>46161</v>
      </c>
      <c r="D276" s="14" t="s">
        <v>405</v>
      </c>
      <c r="E276" s="14" t="s">
        <v>339</v>
      </c>
      <c r="F276" s="14" t="s">
        <v>515</v>
      </c>
      <c r="G276" s="24" t="s">
        <v>538</v>
      </c>
      <c r="H276" s="14" t="s">
        <v>54</v>
      </c>
    </row>
    <row r="277" spans="3:8" ht="15.75" customHeight="1">
      <c r="C277" s="17">
        <f t="shared" si="19"/>
        <v>46161</v>
      </c>
      <c r="D277" s="14" t="s">
        <v>405</v>
      </c>
      <c r="E277" s="14" t="s">
        <v>33</v>
      </c>
      <c r="F277" s="14" t="s">
        <v>515</v>
      </c>
      <c r="G277" s="24" t="s">
        <v>539</v>
      </c>
      <c r="H277" s="14" t="s">
        <v>86</v>
      </c>
    </row>
    <row r="278" spans="3:8" ht="15.75" customHeight="1">
      <c r="C278" s="17">
        <f t="shared" si="19"/>
        <v>46161</v>
      </c>
      <c r="D278" s="14" t="s">
        <v>405</v>
      </c>
      <c r="E278" s="14" t="s">
        <v>33</v>
      </c>
      <c r="F278" s="14" t="s">
        <v>515</v>
      </c>
      <c r="G278" s="25" t="s">
        <v>540</v>
      </c>
      <c r="H278" s="14" t="s">
        <v>86</v>
      </c>
    </row>
    <row r="279" spans="3:8" ht="15.75" customHeight="1">
      <c r="C279" s="17">
        <f t="shared" si="19"/>
        <v>46161</v>
      </c>
      <c r="D279" s="14" t="s">
        <v>541</v>
      </c>
      <c r="E279" s="14" t="s">
        <v>542</v>
      </c>
      <c r="F279" s="14" t="s">
        <v>515</v>
      </c>
      <c r="G279" s="24" t="s">
        <v>543</v>
      </c>
      <c r="H279" s="14" t="s">
        <v>20</v>
      </c>
    </row>
    <row r="280" spans="3:8" ht="15.75" customHeight="1">
      <c r="C280" s="17">
        <f t="shared" si="19"/>
        <v>46161</v>
      </c>
      <c r="D280" s="14" t="s">
        <v>544</v>
      </c>
      <c r="E280" s="14" t="s">
        <v>545</v>
      </c>
      <c r="F280" s="14" t="s">
        <v>515</v>
      </c>
      <c r="G280" s="24" t="s">
        <v>207</v>
      </c>
      <c r="H280" s="14" t="s">
        <v>20</v>
      </c>
    </row>
    <row r="281" spans="3:8" ht="15.75" customHeight="1">
      <c r="C281" s="17">
        <f t="shared" si="19"/>
        <v>46161</v>
      </c>
      <c r="D281" s="14" t="s">
        <v>405</v>
      </c>
      <c r="E281" s="14" t="s">
        <v>17</v>
      </c>
      <c r="F281" s="14" t="s">
        <v>515</v>
      </c>
      <c r="G281" s="24" t="s">
        <v>546</v>
      </c>
      <c r="H281" s="14" t="s">
        <v>54</v>
      </c>
    </row>
    <row r="282" spans="3:8" ht="15.75" customHeight="1">
      <c r="C282" s="17">
        <f t="shared" si="19"/>
        <v>46161</v>
      </c>
      <c r="D282" s="14" t="s">
        <v>547</v>
      </c>
      <c r="E282" s="14" t="s">
        <v>77</v>
      </c>
      <c r="F282" s="14" t="s">
        <v>515</v>
      </c>
      <c r="G282" s="24" t="s">
        <v>548</v>
      </c>
      <c r="H282" s="14" t="s">
        <v>20</v>
      </c>
    </row>
    <row r="283" spans="3:8" ht="15.75" customHeight="1">
      <c r="C283" s="17">
        <f t="shared" si="19"/>
        <v>46161</v>
      </c>
      <c r="D283" s="14" t="s">
        <v>549</v>
      </c>
      <c r="E283" s="14" t="s">
        <v>545</v>
      </c>
      <c r="F283" s="14" t="s">
        <v>515</v>
      </c>
      <c r="G283" s="25" t="s">
        <v>550</v>
      </c>
      <c r="H283" s="14" t="s">
        <v>20</v>
      </c>
    </row>
    <row r="284" spans="3:8" ht="15.75" customHeight="1">
      <c r="C284" s="17">
        <f t="shared" si="19"/>
        <v>46161</v>
      </c>
      <c r="D284" s="14" t="s">
        <v>551</v>
      </c>
      <c r="E284" s="14" t="s">
        <v>552</v>
      </c>
      <c r="F284" s="14" t="s">
        <v>515</v>
      </c>
      <c r="G284" s="25" t="s">
        <v>553</v>
      </c>
      <c r="H284" s="14" t="s">
        <v>26</v>
      </c>
    </row>
    <row r="285" spans="3:8" ht="15.75" customHeight="1">
      <c r="C285" s="17">
        <f t="shared" si="19"/>
        <v>46161</v>
      </c>
      <c r="D285" s="14" t="s">
        <v>554</v>
      </c>
      <c r="E285" s="14" t="s">
        <v>339</v>
      </c>
      <c r="F285" s="14" t="s">
        <v>515</v>
      </c>
      <c r="G285" s="24" t="s">
        <v>555</v>
      </c>
      <c r="H285" s="14" t="s">
        <v>26</v>
      </c>
    </row>
    <row r="286" spans="3:8" ht="15.75" customHeight="1">
      <c r="C286" s="17">
        <f t="shared" si="19"/>
        <v>46161</v>
      </c>
      <c r="D286" s="14" t="s">
        <v>556</v>
      </c>
      <c r="E286" s="14" t="s">
        <v>557</v>
      </c>
      <c r="F286" s="14" t="s">
        <v>515</v>
      </c>
      <c r="G286" s="24" t="s">
        <v>558</v>
      </c>
      <c r="H286" s="14" t="s">
        <v>556</v>
      </c>
    </row>
    <row r="287" spans="3:8" ht="15.75" customHeight="1">
      <c r="C287" s="17">
        <f t="shared" si="19"/>
        <v>46161</v>
      </c>
      <c r="D287" s="14" t="s">
        <v>405</v>
      </c>
      <c r="E287" s="14" t="s">
        <v>33</v>
      </c>
      <c r="F287" s="14" t="s">
        <v>515</v>
      </c>
      <c r="G287" s="25" t="s">
        <v>559</v>
      </c>
      <c r="H287" s="14" t="s">
        <v>20</v>
      </c>
    </row>
    <row r="288" spans="3:8" ht="15.75" customHeight="1">
      <c r="C288" s="17">
        <f t="shared" si="19"/>
        <v>46161</v>
      </c>
      <c r="D288" s="14" t="s">
        <v>405</v>
      </c>
      <c r="E288" s="14" t="s">
        <v>72</v>
      </c>
      <c r="F288" s="14" t="s">
        <v>515</v>
      </c>
      <c r="G288" s="25" t="s">
        <v>560</v>
      </c>
      <c r="H288" s="14" t="s">
        <v>20</v>
      </c>
    </row>
    <row r="289" spans="3:8" ht="15.75" customHeight="1">
      <c r="C289" s="17">
        <f t="shared" si="19"/>
        <v>46161</v>
      </c>
      <c r="D289" s="14" t="s">
        <v>405</v>
      </c>
      <c r="E289" s="14" t="s">
        <v>22</v>
      </c>
      <c r="F289" s="14" t="s">
        <v>515</v>
      </c>
      <c r="G289" s="24" t="s">
        <v>561</v>
      </c>
      <c r="H289" s="14" t="s">
        <v>20</v>
      </c>
    </row>
    <row r="290" spans="3:8" ht="15.75" customHeight="1">
      <c r="C290" s="17">
        <f t="shared" si="19"/>
        <v>46161</v>
      </c>
      <c r="D290" s="14" t="s">
        <v>562</v>
      </c>
      <c r="E290" s="14" t="s">
        <v>339</v>
      </c>
      <c r="F290" s="14" t="s">
        <v>515</v>
      </c>
      <c r="G290" s="24" t="s">
        <v>563</v>
      </c>
      <c r="H290" s="14" t="s">
        <v>26</v>
      </c>
    </row>
    <row r="291" spans="3:8" ht="15.75" customHeight="1">
      <c r="C291" s="17">
        <f t="shared" si="19"/>
        <v>46161</v>
      </c>
      <c r="D291" s="14" t="s">
        <v>564</v>
      </c>
      <c r="E291" s="14" t="s">
        <v>565</v>
      </c>
      <c r="F291" s="14" t="s">
        <v>515</v>
      </c>
      <c r="G291" s="24" t="s">
        <v>566</v>
      </c>
      <c r="H291" s="14" t="s">
        <v>567</v>
      </c>
    </row>
    <row r="292" spans="3:8" ht="15.75" customHeight="1">
      <c r="C292" s="17">
        <f t="shared" si="19"/>
        <v>46161</v>
      </c>
      <c r="D292" s="14" t="s">
        <v>405</v>
      </c>
      <c r="E292" s="14" t="s">
        <v>33</v>
      </c>
      <c r="F292" s="14" t="s">
        <v>515</v>
      </c>
      <c r="G292" s="24" t="s">
        <v>568</v>
      </c>
      <c r="H292" s="14" t="s">
        <v>86</v>
      </c>
    </row>
    <row r="293" spans="3:8" ht="15.75" customHeight="1">
      <c r="C293" s="17">
        <f t="shared" si="19"/>
        <v>46161</v>
      </c>
      <c r="D293" s="14" t="s">
        <v>536</v>
      </c>
      <c r="E293" s="14" t="s">
        <v>339</v>
      </c>
      <c r="F293" s="14" t="s">
        <v>515</v>
      </c>
      <c r="G293" s="24" t="s">
        <v>569</v>
      </c>
      <c r="H293" s="14" t="s">
        <v>567</v>
      </c>
    </row>
    <row r="294" spans="3:8" ht="15.75" customHeight="1">
      <c r="C294" s="17">
        <f t="shared" si="19"/>
        <v>46161</v>
      </c>
      <c r="D294" s="14" t="s">
        <v>570</v>
      </c>
      <c r="E294" s="14" t="s">
        <v>33</v>
      </c>
      <c r="F294" s="14" t="s">
        <v>515</v>
      </c>
      <c r="G294" s="24" t="s">
        <v>571</v>
      </c>
      <c r="H294" s="14" t="s">
        <v>26</v>
      </c>
    </row>
    <row r="295" spans="3:8" ht="15.75" customHeight="1">
      <c r="C295" s="17">
        <f t="shared" si="19"/>
        <v>46161</v>
      </c>
      <c r="D295" s="14" t="s">
        <v>572</v>
      </c>
      <c r="E295" s="14" t="s">
        <v>112</v>
      </c>
      <c r="F295" s="14" t="s">
        <v>313</v>
      </c>
      <c r="G295" s="14" t="s">
        <v>573</v>
      </c>
      <c r="H295" s="14" t="s">
        <v>64</v>
      </c>
    </row>
    <row r="296" spans="3:8" ht="15.75" customHeight="1">
      <c r="C296" s="17">
        <f t="shared" si="19"/>
        <v>46161</v>
      </c>
      <c r="D296" s="14" t="s">
        <v>574</v>
      </c>
      <c r="E296" s="14" t="s">
        <v>530</v>
      </c>
      <c r="F296" s="14" t="s">
        <v>313</v>
      </c>
      <c r="G296" s="14" t="s">
        <v>575</v>
      </c>
      <c r="H296" s="14" t="s">
        <v>64</v>
      </c>
    </row>
    <row r="297" spans="3:8" ht="15.75" customHeight="1">
      <c r="C297" s="17">
        <f t="shared" si="19"/>
        <v>46161</v>
      </c>
      <c r="D297" s="14" t="s">
        <v>576</v>
      </c>
      <c r="E297" s="14" t="s">
        <v>87</v>
      </c>
      <c r="F297" s="14" t="s">
        <v>313</v>
      </c>
      <c r="G297" s="14" t="s">
        <v>214</v>
      </c>
      <c r="H297" s="14" t="s">
        <v>64</v>
      </c>
    </row>
    <row r="298" spans="3:8" ht="15.75" customHeight="1">
      <c r="C298" s="13">
        <v>46162</v>
      </c>
      <c r="D298" s="14" t="s">
        <v>577</v>
      </c>
      <c r="E298" s="14" t="s">
        <v>578</v>
      </c>
      <c r="F298" s="14" t="s">
        <v>579</v>
      </c>
      <c r="G298" s="14" t="s">
        <v>580</v>
      </c>
      <c r="H298" s="14" t="s">
        <v>64</v>
      </c>
    </row>
    <row r="299" spans="3:8" ht="15.75" customHeight="1">
      <c r="C299" s="17">
        <f t="shared" ref="C299:C306" si="20">C298</f>
        <v>46162</v>
      </c>
      <c r="D299" s="14" t="s">
        <v>581</v>
      </c>
      <c r="E299" s="14" t="s">
        <v>167</v>
      </c>
      <c r="F299" s="14" t="s">
        <v>579</v>
      </c>
      <c r="G299" s="14" t="s">
        <v>582</v>
      </c>
      <c r="H299" s="14" t="s">
        <v>64</v>
      </c>
    </row>
    <row r="300" spans="3:8" ht="15.75" customHeight="1">
      <c r="C300" s="17">
        <f t="shared" si="20"/>
        <v>46162</v>
      </c>
      <c r="D300" s="14" t="s">
        <v>583</v>
      </c>
      <c r="E300" s="14" t="s">
        <v>339</v>
      </c>
      <c r="F300" s="14" t="s">
        <v>579</v>
      </c>
      <c r="G300" s="14" t="s">
        <v>584</v>
      </c>
      <c r="H300" s="14" t="s">
        <v>20</v>
      </c>
    </row>
    <row r="301" spans="3:8" ht="15.75" customHeight="1">
      <c r="C301" s="17">
        <f t="shared" si="20"/>
        <v>46162</v>
      </c>
      <c r="D301" s="14" t="s">
        <v>65</v>
      </c>
      <c r="E301" s="14" t="s">
        <v>585</v>
      </c>
      <c r="F301" s="14" t="s">
        <v>579</v>
      </c>
      <c r="G301" s="14" t="s">
        <v>586</v>
      </c>
      <c r="H301" s="14" t="s">
        <v>114</v>
      </c>
    </row>
    <row r="302" spans="3:8" ht="15.75" customHeight="1">
      <c r="C302" s="17">
        <f t="shared" si="20"/>
        <v>46162</v>
      </c>
      <c r="D302" s="14" t="s">
        <v>587</v>
      </c>
      <c r="E302" s="14" t="s">
        <v>588</v>
      </c>
      <c r="F302" s="14" t="s">
        <v>589</v>
      </c>
      <c r="G302" s="14" t="s">
        <v>590</v>
      </c>
      <c r="H302" s="14" t="s">
        <v>64</v>
      </c>
    </row>
    <row r="303" spans="3:8" ht="15.75" customHeight="1">
      <c r="C303" s="17">
        <f t="shared" si="20"/>
        <v>46162</v>
      </c>
      <c r="D303" s="14" t="s">
        <v>591</v>
      </c>
      <c r="E303" s="14" t="s">
        <v>196</v>
      </c>
      <c r="F303" s="14" t="s">
        <v>589</v>
      </c>
      <c r="G303" s="14" t="s">
        <v>592</v>
      </c>
      <c r="H303" s="14" t="s">
        <v>64</v>
      </c>
    </row>
    <row r="304" spans="3:8" ht="15.75" customHeight="1">
      <c r="C304" s="17">
        <f t="shared" si="20"/>
        <v>46162</v>
      </c>
      <c r="D304" s="14" t="s">
        <v>65</v>
      </c>
      <c r="E304" s="14" t="s">
        <v>593</v>
      </c>
      <c r="F304" s="14" t="s">
        <v>209</v>
      </c>
      <c r="G304" s="14" t="s">
        <v>594</v>
      </c>
      <c r="H304" s="14" t="s">
        <v>114</v>
      </c>
    </row>
    <row r="305" spans="3:8" ht="15.75" customHeight="1">
      <c r="C305" s="17">
        <f t="shared" si="20"/>
        <v>46162</v>
      </c>
      <c r="D305" s="14" t="s">
        <v>595</v>
      </c>
      <c r="E305" s="14" t="s">
        <v>164</v>
      </c>
      <c r="F305" s="14" t="s">
        <v>209</v>
      </c>
      <c r="G305" s="14" t="s">
        <v>596</v>
      </c>
      <c r="H305" s="14" t="s">
        <v>64</v>
      </c>
    </row>
    <row r="306" spans="3:8" ht="15.75" customHeight="1">
      <c r="C306" s="17">
        <f t="shared" si="20"/>
        <v>46162</v>
      </c>
      <c r="D306" s="14" t="s">
        <v>597</v>
      </c>
      <c r="E306" s="14" t="s">
        <v>112</v>
      </c>
      <c r="F306" s="14" t="s">
        <v>209</v>
      </c>
      <c r="G306" s="14" t="s">
        <v>598</v>
      </c>
      <c r="H306" s="14" t="s">
        <v>64</v>
      </c>
    </row>
    <row r="307" spans="3:8" ht="15.75" customHeight="1">
      <c r="C307" s="26">
        <v>46163</v>
      </c>
      <c r="D307" s="14" t="s">
        <v>599</v>
      </c>
      <c r="E307" s="21" t="s">
        <v>600</v>
      </c>
      <c r="F307" s="27" t="s">
        <v>209</v>
      </c>
      <c r="G307" s="14" t="s">
        <v>601</v>
      </c>
      <c r="H307" s="14" t="s">
        <v>64</v>
      </c>
    </row>
    <row r="308" spans="3:8" ht="15.75" customHeight="1">
      <c r="C308" s="17">
        <f t="shared" ref="C308:C311" si="21">C307</f>
        <v>46163</v>
      </c>
      <c r="D308" s="14" t="s">
        <v>602</v>
      </c>
      <c r="E308" s="14" t="s">
        <v>603</v>
      </c>
      <c r="F308" s="14" t="s">
        <v>118</v>
      </c>
      <c r="G308" s="14" t="s">
        <v>604</v>
      </c>
      <c r="H308" s="14" t="s">
        <v>64</v>
      </c>
    </row>
    <row r="309" spans="3:8" ht="15.75" customHeight="1">
      <c r="C309" s="17">
        <f t="shared" si="21"/>
        <v>46163</v>
      </c>
      <c r="D309" s="14" t="s">
        <v>605</v>
      </c>
      <c r="E309" s="14" t="s">
        <v>22</v>
      </c>
      <c r="F309" s="14" t="s">
        <v>118</v>
      </c>
      <c r="G309" s="14" t="s">
        <v>606</v>
      </c>
      <c r="H309" s="14" t="s">
        <v>64</v>
      </c>
    </row>
    <row r="310" spans="3:8" ht="15.75" customHeight="1">
      <c r="C310" s="17">
        <f t="shared" si="21"/>
        <v>46163</v>
      </c>
      <c r="D310" s="14" t="s">
        <v>607</v>
      </c>
      <c r="E310" s="14" t="s">
        <v>83</v>
      </c>
      <c r="F310" s="14" t="s">
        <v>608</v>
      </c>
      <c r="G310" s="14" t="s">
        <v>609</v>
      </c>
      <c r="H310" s="14" t="s">
        <v>43</v>
      </c>
    </row>
    <row r="311" spans="3:8" ht="15.75" customHeight="1">
      <c r="C311" s="17">
        <f t="shared" si="21"/>
        <v>46163</v>
      </c>
      <c r="D311" s="14" t="s">
        <v>610</v>
      </c>
      <c r="E311" s="14" t="s">
        <v>600</v>
      </c>
      <c r="F311" s="14" t="s">
        <v>608</v>
      </c>
      <c r="G311" s="14" t="s">
        <v>611</v>
      </c>
      <c r="H311" s="14" t="s">
        <v>235</v>
      </c>
    </row>
    <row r="312" spans="3:8" ht="15.75" customHeight="1">
      <c r="C312" s="13">
        <v>46164</v>
      </c>
      <c r="D312" s="14" t="s">
        <v>612</v>
      </c>
      <c r="E312" s="21" t="s">
        <v>22</v>
      </c>
      <c r="F312" s="18" t="s">
        <v>613</v>
      </c>
      <c r="G312" s="18" t="s">
        <v>614</v>
      </c>
      <c r="H312" s="18" t="s">
        <v>26</v>
      </c>
    </row>
    <row r="313" spans="3:8" ht="15.75" customHeight="1">
      <c r="C313" s="17">
        <f t="shared" ref="C313:C340" si="22">C312</f>
        <v>46164</v>
      </c>
      <c r="D313" s="14" t="s">
        <v>615</v>
      </c>
      <c r="E313" s="14" t="s">
        <v>339</v>
      </c>
      <c r="F313" s="18" t="s">
        <v>613</v>
      </c>
      <c r="G313" s="14" t="s">
        <v>616</v>
      </c>
      <c r="H313" s="14" t="s">
        <v>20</v>
      </c>
    </row>
    <row r="314" spans="3:8" ht="15.75" customHeight="1">
      <c r="C314" s="17">
        <f t="shared" si="22"/>
        <v>46164</v>
      </c>
      <c r="D314" s="14" t="s">
        <v>617</v>
      </c>
      <c r="E314" s="14" t="s">
        <v>33</v>
      </c>
      <c r="F314" s="18" t="s">
        <v>613</v>
      </c>
      <c r="G314" s="14" t="s">
        <v>618</v>
      </c>
      <c r="H314" s="14" t="s">
        <v>20</v>
      </c>
    </row>
    <row r="315" spans="3:8" ht="15.75" customHeight="1">
      <c r="C315" s="17">
        <f t="shared" si="22"/>
        <v>46164</v>
      </c>
      <c r="D315" s="14" t="s">
        <v>617</v>
      </c>
      <c r="E315" s="14" t="s">
        <v>83</v>
      </c>
      <c r="F315" s="18" t="s">
        <v>613</v>
      </c>
      <c r="G315" s="14" t="s">
        <v>619</v>
      </c>
      <c r="H315" s="14" t="s">
        <v>20</v>
      </c>
    </row>
    <row r="316" spans="3:8" ht="15.75" customHeight="1">
      <c r="C316" s="17">
        <f t="shared" si="22"/>
        <v>46164</v>
      </c>
      <c r="D316" s="14" t="s">
        <v>620</v>
      </c>
      <c r="E316" s="14" t="s">
        <v>504</v>
      </c>
      <c r="F316" s="18" t="s">
        <v>613</v>
      </c>
      <c r="G316" s="14" t="s">
        <v>159</v>
      </c>
      <c r="H316" s="14" t="s">
        <v>103</v>
      </c>
    </row>
    <row r="317" spans="3:8" ht="15.75" customHeight="1">
      <c r="C317" s="17">
        <f t="shared" si="22"/>
        <v>46164</v>
      </c>
      <c r="D317" s="14" t="s">
        <v>103</v>
      </c>
      <c r="E317" s="14" t="s">
        <v>22</v>
      </c>
      <c r="F317" s="18" t="s">
        <v>613</v>
      </c>
      <c r="G317" s="14" t="s">
        <v>621</v>
      </c>
      <c r="H317" s="14" t="s">
        <v>103</v>
      </c>
    </row>
    <row r="318" spans="3:8" ht="15.75" customHeight="1">
      <c r="C318" s="17">
        <f t="shared" si="22"/>
        <v>46164</v>
      </c>
      <c r="D318" s="14" t="s">
        <v>622</v>
      </c>
      <c r="E318" s="14" t="s">
        <v>623</v>
      </c>
      <c r="F318" s="18" t="s">
        <v>613</v>
      </c>
      <c r="G318" s="14" t="s">
        <v>624</v>
      </c>
      <c r="H318" s="14" t="s">
        <v>567</v>
      </c>
    </row>
    <row r="319" spans="3:8" ht="15.75" customHeight="1">
      <c r="C319" s="17">
        <f t="shared" si="22"/>
        <v>46164</v>
      </c>
      <c r="D319" s="14" t="s">
        <v>625</v>
      </c>
      <c r="E319" s="14" t="s">
        <v>626</v>
      </c>
      <c r="F319" s="18" t="s">
        <v>613</v>
      </c>
      <c r="G319" s="14" t="s">
        <v>627</v>
      </c>
      <c r="H319" s="14" t="s">
        <v>567</v>
      </c>
    </row>
    <row r="320" spans="3:8" ht="15.75" customHeight="1">
      <c r="C320" s="17">
        <f t="shared" si="22"/>
        <v>46164</v>
      </c>
      <c r="D320" s="14" t="s">
        <v>617</v>
      </c>
      <c r="E320" s="14" t="s">
        <v>167</v>
      </c>
      <c r="F320" s="18" t="s">
        <v>613</v>
      </c>
      <c r="G320" s="14" t="s">
        <v>628</v>
      </c>
      <c r="H320" s="14" t="s">
        <v>629</v>
      </c>
    </row>
    <row r="321" spans="3:8" ht="15.75" customHeight="1">
      <c r="C321" s="17">
        <f t="shared" si="22"/>
        <v>46164</v>
      </c>
      <c r="D321" s="14" t="s">
        <v>630</v>
      </c>
      <c r="E321" s="14" t="s">
        <v>51</v>
      </c>
      <c r="F321" s="18" t="s">
        <v>613</v>
      </c>
      <c r="G321" s="14" t="s">
        <v>631</v>
      </c>
      <c r="H321" s="14" t="s">
        <v>567</v>
      </c>
    </row>
    <row r="322" spans="3:8" ht="15.75" customHeight="1">
      <c r="C322" s="17">
        <f t="shared" si="22"/>
        <v>46164</v>
      </c>
      <c r="D322" s="14" t="s">
        <v>617</v>
      </c>
      <c r="E322" s="14" t="s">
        <v>167</v>
      </c>
      <c r="F322" s="18" t="s">
        <v>613</v>
      </c>
      <c r="G322" s="14" t="s">
        <v>632</v>
      </c>
      <c r="H322" s="14" t="s">
        <v>54</v>
      </c>
    </row>
    <row r="323" spans="3:8" ht="15.75" customHeight="1">
      <c r="C323" s="17">
        <f t="shared" si="22"/>
        <v>46164</v>
      </c>
      <c r="D323" s="14" t="s">
        <v>633</v>
      </c>
      <c r="E323" s="14" t="s">
        <v>22</v>
      </c>
      <c r="F323" s="18" t="s">
        <v>613</v>
      </c>
      <c r="G323" s="14" t="s">
        <v>634</v>
      </c>
      <c r="H323" s="14" t="s">
        <v>567</v>
      </c>
    </row>
    <row r="324" spans="3:8" ht="15.75" customHeight="1">
      <c r="C324" s="17">
        <f t="shared" si="22"/>
        <v>46164</v>
      </c>
      <c r="D324" s="14" t="s">
        <v>477</v>
      </c>
      <c r="E324" s="14" t="s">
        <v>22</v>
      </c>
      <c r="F324" s="18" t="s">
        <v>613</v>
      </c>
      <c r="G324" s="14" t="s">
        <v>479</v>
      </c>
      <c r="H324" s="14" t="s">
        <v>567</v>
      </c>
    </row>
    <row r="325" spans="3:8" ht="15.75" customHeight="1">
      <c r="C325" s="17">
        <f t="shared" si="22"/>
        <v>46164</v>
      </c>
      <c r="D325" s="14" t="s">
        <v>635</v>
      </c>
      <c r="E325" s="14" t="s">
        <v>30</v>
      </c>
      <c r="F325" s="18" t="s">
        <v>613</v>
      </c>
      <c r="G325" s="14" t="s">
        <v>636</v>
      </c>
      <c r="H325" s="14" t="s">
        <v>20</v>
      </c>
    </row>
    <row r="326" spans="3:8" ht="15.75" customHeight="1">
      <c r="C326" s="17">
        <f t="shared" si="22"/>
        <v>46164</v>
      </c>
      <c r="D326" s="14" t="s">
        <v>637</v>
      </c>
      <c r="E326" s="14" t="s">
        <v>97</v>
      </c>
      <c r="F326" s="18" t="s">
        <v>613</v>
      </c>
      <c r="G326" s="14" t="s">
        <v>638</v>
      </c>
      <c r="H326" s="14" t="s">
        <v>567</v>
      </c>
    </row>
    <row r="327" spans="3:8" ht="15.75" customHeight="1">
      <c r="C327" s="17">
        <f t="shared" si="22"/>
        <v>46164</v>
      </c>
      <c r="D327" s="14" t="s">
        <v>639</v>
      </c>
      <c r="E327" s="14" t="s">
        <v>167</v>
      </c>
      <c r="F327" s="18" t="s">
        <v>613</v>
      </c>
      <c r="G327" s="20" t="s">
        <v>640</v>
      </c>
      <c r="H327" s="14" t="s">
        <v>567</v>
      </c>
    </row>
    <row r="328" spans="3:8" ht="15.75" customHeight="1">
      <c r="C328" s="17">
        <f t="shared" si="22"/>
        <v>46164</v>
      </c>
      <c r="D328" s="14" t="s">
        <v>641</v>
      </c>
      <c r="E328" s="14" t="s">
        <v>33</v>
      </c>
      <c r="F328" s="18" t="s">
        <v>613</v>
      </c>
      <c r="G328" s="20" t="s">
        <v>642</v>
      </c>
      <c r="H328" s="14" t="s">
        <v>86</v>
      </c>
    </row>
    <row r="329" spans="3:8" ht="15.75" customHeight="1">
      <c r="C329" s="17">
        <f t="shared" si="22"/>
        <v>46164</v>
      </c>
      <c r="D329" s="14" t="s">
        <v>643</v>
      </c>
      <c r="E329" s="14" t="s">
        <v>33</v>
      </c>
      <c r="F329" s="18" t="s">
        <v>613</v>
      </c>
      <c r="G329" s="14" t="s">
        <v>644</v>
      </c>
      <c r="H329" s="14" t="s">
        <v>86</v>
      </c>
    </row>
    <row r="330" spans="3:8" ht="15.75" customHeight="1">
      <c r="C330" s="17">
        <f t="shared" si="22"/>
        <v>46164</v>
      </c>
      <c r="D330" s="14" t="s">
        <v>617</v>
      </c>
      <c r="E330" s="14" t="s">
        <v>100</v>
      </c>
      <c r="F330" s="18" t="s">
        <v>613</v>
      </c>
      <c r="G330" s="14" t="s">
        <v>645</v>
      </c>
      <c r="H330" s="14" t="s">
        <v>646</v>
      </c>
    </row>
    <row r="331" spans="3:8" ht="15.75" customHeight="1">
      <c r="C331" s="17">
        <f t="shared" si="22"/>
        <v>46164</v>
      </c>
      <c r="D331" s="14" t="s">
        <v>617</v>
      </c>
      <c r="E331" s="14" t="s">
        <v>100</v>
      </c>
      <c r="F331" s="18" t="s">
        <v>613</v>
      </c>
      <c r="G331" s="14" t="s">
        <v>647</v>
      </c>
      <c r="H331" s="14" t="s">
        <v>646</v>
      </c>
    </row>
    <row r="332" spans="3:8" ht="15.75" customHeight="1">
      <c r="C332" s="17">
        <f t="shared" si="22"/>
        <v>46164</v>
      </c>
      <c r="D332" s="14" t="s">
        <v>648</v>
      </c>
      <c r="E332" s="14" t="s">
        <v>167</v>
      </c>
      <c r="F332" s="18" t="s">
        <v>613</v>
      </c>
      <c r="G332" s="14" t="s">
        <v>649</v>
      </c>
      <c r="H332" s="14" t="s">
        <v>567</v>
      </c>
    </row>
    <row r="333" spans="3:8" ht="15.75" customHeight="1">
      <c r="C333" s="17">
        <f t="shared" si="22"/>
        <v>46164</v>
      </c>
      <c r="D333" s="14" t="s">
        <v>650</v>
      </c>
      <c r="E333" s="14" t="s">
        <v>33</v>
      </c>
      <c r="F333" s="18" t="s">
        <v>613</v>
      </c>
      <c r="G333" s="20" t="s">
        <v>651</v>
      </c>
      <c r="H333" s="14" t="s">
        <v>86</v>
      </c>
    </row>
    <row r="334" spans="3:8" ht="15.75" customHeight="1">
      <c r="C334" s="17">
        <f t="shared" si="22"/>
        <v>46164</v>
      </c>
      <c r="D334" s="14" t="s">
        <v>652</v>
      </c>
      <c r="E334" s="14" t="s">
        <v>83</v>
      </c>
      <c r="F334" s="18" t="s">
        <v>613</v>
      </c>
      <c r="G334" s="20" t="s">
        <v>653</v>
      </c>
      <c r="H334" s="14" t="s">
        <v>567</v>
      </c>
    </row>
    <row r="335" spans="3:8" ht="15.75" customHeight="1">
      <c r="C335" s="17">
        <f t="shared" si="22"/>
        <v>46164</v>
      </c>
      <c r="D335" s="14" t="s">
        <v>650</v>
      </c>
      <c r="E335" s="14" t="s">
        <v>33</v>
      </c>
      <c r="F335" s="18" t="s">
        <v>613</v>
      </c>
      <c r="G335" s="20" t="s">
        <v>654</v>
      </c>
      <c r="H335" s="14" t="s">
        <v>20</v>
      </c>
    </row>
    <row r="336" spans="3:8" ht="15.75" customHeight="1">
      <c r="C336" s="17">
        <f t="shared" si="22"/>
        <v>46164</v>
      </c>
      <c r="D336" s="14" t="s">
        <v>655</v>
      </c>
      <c r="E336" s="14" t="s">
        <v>446</v>
      </c>
      <c r="F336" s="14" t="s">
        <v>278</v>
      </c>
      <c r="G336" s="14" t="s">
        <v>656</v>
      </c>
      <c r="H336" s="14" t="s">
        <v>43</v>
      </c>
    </row>
    <row r="337" spans="3:8" ht="15.75" customHeight="1">
      <c r="C337" s="17">
        <f t="shared" si="22"/>
        <v>46164</v>
      </c>
      <c r="D337" s="14" t="s">
        <v>657</v>
      </c>
      <c r="E337" s="14" t="s">
        <v>658</v>
      </c>
      <c r="F337" s="14" t="s">
        <v>278</v>
      </c>
      <c r="G337" s="14" t="s">
        <v>659</v>
      </c>
      <c r="H337" s="14" t="s">
        <v>15</v>
      </c>
    </row>
    <row r="338" spans="3:8" ht="15.75" customHeight="1">
      <c r="C338" s="17">
        <f t="shared" si="22"/>
        <v>46164</v>
      </c>
      <c r="D338" s="14" t="s">
        <v>660</v>
      </c>
      <c r="E338" s="14" t="s">
        <v>661</v>
      </c>
      <c r="F338" s="14" t="s">
        <v>278</v>
      </c>
      <c r="G338" s="14" t="s">
        <v>662</v>
      </c>
      <c r="H338" s="14" t="s">
        <v>663</v>
      </c>
    </row>
    <row r="339" spans="3:8" ht="15.75" customHeight="1">
      <c r="C339" s="17">
        <f t="shared" si="22"/>
        <v>46164</v>
      </c>
      <c r="D339" s="14" t="s">
        <v>664</v>
      </c>
      <c r="E339" s="14" t="s">
        <v>30</v>
      </c>
      <c r="F339" s="14" t="s">
        <v>278</v>
      </c>
      <c r="G339" s="14" t="s">
        <v>665</v>
      </c>
      <c r="H339" s="14" t="s">
        <v>666</v>
      </c>
    </row>
    <row r="340" spans="3:8" ht="15.75" customHeight="1">
      <c r="C340" s="17">
        <f t="shared" si="22"/>
        <v>46164</v>
      </c>
      <c r="D340" s="14" t="s">
        <v>667</v>
      </c>
      <c r="E340" s="14" t="s">
        <v>668</v>
      </c>
      <c r="F340" s="14" t="s">
        <v>278</v>
      </c>
      <c r="G340" s="14" t="s">
        <v>669</v>
      </c>
      <c r="H340" s="28"/>
    </row>
    <row r="341" spans="3:8" ht="15.75" customHeight="1">
      <c r="C341" s="13">
        <v>46165</v>
      </c>
      <c r="D341" s="18" t="s">
        <v>460</v>
      </c>
      <c r="E341" s="18" t="s">
        <v>30</v>
      </c>
      <c r="F341" s="18" t="s">
        <v>670</v>
      </c>
      <c r="G341" s="18" t="s">
        <v>671</v>
      </c>
      <c r="H341" s="18" t="s">
        <v>43</v>
      </c>
    </row>
    <row r="342" spans="3:8" ht="15.75" customHeight="1">
      <c r="C342" s="17">
        <f t="shared" ref="C342:C357" si="23">C341</f>
        <v>46165</v>
      </c>
      <c r="D342" s="14" t="s">
        <v>44</v>
      </c>
      <c r="E342" s="18" t="s">
        <v>72</v>
      </c>
      <c r="F342" s="18" t="s">
        <v>670</v>
      </c>
      <c r="G342" s="14" t="s">
        <v>672</v>
      </c>
      <c r="H342" s="18" t="s">
        <v>20</v>
      </c>
    </row>
    <row r="343" spans="3:8" ht="15.75" customHeight="1">
      <c r="C343" s="17">
        <f t="shared" si="23"/>
        <v>46165</v>
      </c>
      <c r="D343" s="14" t="s">
        <v>47</v>
      </c>
      <c r="E343" s="14" t="s">
        <v>361</v>
      </c>
      <c r="F343" s="18" t="s">
        <v>670</v>
      </c>
      <c r="G343" s="14" t="s">
        <v>673</v>
      </c>
      <c r="H343" s="18" t="s">
        <v>43</v>
      </c>
    </row>
    <row r="344" spans="3:8" ht="15.75" customHeight="1">
      <c r="C344" s="17">
        <f t="shared" si="23"/>
        <v>46165</v>
      </c>
      <c r="D344" s="14" t="s">
        <v>47</v>
      </c>
      <c r="E344" s="14" t="s">
        <v>33</v>
      </c>
      <c r="F344" s="18" t="s">
        <v>670</v>
      </c>
      <c r="G344" s="14" t="s">
        <v>674</v>
      </c>
      <c r="H344" s="18" t="s">
        <v>20</v>
      </c>
    </row>
    <row r="345" spans="3:8" ht="15.75" customHeight="1">
      <c r="C345" s="17">
        <f t="shared" si="23"/>
        <v>46165</v>
      </c>
      <c r="D345" s="18" t="s">
        <v>460</v>
      </c>
      <c r="E345" s="14" t="s">
        <v>83</v>
      </c>
      <c r="F345" s="18" t="s">
        <v>670</v>
      </c>
      <c r="G345" s="18" t="s">
        <v>675</v>
      </c>
      <c r="H345" s="18" t="s">
        <v>20</v>
      </c>
    </row>
    <row r="346" spans="3:8" ht="15.75" customHeight="1">
      <c r="C346" s="17">
        <f t="shared" si="23"/>
        <v>46165</v>
      </c>
      <c r="D346" s="14" t="s">
        <v>47</v>
      </c>
      <c r="E346" s="14" t="s">
        <v>22</v>
      </c>
      <c r="F346" s="18" t="s">
        <v>670</v>
      </c>
      <c r="G346" s="18" t="s">
        <v>676</v>
      </c>
      <c r="H346" s="18" t="s">
        <v>20</v>
      </c>
    </row>
    <row r="347" spans="3:8" ht="15.75" customHeight="1">
      <c r="C347" s="17">
        <f t="shared" si="23"/>
        <v>46165</v>
      </c>
      <c r="D347" s="14" t="s">
        <v>677</v>
      </c>
      <c r="E347" s="14" t="s">
        <v>33</v>
      </c>
      <c r="F347" s="18" t="s">
        <v>670</v>
      </c>
      <c r="G347" s="14" t="s">
        <v>159</v>
      </c>
      <c r="H347" s="18" t="s">
        <v>20</v>
      </c>
    </row>
    <row r="348" spans="3:8" ht="15.75" customHeight="1">
      <c r="C348" s="17">
        <f t="shared" si="23"/>
        <v>46165</v>
      </c>
      <c r="D348" s="14" t="s">
        <v>448</v>
      </c>
      <c r="E348" s="14" t="s">
        <v>51</v>
      </c>
      <c r="F348" s="18" t="s">
        <v>670</v>
      </c>
      <c r="G348" s="14" t="s">
        <v>678</v>
      </c>
      <c r="H348" s="14" t="s">
        <v>20</v>
      </c>
    </row>
    <row r="349" spans="3:8" ht="15.75" customHeight="1">
      <c r="C349" s="17">
        <f t="shared" si="23"/>
        <v>46165</v>
      </c>
      <c r="D349" s="14" t="s">
        <v>26</v>
      </c>
      <c r="E349" s="14" t="s">
        <v>22</v>
      </c>
      <c r="F349" s="18" t="s">
        <v>670</v>
      </c>
      <c r="G349" s="14" t="s">
        <v>679</v>
      </c>
      <c r="H349" s="14" t="s">
        <v>43</v>
      </c>
    </row>
    <row r="350" spans="3:8" ht="15.75" customHeight="1">
      <c r="C350" s="17">
        <f t="shared" si="23"/>
        <v>46165</v>
      </c>
      <c r="D350" s="14" t="s">
        <v>44</v>
      </c>
      <c r="E350" s="14" t="s">
        <v>22</v>
      </c>
      <c r="F350" s="18" t="s">
        <v>670</v>
      </c>
      <c r="G350" s="14" t="s">
        <v>680</v>
      </c>
      <c r="H350" s="14" t="s">
        <v>20</v>
      </c>
    </row>
    <row r="351" spans="3:8" ht="15.75" customHeight="1">
      <c r="C351" s="17">
        <f t="shared" si="23"/>
        <v>46165</v>
      </c>
      <c r="D351" s="14" t="s">
        <v>456</v>
      </c>
      <c r="E351" s="14" t="s">
        <v>51</v>
      </c>
      <c r="F351" s="18" t="s">
        <v>670</v>
      </c>
      <c r="G351" s="14" t="s">
        <v>681</v>
      </c>
      <c r="H351" s="14" t="s">
        <v>54</v>
      </c>
    </row>
    <row r="352" spans="3:8" ht="15.75" customHeight="1">
      <c r="C352" s="17">
        <f t="shared" si="23"/>
        <v>46165</v>
      </c>
      <c r="D352" s="14" t="s">
        <v>44</v>
      </c>
      <c r="E352" s="14" t="s">
        <v>51</v>
      </c>
      <c r="F352" s="18" t="s">
        <v>670</v>
      </c>
      <c r="G352" s="14" t="s">
        <v>682</v>
      </c>
      <c r="H352" s="14" t="s">
        <v>20</v>
      </c>
    </row>
    <row r="353" spans="3:8" ht="15.75" customHeight="1">
      <c r="C353" s="17">
        <f t="shared" si="23"/>
        <v>46165</v>
      </c>
      <c r="D353" s="14" t="s">
        <v>683</v>
      </c>
      <c r="E353" s="18" t="s">
        <v>72</v>
      </c>
      <c r="F353" s="18" t="s">
        <v>670</v>
      </c>
      <c r="G353" s="14" t="s">
        <v>159</v>
      </c>
      <c r="H353" s="14" t="s">
        <v>20</v>
      </c>
    </row>
    <row r="354" spans="3:8" ht="15.75" customHeight="1">
      <c r="C354" s="17">
        <f t="shared" si="23"/>
        <v>46165</v>
      </c>
      <c r="D354" s="14" t="s">
        <v>44</v>
      </c>
      <c r="E354" s="14" t="s">
        <v>100</v>
      </c>
      <c r="F354" s="18" t="s">
        <v>670</v>
      </c>
      <c r="G354" s="14" t="s">
        <v>684</v>
      </c>
      <c r="H354" s="14" t="s">
        <v>685</v>
      </c>
    </row>
    <row r="355" spans="3:8" ht="15.75" customHeight="1">
      <c r="C355" s="17">
        <f t="shared" si="23"/>
        <v>46165</v>
      </c>
      <c r="D355" s="14" t="s">
        <v>47</v>
      </c>
      <c r="E355" s="14" t="s">
        <v>51</v>
      </c>
      <c r="F355" s="18" t="s">
        <v>686</v>
      </c>
      <c r="G355" s="14" t="s">
        <v>687</v>
      </c>
      <c r="H355" s="14" t="s">
        <v>688</v>
      </c>
    </row>
    <row r="356" spans="3:8" ht="15.75" customHeight="1">
      <c r="C356" s="17">
        <f t="shared" si="23"/>
        <v>46165</v>
      </c>
      <c r="D356" s="14" t="s">
        <v>47</v>
      </c>
      <c r="E356" s="14" t="s">
        <v>91</v>
      </c>
      <c r="F356" s="18" t="s">
        <v>686</v>
      </c>
      <c r="G356" s="14" t="s">
        <v>689</v>
      </c>
      <c r="H356" s="14" t="s">
        <v>690</v>
      </c>
    </row>
    <row r="357" spans="3:8" ht="15.75" customHeight="1">
      <c r="C357" s="17">
        <f t="shared" si="23"/>
        <v>46165</v>
      </c>
      <c r="D357" s="14" t="s">
        <v>47</v>
      </c>
      <c r="E357" s="14" t="s">
        <v>133</v>
      </c>
      <c r="F357" s="18" t="s">
        <v>686</v>
      </c>
      <c r="G357" s="14" t="s">
        <v>691</v>
      </c>
      <c r="H357" s="14" t="s">
        <v>692</v>
      </c>
    </row>
    <row r="358" spans="3:8" ht="15.75" customHeight="1">
      <c r="C358" s="13">
        <v>46166</v>
      </c>
      <c r="D358" s="18" t="s">
        <v>50</v>
      </c>
      <c r="E358" s="18" t="s">
        <v>30</v>
      </c>
      <c r="F358" s="18" t="s">
        <v>693</v>
      </c>
      <c r="G358" s="18" t="s">
        <v>694</v>
      </c>
      <c r="H358" s="18" t="s">
        <v>43</v>
      </c>
    </row>
    <row r="359" spans="3:8" ht="15.75" customHeight="1">
      <c r="C359" s="17">
        <f t="shared" ref="C359:C384" si="24">C358</f>
        <v>46166</v>
      </c>
      <c r="D359" s="18" t="s">
        <v>50</v>
      </c>
      <c r="E359" s="14" t="s">
        <v>542</v>
      </c>
      <c r="F359" s="18" t="s">
        <v>693</v>
      </c>
      <c r="G359" s="14" t="s">
        <v>695</v>
      </c>
      <c r="H359" s="14" t="s">
        <v>43</v>
      </c>
    </row>
    <row r="360" spans="3:8" ht="15.75" customHeight="1">
      <c r="C360" s="17">
        <f t="shared" si="24"/>
        <v>46166</v>
      </c>
      <c r="D360" s="14" t="s">
        <v>44</v>
      </c>
      <c r="E360" s="14" t="s">
        <v>51</v>
      </c>
      <c r="F360" s="18" t="s">
        <v>693</v>
      </c>
      <c r="G360" s="14" t="s">
        <v>696</v>
      </c>
      <c r="H360" s="14" t="s">
        <v>20</v>
      </c>
    </row>
    <row r="361" spans="3:8" ht="15.75" customHeight="1">
      <c r="C361" s="17">
        <f t="shared" si="24"/>
        <v>46166</v>
      </c>
      <c r="D361" s="14" t="s">
        <v>44</v>
      </c>
      <c r="E361" s="14" t="s">
        <v>72</v>
      </c>
      <c r="F361" s="18" t="s">
        <v>693</v>
      </c>
      <c r="G361" s="14" t="s">
        <v>697</v>
      </c>
      <c r="H361" s="14" t="s">
        <v>20</v>
      </c>
    </row>
    <row r="362" spans="3:8" ht="15.75" customHeight="1">
      <c r="C362" s="17">
        <f t="shared" si="24"/>
        <v>46166</v>
      </c>
      <c r="D362" s="18" t="s">
        <v>698</v>
      </c>
      <c r="E362" s="14" t="s">
        <v>33</v>
      </c>
      <c r="F362" s="18" t="s">
        <v>693</v>
      </c>
      <c r="G362" s="21" t="s">
        <v>699</v>
      </c>
      <c r="H362" s="14" t="s">
        <v>20</v>
      </c>
    </row>
    <row r="363" spans="3:8" ht="15.75" customHeight="1">
      <c r="C363" s="17">
        <f t="shared" si="24"/>
        <v>46166</v>
      </c>
      <c r="D363" s="18" t="s">
        <v>44</v>
      </c>
      <c r="E363" s="14" t="s">
        <v>100</v>
      </c>
      <c r="F363" s="18" t="s">
        <v>693</v>
      </c>
      <c r="G363" s="20" t="s">
        <v>700</v>
      </c>
      <c r="H363" s="14" t="s">
        <v>86</v>
      </c>
    </row>
    <row r="364" spans="3:8" ht="15.75" customHeight="1">
      <c r="C364" s="17">
        <f t="shared" si="24"/>
        <v>46166</v>
      </c>
      <c r="D364" s="14" t="s">
        <v>44</v>
      </c>
      <c r="E364" s="14" t="s">
        <v>33</v>
      </c>
      <c r="F364" s="18" t="s">
        <v>693</v>
      </c>
      <c r="G364" s="20" t="s">
        <v>701</v>
      </c>
      <c r="H364" s="14" t="s">
        <v>86</v>
      </c>
    </row>
    <row r="365" spans="3:8" ht="15.75" customHeight="1">
      <c r="C365" s="17">
        <f t="shared" si="24"/>
        <v>46166</v>
      </c>
      <c r="D365" s="14" t="s">
        <v>50</v>
      </c>
      <c r="E365" s="14" t="s">
        <v>33</v>
      </c>
      <c r="F365" s="18" t="s">
        <v>693</v>
      </c>
      <c r="G365" s="14" t="s">
        <v>702</v>
      </c>
      <c r="H365" s="14" t="s">
        <v>43</v>
      </c>
    </row>
    <row r="366" spans="3:8" ht="15.75" customHeight="1">
      <c r="C366" s="17">
        <f t="shared" si="24"/>
        <v>46166</v>
      </c>
      <c r="D366" s="14" t="s">
        <v>44</v>
      </c>
      <c r="E366" s="14" t="s">
        <v>703</v>
      </c>
      <c r="F366" s="18" t="s">
        <v>693</v>
      </c>
      <c r="G366" s="20" t="s">
        <v>704</v>
      </c>
      <c r="H366" s="14" t="s">
        <v>86</v>
      </c>
    </row>
    <row r="367" spans="3:8" ht="15.75" customHeight="1">
      <c r="C367" s="17">
        <f t="shared" si="24"/>
        <v>46166</v>
      </c>
      <c r="D367" s="14" t="s">
        <v>44</v>
      </c>
      <c r="E367" s="14" t="s">
        <v>705</v>
      </c>
      <c r="F367" s="18" t="s">
        <v>693</v>
      </c>
      <c r="G367" s="20" t="s">
        <v>706</v>
      </c>
      <c r="H367" s="14" t="s">
        <v>86</v>
      </c>
    </row>
    <row r="368" spans="3:8" ht="15.75" customHeight="1">
      <c r="C368" s="17">
        <f t="shared" si="24"/>
        <v>46166</v>
      </c>
      <c r="D368" s="14" t="s">
        <v>44</v>
      </c>
      <c r="E368" s="14" t="s">
        <v>705</v>
      </c>
      <c r="F368" s="18" t="s">
        <v>693</v>
      </c>
      <c r="G368" s="20" t="s">
        <v>707</v>
      </c>
      <c r="H368" s="14" t="s">
        <v>86</v>
      </c>
    </row>
    <row r="369" spans="3:8" ht="15.75" customHeight="1">
      <c r="C369" s="17">
        <f t="shared" si="24"/>
        <v>46166</v>
      </c>
      <c r="D369" s="14" t="s">
        <v>44</v>
      </c>
      <c r="E369" s="14" t="s">
        <v>9</v>
      </c>
      <c r="F369" s="18" t="s">
        <v>693</v>
      </c>
      <c r="G369" s="20" t="s">
        <v>708</v>
      </c>
      <c r="H369" s="14" t="s">
        <v>86</v>
      </c>
    </row>
    <row r="370" spans="3:8" ht="15.75" customHeight="1">
      <c r="C370" s="17">
        <f t="shared" si="24"/>
        <v>46166</v>
      </c>
      <c r="D370" s="14" t="s">
        <v>698</v>
      </c>
      <c r="E370" s="14" t="s">
        <v>424</v>
      </c>
      <c r="F370" s="18" t="s">
        <v>693</v>
      </c>
      <c r="G370" s="20" t="s">
        <v>709</v>
      </c>
      <c r="H370" s="14" t="s">
        <v>20</v>
      </c>
    </row>
    <row r="371" spans="3:8" ht="15.75" customHeight="1">
      <c r="C371" s="17">
        <f t="shared" si="24"/>
        <v>46166</v>
      </c>
      <c r="D371" s="14" t="s">
        <v>44</v>
      </c>
      <c r="E371" s="20" t="s">
        <v>297</v>
      </c>
      <c r="F371" s="18" t="s">
        <v>693</v>
      </c>
      <c r="G371" s="20" t="s">
        <v>710</v>
      </c>
      <c r="H371" s="14" t="s">
        <v>86</v>
      </c>
    </row>
    <row r="372" spans="3:8" ht="15.75" customHeight="1">
      <c r="C372" s="17">
        <f t="shared" si="24"/>
        <v>46166</v>
      </c>
      <c r="D372" s="14" t="s">
        <v>44</v>
      </c>
      <c r="E372" s="20" t="s">
        <v>297</v>
      </c>
      <c r="F372" s="18" t="s">
        <v>693</v>
      </c>
      <c r="G372" s="20" t="s">
        <v>711</v>
      </c>
      <c r="H372" s="14" t="s">
        <v>20</v>
      </c>
    </row>
    <row r="373" spans="3:8" ht="15.75" customHeight="1">
      <c r="C373" s="17">
        <f t="shared" si="24"/>
        <v>46166</v>
      </c>
      <c r="D373" s="14" t="s">
        <v>44</v>
      </c>
      <c r="E373" s="14" t="s">
        <v>51</v>
      </c>
      <c r="F373" s="18" t="s">
        <v>693</v>
      </c>
      <c r="G373" s="20" t="s">
        <v>365</v>
      </c>
      <c r="H373" s="14" t="s">
        <v>20</v>
      </c>
    </row>
    <row r="374" spans="3:8" ht="15.75" customHeight="1">
      <c r="C374" s="17">
        <f t="shared" si="24"/>
        <v>46166</v>
      </c>
      <c r="D374" s="14" t="s">
        <v>47</v>
      </c>
      <c r="E374" s="14" t="s">
        <v>712</v>
      </c>
      <c r="F374" s="18" t="s">
        <v>693</v>
      </c>
      <c r="G374" s="20" t="s">
        <v>713</v>
      </c>
      <c r="H374" s="14" t="s">
        <v>43</v>
      </c>
    </row>
    <row r="375" spans="3:8" ht="15.75" customHeight="1">
      <c r="C375" s="17">
        <f t="shared" si="24"/>
        <v>46166</v>
      </c>
      <c r="D375" s="14" t="s">
        <v>47</v>
      </c>
      <c r="E375" s="20" t="s">
        <v>297</v>
      </c>
      <c r="F375" s="18" t="s">
        <v>693</v>
      </c>
      <c r="G375" s="20" t="s">
        <v>714</v>
      </c>
      <c r="H375" s="14" t="s">
        <v>86</v>
      </c>
    </row>
    <row r="376" spans="3:8" ht="15.75" customHeight="1">
      <c r="C376" s="17">
        <f t="shared" si="24"/>
        <v>46166</v>
      </c>
      <c r="D376" s="14" t="s">
        <v>44</v>
      </c>
      <c r="E376" s="14" t="s">
        <v>297</v>
      </c>
      <c r="F376" s="18" t="s">
        <v>693</v>
      </c>
      <c r="G376" s="20" t="s">
        <v>715</v>
      </c>
      <c r="H376" s="14" t="s">
        <v>86</v>
      </c>
    </row>
    <row r="377" spans="3:8" ht="15.75" customHeight="1">
      <c r="C377" s="17">
        <f t="shared" si="24"/>
        <v>46166</v>
      </c>
      <c r="D377" s="14" t="s">
        <v>716</v>
      </c>
      <c r="E377" s="14" t="s">
        <v>717</v>
      </c>
      <c r="F377" s="18" t="s">
        <v>693</v>
      </c>
      <c r="G377" s="20" t="s">
        <v>718</v>
      </c>
      <c r="H377" s="14" t="s">
        <v>86</v>
      </c>
    </row>
    <row r="378" spans="3:8" ht="15.75" customHeight="1">
      <c r="C378" s="17">
        <f t="shared" si="24"/>
        <v>46166</v>
      </c>
      <c r="D378" s="14" t="s">
        <v>47</v>
      </c>
      <c r="E378" s="14" t="s">
        <v>22</v>
      </c>
      <c r="F378" s="18" t="s">
        <v>693</v>
      </c>
      <c r="G378" s="20" t="s">
        <v>719</v>
      </c>
      <c r="H378" s="14" t="s">
        <v>43</v>
      </c>
    </row>
    <row r="379" spans="3:8" ht="15.75" customHeight="1">
      <c r="C379" s="17">
        <f t="shared" si="24"/>
        <v>46166</v>
      </c>
      <c r="D379" s="14" t="s">
        <v>720</v>
      </c>
      <c r="E379" s="14" t="s">
        <v>83</v>
      </c>
      <c r="F379" s="14" t="s">
        <v>721</v>
      </c>
      <c r="G379" s="14" t="s">
        <v>722</v>
      </c>
      <c r="H379" s="14" t="s">
        <v>26</v>
      </c>
    </row>
    <row r="380" spans="3:8" ht="15.75" customHeight="1">
      <c r="C380" s="17">
        <f t="shared" si="24"/>
        <v>46166</v>
      </c>
      <c r="D380" s="14" t="s">
        <v>723</v>
      </c>
      <c r="E380" s="14" t="s">
        <v>33</v>
      </c>
      <c r="F380" s="14" t="s">
        <v>721</v>
      </c>
      <c r="G380" s="14" t="s">
        <v>724</v>
      </c>
      <c r="H380" s="14" t="s">
        <v>26</v>
      </c>
    </row>
    <row r="381" spans="3:8" ht="15.75" customHeight="1">
      <c r="C381" s="17">
        <f t="shared" si="24"/>
        <v>46166</v>
      </c>
      <c r="D381" s="14" t="s">
        <v>725</v>
      </c>
      <c r="E381" s="14" t="s">
        <v>726</v>
      </c>
      <c r="F381" s="14" t="s">
        <v>721</v>
      </c>
      <c r="G381" s="14" t="s">
        <v>727</v>
      </c>
      <c r="H381" s="29" t="s">
        <v>728</v>
      </c>
    </row>
    <row r="382" spans="3:8" ht="15.75" customHeight="1">
      <c r="C382" s="17">
        <f t="shared" si="24"/>
        <v>46166</v>
      </c>
      <c r="D382" s="14" t="s">
        <v>729</v>
      </c>
      <c r="E382" s="14" t="s">
        <v>376</v>
      </c>
      <c r="F382" s="14" t="s">
        <v>721</v>
      </c>
      <c r="G382" s="14" t="s">
        <v>455</v>
      </c>
      <c r="H382" s="14" t="s">
        <v>26</v>
      </c>
    </row>
    <row r="383" spans="3:8" ht="15.75" customHeight="1">
      <c r="C383" s="17">
        <f t="shared" si="24"/>
        <v>46166</v>
      </c>
      <c r="D383" s="14" t="s">
        <v>730</v>
      </c>
      <c r="E383" s="14" t="s">
        <v>33</v>
      </c>
      <c r="F383" s="14" t="s">
        <v>721</v>
      </c>
      <c r="G383" s="20" t="s">
        <v>731</v>
      </c>
      <c r="H383" s="14" t="s">
        <v>728</v>
      </c>
    </row>
    <row r="384" spans="3:8" ht="15.75" customHeight="1">
      <c r="C384" s="17">
        <f t="shared" si="24"/>
        <v>46166</v>
      </c>
      <c r="D384" s="14" t="s">
        <v>732</v>
      </c>
      <c r="E384" s="14" t="s">
        <v>33</v>
      </c>
      <c r="F384" s="14" t="s">
        <v>721</v>
      </c>
      <c r="G384" s="14" t="s">
        <v>733</v>
      </c>
      <c r="H384" s="14" t="s">
        <v>20</v>
      </c>
    </row>
    <row r="385" spans="3:8" ht="15.75" customHeight="1">
      <c r="C385" s="13">
        <v>46167</v>
      </c>
      <c r="D385" s="14" t="s">
        <v>734</v>
      </c>
      <c r="E385" s="18" t="s">
        <v>735</v>
      </c>
      <c r="F385" s="14" t="s">
        <v>721</v>
      </c>
      <c r="G385" s="18" t="s">
        <v>736</v>
      </c>
      <c r="H385" s="18" t="s">
        <v>737</v>
      </c>
    </row>
    <row r="386" spans="3:8" ht="15.75" customHeight="1">
      <c r="C386" s="17">
        <f t="shared" ref="C386:C402" si="25">C385</f>
        <v>46167</v>
      </c>
      <c r="D386" s="14" t="s">
        <v>738</v>
      </c>
      <c r="E386" s="14" t="s">
        <v>739</v>
      </c>
      <c r="F386" s="14" t="s">
        <v>721</v>
      </c>
      <c r="G386" s="14" t="s">
        <v>740</v>
      </c>
      <c r="H386" s="14" t="s">
        <v>26</v>
      </c>
    </row>
    <row r="387" spans="3:8" ht="15.75" customHeight="1">
      <c r="C387" s="17">
        <f t="shared" si="25"/>
        <v>46167</v>
      </c>
      <c r="D387" s="14" t="s">
        <v>741</v>
      </c>
      <c r="E387" s="14" t="s">
        <v>100</v>
      </c>
      <c r="F387" s="14" t="s">
        <v>721</v>
      </c>
      <c r="G387" s="14" t="s">
        <v>742</v>
      </c>
      <c r="H387" s="14" t="s">
        <v>728</v>
      </c>
    </row>
    <row r="388" spans="3:8" ht="15.75" customHeight="1">
      <c r="C388" s="17">
        <f t="shared" si="25"/>
        <v>46167</v>
      </c>
      <c r="D388" s="14" t="s">
        <v>743</v>
      </c>
      <c r="E388" s="14" t="s">
        <v>30</v>
      </c>
      <c r="F388" s="14" t="s">
        <v>721</v>
      </c>
      <c r="G388" s="14" t="s">
        <v>744</v>
      </c>
      <c r="H388" s="14" t="s">
        <v>64</v>
      </c>
    </row>
    <row r="389" spans="3:8" ht="15.75" customHeight="1">
      <c r="C389" s="17">
        <f t="shared" si="25"/>
        <v>46167</v>
      </c>
      <c r="D389" s="14" t="s">
        <v>745</v>
      </c>
      <c r="E389" s="14" t="s">
        <v>22</v>
      </c>
      <c r="F389" s="14" t="s">
        <v>721</v>
      </c>
      <c r="G389" s="14" t="s">
        <v>746</v>
      </c>
      <c r="H389" s="14" t="s">
        <v>567</v>
      </c>
    </row>
    <row r="390" spans="3:8" ht="15.75" customHeight="1">
      <c r="C390" s="17">
        <f t="shared" si="25"/>
        <v>46167</v>
      </c>
      <c r="D390" s="30" t="s">
        <v>383</v>
      </c>
      <c r="E390" s="14" t="s">
        <v>100</v>
      </c>
      <c r="F390" s="18" t="s">
        <v>747</v>
      </c>
      <c r="G390" s="14" t="s">
        <v>748</v>
      </c>
      <c r="H390" s="14" t="s">
        <v>86</v>
      </c>
    </row>
    <row r="391" spans="3:8" ht="15.75" customHeight="1">
      <c r="C391" s="17">
        <f t="shared" si="25"/>
        <v>46167</v>
      </c>
      <c r="D391" s="30" t="s">
        <v>383</v>
      </c>
      <c r="E391" s="14" t="s">
        <v>100</v>
      </c>
      <c r="F391" s="18" t="s">
        <v>747</v>
      </c>
      <c r="G391" s="14" t="s">
        <v>749</v>
      </c>
      <c r="H391" s="14" t="s">
        <v>86</v>
      </c>
    </row>
    <row r="392" spans="3:8" ht="15.75" customHeight="1">
      <c r="C392" s="17">
        <f t="shared" si="25"/>
        <v>46167</v>
      </c>
      <c r="D392" s="30" t="s">
        <v>383</v>
      </c>
      <c r="E392" s="14" t="s">
        <v>750</v>
      </c>
      <c r="F392" s="18" t="s">
        <v>747</v>
      </c>
      <c r="G392" s="14" t="s">
        <v>751</v>
      </c>
      <c r="H392" s="14" t="s">
        <v>86</v>
      </c>
    </row>
    <row r="393" spans="3:8" ht="15.75" customHeight="1">
      <c r="C393" s="17">
        <f t="shared" si="25"/>
        <v>46167</v>
      </c>
      <c r="D393" s="30" t="s">
        <v>383</v>
      </c>
      <c r="E393" s="14" t="s">
        <v>33</v>
      </c>
      <c r="F393" s="18" t="s">
        <v>747</v>
      </c>
      <c r="G393" s="14" t="s">
        <v>752</v>
      </c>
      <c r="H393" s="14" t="s">
        <v>86</v>
      </c>
    </row>
    <row r="394" spans="3:8" ht="15.75" customHeight="1">
      <c r="C394" s="17">
        <f t="shared" si="25"/>
        <v>46167</v>
      </c>
      <c r="D394" s="14" t="s">
        <v>753</v>
      </c>
      <c r="E394" s="18" t="s">
        <v>22</v>
      </c>
      <c r="F394" s="18" t="s">
        <v>754</v>
      </c>
      <c r="G394" s="14" t="s">
        <v>755</v>
      </c>
      <c r="H394" s="14" t="s">
        <v>43</v>
      </c>
    </row>
    <row r="395" spans="3:8" ht="15.75" customHeight="1">
      <c r="C395" s="17">
        <f t="shared" si="25"/>
        <v>46167</v>
      </c>
      <c r="D395" s="14" t="s">
        <v>756</v>
      </c>
      <c r="E395" s="14" t="s">
        <v>339</v>
      </c>
      <c r="F395" s="18" t="s">
        <v>754</v>
      </c>
      <c r="G395" s="14" t="s">
        <v>757</v>
      </c>
      <c r="H395" s="14" t="s">
        <v>567</v>
      </c>
    </row>
    <row r="396" spans="3:8" ht="15.75" customHeight="1">
      <c r="C396" s="17">
        <f t="shared" si="25"/>
        <v>46167</v>
      </c>
      <c r="D396" s="14" t="s">
        <v>758</v>
      </c>
      <c r="E396" s="14" t="s">
        <v>83</v>
      </c>
      <c r="F396" s="18" t="s">
        <v>754</v>
      </c>
      <c r="G396" s="14" t="s">
        <v>759</v>
      </c>
      <c r="H396" s="14" t="s">
        <v>760</v>
      </c>
    </row>
    <row r="397" spans="3:8" ht="15.75" customHeight="1">
      <c r="C397" s="17">
        <f t="shared" si="25"/>
        <v>46167</v>
      </c>
      <c r="D397" s="14" t="s">
        <v>405</v>
      </c>
      <c r="E397" s="14" t="s">
        <v>72</v>
      </c>
      <c r="F397" s="18" t="s">
        <v>754</v>
      </c>
      <c r="G397" s="14" t="s">
        <v>761</v>
      </c>
      <c r="H397" s="14" t="s">
        <v>20</v>
      </c>
    </row>
    <row r="398" spans="3:8" ht="15.75" customHeight="1">
      <c r="C398" s="17">
        <f t="shared" si="25"/>
        <v>46167</v>
      </c>
      <c r="D398" s="14" t="s">
        <v>762</v>
      </c>
      <c r="E398" s="14" t="s">
        <v>726</v>
      </c>
      <c r="F398" s="18" t="s">
        <v>754</v>
      </c>
      <c r="G398" s="14" t="s">
        <v>763</v>
      </c>
      <c r="H398" s="14" t="s">
        <v>20</v>
      </c>
    </row>
    <row r="399" spans="3:8" ht="15.75" customHeight="1">
      <c r="C399" s="17">
        <f t="shared" si="25"/>
        <v>46167</v>
      </c>
      <c r="D399" s="14" t="s">
        <v>764</v>
      </c>
      <c r="E399" s="14" t="s">
        <v>339</v>
      </c>
      <c r="F399" s="18" t="s">
        <v>754</v>
      </c>
      <c r="G399" s="14" t="s">
        <v>765</v>
      </c>
      <c r="H399" s="14" t="s">
        <v>26</v>
      </c>
    </row>
    <row r="400" spans="3:8" ht="15.75" customHeight="1">
      <c r="C400" s="17">
        <f t="shared" si="25"/>
        <v>46167</v>
      </c>
      <c r="D400" s="14" t="s">
        <v>766</v>
      </c>
      <c r="E400" s="14" t="s">
        <v>409</v>
      </c>
      <c r="F400" s="18" t="s">
        <v>754</v>
      </c>
      <c r="G400" s="14" t="s">
        <v>767</v>
      </c>
      <c r="H400" s="14" t="s">
        <v>26</v>
      </c>
    </row>
    <row r="401" spans="3:8" ht="15.75" customHeight="1">
      <c r="C401" s="17">
        <f t="shared" si="25"/>
        <v>46167</v>
      </c>
      <c r="D401" s="14" t="s">
        <v>768</v>
      </c>
      <c r="E401" s="14" t="s">
        <v>51</v>
      </c>
      <c r="F401" s="18" t="s">
        <v>754</v>
      </c>
      <c r="G401" s="14" t="s">
        <v>769</v>
      </c>
      <c r="H401" s="14" t="s">
        <v>26</v>
      </c>
    </row>
    <row r="402" spans="3:8" ht="15.75" customHeight="1">
      <c r="C402" s="17">
        <f t="shared" si="25"/>
        <v>46167</v>
      </c>
      <c r="D402" s="14" t="s">
        <v>770</v>
      </c>
      <c r="E402" s="14" t="s">
        <v>30</v>
      </c>
      <c r="F402" s="18" t="s">
        <v>754</v>
      </c>
      <c r="G402" s="14" t="s">
        <v>771</v>
      </c>
      <c r="H402" s="14" t="s">
        <v>567</v>
      </c>
    </row>
    <row r="403" spans="3:8" ht="15.75" customHeight="1">
      <c r="C403" s="13">
        <v>46168</v>
      </c>
      <c r="D403" s="14" t="s">
        <v>772</v>
      </c>
      <c r="E403" s="18" t="s">
        <v>773</v>
      </c>
      <c r="F403" s="18" t="s">
        <v>754</v>
      </c>
      <c r="G403" s="18" t="s">
        <v>774</v>
      </c>
      <c r="H403" s="18" t="s">
        <v>26</v>
      </c>
    </row>
    <row r="404" spans="3:8" ht="15.75" customHeight="1">
      <c r="C404" s="17">
        <f t="shared" ref="C404:C405" si="26">C403</f>
        <v>46168</v>
      </c>
      <c r="D404" s="14" t="s">
        <v>775</v>
      </c>
      <c r="E404" s="14" t="s">
        <v>33</v>
      </c>
      <c r="F404" s="18" t="s">
        <v>754</v>
      </c>
      <c r="G404" s="14" t="s">
        <v>776</v>
      </c>
      <c r="H404" s="14" t="s">
        <v>567</v>
      </c>
    </row>
    <row r="405" spans="3:8" ht="15.75" customHeight="1">
      <c r="C405" s="17">
        <f t="shared" si="26"/>
        <v>46168</v>
      </c>
      <c r="D405" s="14" t="s">
        <v>777</v>
      </c>
      <c r="E405" s="14" t="s">
        <v>83</v>
      </c>
      <c r="F405" s="18" t="s">
        <v>778</v>
      </c>
      <c r="G405" s="14" t="s">
        <v>779</v>
      </c>
      <c r="H405" s="14" t="s">
        <v>103</v>
      </c>
    </row>
    <row r="406" spans="3:8" ht="15.75" customHeight="1">
      <c r="C406" s="13">
        <v>46169</v>
      </c>
      <c r="D406" s="14" t="s">
        <v>780</v>
      </c>
      <c r="E406" s="14" t="s">
        <v>773</v>
      </c>
      <c r="F406" s="18" t="s">
        <v>778</v>
      </c>
      <c r="G406" s="14" t="s">
        <v>781</v>
      </c>
      <c r="H406" s="14" t="s">
        <v>780</v>
      </c>
    </row>
    <row r="407" spans="3:8" ht="15.75" customHeight="1">
      <c r="C407" s="17">
        <f t="shared" ref="C407:D422" si="27">C406</f>
        <v>46169</v>
      </c>
      <c r="D407" s="14" t="s">
        <v>782</v>
      </c>
      <c r="E407" s="14" t="s">
        <v>783</v>
      </c>
      <c r="F407" s="18" t="s">
        <v>778</v>
      </c>
      <c r="G407" s="14" t="s">
        <v>784</v>
      </c>
      <c r="H407" s="14" t="s">
        <v>782</v>
      </c>
    </row>
    <row r="408" spans="3:8" ht="15.75" customHeight="1">
      <c r="C408" s="17">
        <f t="shared" si="27"/>
        <v>46169</v>
      </c>
      <c r="D408" s="19" t="s">
        <v>785</v>
      </c>
      <c r="E408" s="14" t="s">
        <v>33</v>
      </c>
      <c r="F408" s="14" t="s">
        <v>786</v>
      </c>
      <c r="G408" s="14" t="s">
        <v>787</v>
      </c>
      <c r="H408" s="14" t="s">
        <v>64</v>
      </c>
    </row>
    <row r="409" spans="3:8" ht="15.75" customHeight="1">
      <c r="C409" s="17">
        <f t="shared" si="27"/>
        <v>46169</v>
      </c>
      <c r="D409" s="19" t="s">
        <v>785</v>
      </c>
      <c r="E409" s="14" t="s">
        <v>424</v>
      </c>
      <c r="F409" s="14" t="s">
        <v>786</v>
      </c>
      <c r="G409" s="14" t="s">
        <v>159</v>
      </c>
      <c r="H409" s="14" t="s">
        <v>64</v>
      </c>
    </row>
    <row r="410" spans="3:8" ht="15.75" customHeight="1">
      <c r="C410" s="17">
        <f t="shared" si="27"/>
        <v>46169</v>
      </c>
      <c r="D410" s="19" t="s">
        <v>785</v>
      </c>
      <c r="E410" s="14" t="s">
        <v>72</v>
      </c>
      <c r="F410" s="14" t="s">
        <v>786</v>
      </c>
      <c r="G410" s="14" t="s">
        <v>788</v>
      </c>
      <c r="H410" s="14" t="s">
        <v>64</v>
      </c>
    </row>
    <row r="411" spans="3:8" ht="15.75" customHeight="1">
      <c r="C411" s="17">
        <f t="shared" si="27"/>
        <v>46169</v>
      </c>
      <c r="D411" s="19" t="s">
        <v>785</v>
      </c>
      <c r="E411" s="14" t="s">
        <v>77</v>
      </c>
      <c r="F411" s="14" t="s">
        <v>786</v>
      </c>
      <c r="G411" s="14" t="s">
        <v>789</v>
      </c>
      <c r="H411" s="14" t="s">
        <v>64</v>
      </c>
    </row>
    <row r="412" spans="3:8" ht="15.75" customHeight="1">
      <c r="C412" s="17">
        <f t="shared" si="27"/>
        <v>46169</v>
      </c>
      <c r="D412" s="19" t="s">
        <v>785</v>
      </c>
      <c r="E412" s="14" t="s">
        <v>83</v>
      </c>
      <c r="F412" s="14" t="s">
        <v>786</v>
      </c>
      <c r="G412" s="14" t="s">
        <v>790</v>
      </c>
      <c r="H412" s="14" t="s">
        <v>64</v>
      </c>
    </row>
    <row r="413" spans="3:8" ht="15.75" customHeight="1">
      <c r="C413" s="17">
        <f t="shared" si="27"/>
        <v>46169</v>
      </c>
      <c r="D413" s="19" t="s">
        <v>785</v>
      </c>
      <c r="E413" s="14" t="s">
        <v>138</v>
      </c>
      <c r="F413" s="14" t="s">
        <v>786</v>
      </c>
      <c r="G413" s="14" t="s">
        <v>791</v>
      </c>
      <c r="H413" s="14" t="s">
        <v>64</v>
      </c>
    </row>
    <row r="414" spans="3:8" ht="15.75" customHeight="1">
      <c r="C414" s="17">
        <f t="shared" si="27"/>
        <v>46169</v>
      </c>
      <c r="D414" s="19" t="s">
        <v>785</v>
      </c>
      <c r="E414" s="14" t="s">
        <v>792</v>
      </c>
      <c r="F414" s="14" t="s">
        <v>786</v>
      </c>
      <c r="G414" s="20" t="s">
        <v>680</v>
      </c>
      <c r="H414" s="14" t="s">
        <v>64</v>
      </c>
    </row>
    <row r="415" spans="3:8" ht="15.75" customHeight="1">
      <c r="C415" s="17">
        <f t="shared" si="27"/>
        <v>46169</v>
      </c>
      <c r="D415" s="19" t="s">
        <v>785</v>
      </c>
      <c r="E415" s="14" t="s">
        <v>33</v>
      </c>
      <c r="F415" s="14" t="s">
        <v>786</v>
      </c>
      <c r="G415" s="20" t="s">
        <v>793</v>
      </c>
      <c r="H415" s="14" t="s">
        <v>64</v>
      </c>
    </row>
    <row r="416" spans="3:8" ht="15.75" customHeight="1">
      <c r="C416" s="17">
        <f t="shared" si="27"/>
        <v>46169</v>
      </c>
      <c r="D416" s="19" t="s">
        <v>785</v>
      </c>
      <c r="E416" s="20" t="s">
        <v>297</v>
      </c>
      <c r="F416" s="14" t="s">
        <v>786</v>
      </c>
      <c r="G416" s="20" t="s">
        <v>794</v>
      </c>
      <c r="H416" s="14" t="s">
        <v>64</v>
      </c>
    </row>
    <row r="417" spans="3:8" ht="15.75" customHeight="1">
      <c r="C417" s="17">
        <f t="shared" si="27"/>
        <v>46169</v>
      </c>
      <c r="D417" s="19" t="s">
        <v>785</v>
      </c>
      <c r="E417" s="14" t="s">
        <v>167</v>
      </c>
      <c r="F417" s="14" t="s">
        <v>786</v>
      </c>
      <c r="G417" s="20" t="s">
        <v>795</v>
      </c>
      <c r="H417" s="14" t="s">
        <v>64</v>
      </c>
    </row>
    <row r="418" spans="3:8" ht="15.75" customHeight="1">
      <c r="C418" s="17">
        <f t="shared" si="27"/>
        <v>46169</v>
      </c>
      <c r="D418" s="19" t="s">
        <v>785</v>
      </c>
      <c r="E418" s="14" t="s">
        <v>133</v>
      </c>
      <c r="F418" s="14" t="s">
        <v>786</v>
      </c>
      <c r="G418" s="20" t="s">
        <v>796</v>
      </c>
      <c r="H418" s="14" t="s">
        <v>64</v>
      </c>
    </row>
    <row r="419" spans="3:8" ht="15.75" customHeight="1">
      <c r="C419" s="17">
        <f t="shared" si="27"/>
        <v>46169</v>
      </c>
      <c r="D419" s="19" t="s">
        <v>785</v>
      </c>
      <c r="E419" s="14" t="s">
        <v>336</v>
      </c>
      <c r="F419" s="14" t="s">
        <v>786</v>
      </c>
      <c r="G419" s="20" t="s">
        <v>797</v>
      </c>
      <c r="H419" s="14" t="s">
        <v>64</v>
      </c>
    </row>
    <row r="420" spans="3:8" ht="15.75" customHeight="1">
      <c r="C420" s="17">
        <f t="shared" si="27"/>
        <v>46169</v>
      </c>
      <c r="D420" s="14" t="s">
        <v>798</v>
      </c>
      <c r="E420" s="14" t="s">
        <v>87</v>
      </c>
      <c r="F420" s="14" t="s">
        <v>799</v>
      </c>
      <c r="G420" s="14" t="s">
        <v>800</v>
      </c>
      <c r="H420" s="14" t="s">
        <v>64</v>
      </c>
    </row>
    <row r="421" spans="3:8" ht="15.75" customHeight="1">
      <c r="C421" s="17">
        <f t="shared" si="27"/>
        <v>46169</v>
      </c>
      <c r="D421" s="14" t="s">
        <v>801</v>
      </c>
      <c r="E421" s="14" t="s">
        <v>221</v>
      </c>
      <c r="F421" s="14" t="s">
        <v>799</v>
      </c>
      <c r="G421" s="14" t="s">
        <v>802</v>
      </c>
      <c r="H421" s="14" t="s">
        <v>64</v>
      </c>
    </row>
    <row r="422" spans="3:8" ht="15.75" customHeight="1">
      <c r="C422" s="17">
        <f t="shared" si="27"/>
        <v>46169</v>
      </c>
      <c r="D422" s="14" t="s">
        <v>803</v>
      </c>
      <c r="E422" s="14" t="s">
        <v>291</v>
      </c>
      <c r="F422" s="14" t="s">
        <v>799</v>
      </c>
      <c r="G422" s="14" t="s">
        <v>804</v>
      </c>
      <c r="H422" s="14" t="s">
        <v>64</v>
      </c>
    </row>
    <row r="423" spans="3:8" ht="15.75" customHeight="1">
      <c r="C423" s="17">
        <f t="shared" ref="C423:D423" si="28">C422</f>
        <v>46169</v>
      </c>
      <c r="D423" s="14" t="s">
        <v>805</v>
      </c>
      <c r="E423" s="14" t="s">
        <v>22</v>
      </c>
      <c r="F423" s="14" t="s">
        <v>799</v>
      </c>
      <c r="G423" s="14" t="s">
        <v>680</v>
      </c>
      <c r="H423" s="14" t="s">
        <v>64</v>
      </c>
    </row>
    <row r="424" spans="3:8" ht="15.75" customHeight="1">
      <c r="C424" s="13">
        <v>46170</v>
      </c>
      <c r="D424" s="18" t="s">
        <v>806</v>
      </c>
      <c r="E424" s="18" t="s">
        <v>807</v>
      </c>
      <c r="F424" s="18" t="s">
        <v>799</v>
      </c>
      <c r="G424" s="18" t="s">
        <v>808</v>
      </c>
      <c r="H424" s="18" t="s">
        <v>64</v>
      </c>
    </row>
    <row r="425" spans="3:8" ht="15.75" customHeight="1">
      <c r="C425" s="17">
        <f t="shared" ref="C425:C445" si="29">C424</f>
        <v>46170</v>
      </c>
      <c r="D425" s="14" t="s">
        <v>65</v>
      </c>
      <c r="E425" s="14" t="s">
        <v>809</v>
      </c>
      <c r="F425" s="18" t="s">
        <v>810</v>
      </c>
      <c r="G425" s="21" t="s">
        <v>811</v>
      </c>
      <c r="H425" s="14" t="s">
        <v>114</v>
      </c>
    </row>
    <row r="426" spans="3:8" ht="15.75" customHeight="1">
      <c r="C426" s="17">
        <f t="shared" si="29"/>
        <v>46170</v>
      </c>
      <c r="D426" s="14" t="s">
        <v>460</v>
      </c>
      <c r="E426" s="14" t="s">
        <v>9</v>
      </c>
      <c r="F426" s="18" t="s">
        <v>812</v>
      </c>
      <c r="G426" s="31" t="s">
        <v>813</v>
      </c>
      <c r="H426" s="14" t="s">
        <v>114</v>
      </c>
    </row>
    <row r="427" spans="3:8" ht="15.75" customHeight="1">
      <c r="C427" s="17">
        <f t="shared" si="29"/>
        <v>46170</v>
      </c>
      <c r="D427" s="14" t="s">
        <v>460</v>
      </c>
      <c r="E427" s="14" t="s">
        <v>9</v>
      </c>
      <c r="F427" s="18" t="s">
        <v>812</v>
      </c>
      <c r="G427" s="14" t="s">
        <v>813</v>
      </c>
      <c r="H427" s="14" t="s">
        <v>114</v>
      </c>
    </row>
    <row r="428" spans="3:8" ht="15.75" customHeight="1">
      <c r="C428" s="17">
        <f t="shared" si="29"/>
        <v>46170</v>
      </c>
      <c r="D428" s="14" t="s">
        <v>26</v>
      </c>
      <c r="E428" s="14" t="s">
        <v>814</v>
      </c>
      <c r="F428" s="18" t="s">
        <v>812</v>
      </c>
      <c r="G428" s="14" t="s">
        <v>815</v>
      </c>
      <c r="H428" s="14" t="s">
        <v>64</v>
      </c>
    </row>
    <row r="429" spans="3:8" ht="15.75" customHeight="1">
      <c r="C429" s="17">
        <f t="shared" si="29"/>
        <v>46170</v>
      </c>
      <c r="D429" s="14" t="s">
        <v>47</v>
      </c>
      <c r="E429" s="14" t="s">
        <v>33</v>
      </c>
      <c r="F429" s="18" t="s">
        <v>812</v>
      </c>
      <c r="G429" s="14" t="s">
        <v>816</v>
      </c>
      <c r="H429" s="14" t="s">
        <v>114</v>
      </c>
    </row>
    <row r="430" spans="3:8" ht="15.75" customHeight="1">
      <c r="C430" s="17">
        <f t="shared" si="29"/>
        <v>46170</v>
      </c>
      <c r="D430" s="14" t="s">
        <v>460</v>
      </c>
      <c r="E430" s="14" t="s">
        <v>817</v>
      </c>
      <c r="F430" s="18" t="s">
        <v>812</v>
      </c>
      <c r="G430" s="14" t="s">
        <v>818</v>
      </c>
      <c r="H430" s="14" t="s">
        <v>64</v>
      </c>
    </row>
    <row r="431" spans="3:8" ht="15.75" customHeight="1">
      <c r="C431" s="17">
        <f t="shared" si="29"/>
        <v>46170</v>
      </c>
      <c r="D431" s="14" t="s">
        <v>26</v>
      </c>
      <c r="E431" s="14" t="s">
        <v>819</v>
      </c>
      <c r="F431" s="18" t="s">
        <v>812</v>
      </c>
      <c r="G431" s="14" t="s">
        <v>818</v>
      </c>
      <c r="H431" s="14" t="s">
        <v>64</v>
      </c>
    </row>
    <row r="432" spans="3:8" ht="15.75" customHeight="1">
      <c r="C432" s="17">
        <f t="shared" si="29"/>
        <v>46170</v>
      </c>
      <c r="D432" s="14" t="s">
        <v>47</v>
      </c>
      <c r="E432" s="14" t="s">
        <v>33</v>
      </c>
      <c r="F432" s="18" t="s">
        <v>812</v>
      </c>
      <c r="G432" s="14" t="s">
        <v>526</v>
      </c>
      <c r="H432" s="14" t="s">
        <v>114</v>
      </c>
    </row>
    <row r="433" spans="3:8" ht="15.75" customHeight="1">
      <c r="C433" s="17">
        <f t="shared" si="29"/>
        <v>46170</v>
      </c>
      <c r="D433" s="14" t="s">
        <v>26</v>
      </c>
      <c r="E433" s="14" t="s">
        <v>297</v>
      </c>
      <c r="F433" s="18" t="s">
        <v>812</v>
      </c>
      <c r="G433" s="14" t="s">
        <v>820</v>
      </c>
      <c r="H433" s="14" t="s">
        <v>64</v>
      </c>
    </row>
    <row r="434" spans="3:8" ht="15.75" customHeight="1">
      <c r="C434" s="17">
        <f t="shared" si="29"/>
        <v>46170</v>
      </c>
      <c r="D434" s="14" t="s">
        <v>47</v>
      </c>
      <c r="E434" s="14" t="s">
        <v>807</v>
      </c>
      <c r="F434" s="18" t="s">
        <v>812</v>
      </c>
      <c r="G434" s="14" t="s">
        <v>821</v>
      </c>
      <c r="H434" s="14" t="s">
        <v>64</v>
      </c>
    </row>
    <row r="435" spans="3:8" ht="15.75" customHeight="1">
      <c r="C435" s="17">
        <f t="shared" si="29"/>
        <v>46170</v>
      </c>
      <c r="D435" s="14" t="s">
        <v>47</v>
      </c>
      <c r="E435" s="14" t="s">
        <v>33</v>
      </c>
      <c r="F435" s="18" t="s">
        <v>812</v>
      </c>
      <c r="G435" s="14" t="s">
        <v>822</v>
      </c>
      <c r="H435" s="14" t="s">
        <v>64</v>
      </c>
    </row>
    <row r="436" spans="3:8" ht="15.75" customHeight="1">
      <c r="C436" s="17">
        <f t="shared" si="29"/>
        <v>46170</v>
      </c>
      <c r="D436" s="14" t="s">
        <v>823</v>
      </c>
      <c r="E436" s="14" t="s">
        <v>30</v>
      </c>
      <c r="F436" s="18" t="s">
        <v>812</v>
      </c>
      <c r="G436" s="14" t="s">
        <v>824</v>
      </c>
      <c r="H436" s="14" t="s">
        <v>64</v>
      </c>
    </row>
    <row r="437" spans="3:8" ht="15.75" customHeight="1">
      <c r="C437" s="17">
        <f t="shared" si="29"/>
        <v>46170</v>
      </c>
      <c r="D437" s="14" t="s">
        <v>47</v>
      </c>
      <c r="E437" s="14" t="s">
        <v>83</v>
      </c>
      <c r="F437" s="18" t="s">
        <v>812</v>
      </c>
      <c r="G437" s="14" t="s">
        <v>825</v>
      </c>
      <c r="H437" s="14" t="s">
        <v>64</v>
      </c>
    </row>
    <row r="438" spans="3:8" ht="15.75" customHeight="1">
      <c r="C438" s="17">
        <f t="shared" si="29"/>
        <v>46170</v>
      </c>
      <c r="D438" s="14" t="s">
        <v>44</v>
      </c>
      <c r="E438" s="14" t="s">
        <v>33</v>
      </c>
      <c r="F438" s="18" t="s">
        <v>812</v>
      </c>
      <c r="G438" s="14" t="s">
        <v>826</v>
      </c>
      <c r="H438" s="14" t="s">
        <v>114</v>
      </c>
    </row>
    <row r="439" spans="3:8" ht="15.75" customHeight="1">
      <c r="C439" s="17">
        <f t="shared" si="29"/>
        <v>46170</v>
      </c>
      <c r="D439" s="14" t="s">
        <v>44</v>
      </c>
      <c r="E439" s="14" t="s">
        <v>827</v>
      </c>
      <c r="F439" s="18" t="s">
        <v>812</v>
      </c>
      <c r="G439" s="14" t="s">
        <v>828</v>
      </c>
      <c r="H439" s="14" t="s">
        <v>829</v>
      </c>
    </row>
    <row r="440" spans="3:8" ht="15.75" customHeight="1">
      <c r="C440" s="17">
        <f t="shared" si="29"/>
        <v>46170</v>
      </c>
      <c r="D440" s="14" t="s">
        <v>830</v>
      </c>
      <c r="E440" s="14" t="s">
        <v>809</v>
      </c>
      <c r="F440" s="18" t="s">
        <v>721</v>
      </c>
      <c r="G440" s="14" t="s">
        <v>831</v>
      </c>
      <c r="H440" s="14" t="s">
        <v>64</v>
      </c>
    </row>
    <row r="441" spans="3:8" ht="15.75" customHeight="1">
      <c r="C441" s="17">
        <f t="shared" si="29"/>
        <v>46170</v>
      </c>
      <c r="D441" s="14" t="s">
        <v>405</v>
      </c>
      <c r="E441" s="14" t="s">
        <v>807</v>
      </c>
      <c r="F441" s="18" t="s">
        <v>721</v>
      </c>
      <c r="G441" s="14" t="s">
        <v>832</v>
      </c>
      <c r="H441" s="14" t="s">
        <v>20</v>
      </c>
    </row>
    <row r="442" spans="3:8" ht="15.75" customHeight="1">
      <c r="C442" s="17">
        <f t="shared" si="29"/>
        <v>46170</v>
      </c>
      <c r="D442" s="14" t="s">
        <v>833</v>
      </c>
      <c r="E442" s="14" t="s">
        <v>30</v>
      </c>
      <c r="F442" s="18" t="s">
        <v>721</v>
      </c>
      <c r="G442" s="14" t="s">
        <v>834</v>
      </c>
      <c r="H442" s="14" t="s">
        <v>64</v>
      </c>
    </row>
    <row r="443" spans="3:8" ht="15.75" customHeight="1">
      <c r="C443" s="17">
        <f t="shared" si="29"/>
        <v>46170</v>
      </c>
      <c r="D443" s="14" t="s">
        <v>730</v>
      </c>
      <c r="E443" s="14" t="s">
        <v>339</v>
      </c>
      <c r="F443" s="18" t="s">
        <v>721</v>
      </c>
      <c r="G443" s="14" t="s">
        <v>835</v>
      </c>
      <c r="H443" s="14" t="s">
        <v>64</v>
      </c>
    </row>
    <row r="444" spans="3:8" ht="15.75" customHeight="1">
      <c r="C444" s="17">
        <f t="shared" si="29"/>
        <v>46170</v>
      </c>
      <c r="D444" s="14" t="s">
        <v>836</v>
      </c>
      <c r="E444" s="14" t="s">
        <v>837</v>
      </c>
      <c r="F444" s="18" t="s">
        <v>721</v>
      </c>
      <c r="G444" s="14" t="s">
        <v>365</v>
      </c>
      <c r="H444" s="14" t="s">
        <v>64</v>
      </c>
    </row>
    <row r="445" spans="3:8" ht="15.75" customHeight="1">
      <c r="C445" s="17">
        <f t="shared" si="29"/>
        <v>46170</v>
      </c>
      <c r="D445" s="14" t="s">
        <v>838</v>
      </c>
      <c r="E445" s="14" t="s">
        <v>837</v>
      </c>
      <c r="F445" s="18" t="s">
        <v>721</v>
      </c>
      <c r="G445" s="14" t="s">
        <v>489</v>
      </c>
      <c r="H445" s="14" t="s">
        <v>64</v>
      </c>
    </row>
    <row r="446" spans="3:8" ht="15.75" customHeight="1">
      <c r="C446" s="13">
        <v>46171</v>
      </c>
      <c r="D446" s="18" t="s">
        <v>839</v>
      </c>
      <c r="E446" s="18" t="s">
        <v>149</v>
      </c>
      <c r="F446" s="18" t="s">
        <v>840</v>
      </c>
      <c r="G446" s="18" t="s">
        <v>841</v>
      </c>
      <c r="H446" s="18" t="s">
        <v>64</v>
      </c>
    </row>
    <row r="447" spans="3:8" ht="15.75" customHeight="1">
      <c r="C447" s="17">
        <f t="shared" ref="C447:C452" si="30">C446</f>
        <v>46171</v>
      </c>
      <c r="D447" s="14" t="s">
        <v>730</v>
      </c>
      <c r="E447" s="14" t="s">
        <v>22</v>
      </c>
      <c r="F447" s="18" t="s">
        <v>842</v>
      </c>
      <c r="G447" s="14" t="s">
        <v>311</v>
      </c>
      <c r="H447" s="14" t="s">
        <v>64</v>
      </c>
    </row>
    <row r="448" spans="3:8" ht="15.75" customHeight="1">
      <c r="C448" s="17">
        <f t="shared" si="30"/>
        <v>46171</v>
      </c>
      <c r="D448" s="14" t="s">
        <v>405</v>
      </c>
      <c r="E448" s="14" t="s">
        <v>77</v>
      </c>
      <c r="F448" s="18" t="s">
        <v>842</v>
      </c>
      <c r="G448" s="14" t="s">
        <v>843</v>
      </c>
      <c r="H448" s="14" t="s">
        <v>20</v>
      </c>
    </row>
    <row r="449" spans="3:8" ht="15.75" customHeight="1">
      <c r="C449" s="17">
        <f t="shared" si="30"/>
        <v>46171</v>
      </c>
      <c r="D449" s="14" t="s">
        <v>405</v>
      </c>
      <c r="E449" s="14" t="s">
        <v>9</v>
      </c>
      <c r="F449" s="18" t="s">
        <v>842</v>
      </c>
      <c r="G449" s="14" t="s">
        <v>844</v>
      </c>
      <c r="H449" s="14" t="s">
        <v>86</v>
      </c>
    </row>
    <row r="450" spans="3:8" ht="15.75" customHeight="1">
      <c r="C450" s="17">
        <f t="shared" si="30"/>
        <v>46171</v>
      </c>
      <c r="D450" s="14" t="s">
        <v>836</v>
      </c>
      <c r="E450" s="14" t="s">
        <v>87</v>
      </c>
      <c r="F450" s="18" t="s">
        <v>842</v>
      </c>
      <c r="G450" s="14" t="s">
        <v>365</v>
      </c>
      <c r="H450" s="14" t="s">
        <v>64</v>
      </c>
    </row>
    <row r="451" spans="3:8" ht="15.75" customHeight="1">
      <c r="C451" s="17">
        <f t="shared" si="30"/>
        <v>46171</v>
      </c>
      <c r="D451" s="14" t="s">
        <v>845</v>
      </c>
      <c r="E451" s="14" t="s">
        <v>446</v>
      </c>
      <c r="F451" s="18" t="s">
        <v>842</v>
      </c>
      <c r="G451" s="14" t="s">
        <v>846</v>
      </c>
      <c r="H451" s="14" t="s">
        <v>64</v>
      </c>
    </row>
    <row r="452" spans="3:8" ht="15.75" customHeight="1">
      <c r="C452" s="17">
        <f t="shared" si="30"/>
        <v>46171</v>
      </c>
      <c r="D452" s="14" t="s">
        <v>847</v>
      </c>
      <c r="E452" s="14" t="s">
        <v>170</v>
      </c>
      <c r="F452" s="18" t="s">
        <v>842</v>
      </c>
      <c r="G452" s="14" t="s">
        <v>848</v>
      </c>
      <c r="H452" s="14" t="s">
        <v>64</v>
      </c>
    </row>
    <row r="453" spans="3:8" ht="15.75" customHeight="1">
      <c r="C453" s="13">
        <v>46172</v>
      </c>
      <c r="D453" s="14" t="s">
        <v>849</v>
      </c>
      <c r="E453" s="14" t="s">
        <v>850</v>
      </c>
      <c r="F453" s="18" t="s">
        <v>842</v>
      </c>
      <c r="G453" s="14" t="s">
        <v>851</v>
      </c>
      <c r="H453" s="14" t="s">
        <v>852</v>
      </c>
    </row>
    <row r="454" spans="3:8" ht="15.75" customHeight="1">
      <c r="C454" s="17">
        <f t="shared" ref="C454:C460" si="31">C453</f>
        <v>46172</v>
      </c>
      <c r="D454" s="14" t="s">
        <v>853</v>
      </c>
      <c r="E454" s="14" t="s">
        <v>45</v>
      </c>
      <c r="F454" s="18" t="s">
        <v>842</v>
      </c>
      <c r="G454" s="14" t="s">
        <v>854</v>
      </c>
      <c r="H454" s="14" t="s">
        <v>15</v>
      </c>
    </row>
    <row r="455" spans="3:8" ht="15.75" customHeight="1">
      <c r="C455" s="17">
        <f t="shared" si="31"/>
        <v>46172</v>
      </c>
      <c r="D455" s="14" t="s">
        <v>855</v>
      </c>
      <c r="E455" s="19"/>
      <c r="F455" s="18" t="s">
        <v>842</v>
      </c>
      <c r="G455" s="14" t="s">
        <v>856</v>
      </c>
      <c r="H455" s="14" t="s">
        <v>15</v>
      </c>
    </row>
    <row r="456" spans="3:8" ht="15.75" customHeight="1">
      <c r="C456" s="17">
        <f t="shared" si="31"/>
        <v>46172</v>
      </c>
      <c r="D456" s="14" t="s">
        <v>857</v>
      </c>
      <c r="E456" s="14" t="s">
        <v>858</v>
      </c>
      <c r="F456" s="18" t="s">
        <v>842</v>
      </c>
      <c r="G456" s="14" t="s">
        <v>859</v>
      </c>
      <c r="H456" s="14" t="s">
        <v>43</v>
      </c>
    </row>
    <row r="457" spans="3:8" ht="15.75" customHeight="1">
      <c r="C457" s="17">
        <f t="shared" si="31"/>
        <v>46172</v>
      </c>
      <c r="D457" s="14" t="s">
        <v>860</v>
      </c>
      <c r="E457" s="14" t="s">
        <v>167</v>
      </c>
      <c r="F457" s="18" t="s">
        <v>842</v>
      </c>
      <c r="G457" s="14" t="s">
        <v>861</v>
      </c>
      <c r="H457" s="14" t="s">
        <v>20</v>
      </c>
    </row>
    <row r="458" spans="3:8" ht="15.75" customHeight="1">
      <c r="C458" s="17">
        <f t="shared" si="31"/>
        <v>46172</v>
      </c>
      <c r="D458" s="14" t="s">
        <v>862</v>
      </c>
      <c r="E458" s="14" t="s">
        <v>863</v>
      </c>
      <c r="F458" s="18" t="s">
        <v>278</v>
      </c>
      <c r="G458" s="14" t="s">
        <v>864</v>
      </c>
      <c r="H458" s="14" t="s">
        <v>865</v>
      </c>
    </row>
    <row r="459" spans="3:8" ht="15.75" customHeight="1">
      <c r="C459" s="17">
        <f t="shared" si="31"/>
        <v>46172</v>
      </c>
      <c r="D459" s="14" t="s">
        <v>866</v>
      </c>
      <c r="E459" s="14" t="s">
        <v>424</v>
      </c>
      <c r="F459" s="18" t="s">
        <v>278</v>
      </c>
      <c r="G459" s="14" t="s">
        <v>867</v>
      </c>
      <c r="H459" s="14" t="s">
        <v>43</v>
      </c>
    </row>
    <row r="460" spans="3:8" ht="15.75" customHeight="1">
      <c r="C460" s="17">
        <f t="shared" si="31"/>
        <v>46172</v>
      </c>
      <c r="D460" s="14" t="s">
        <v>868</v>
      </c>
      <c r="E460" s="14" t="s">
        <v>869</v>
      </c>
      <c r="F460" s="18" t="s">
        <v>278</v>
      </c>
      <c r="G460" s="14" t="s">
        <v>870</v>
      </c>
      <c r="H460" s="14" t="s">
        <v>43</v>
      </c>
    </row>
    <row r="461" spans="3:8" ht="15.75" customHeight="1">
      <c r="C461" s="13">
        <v>46173</v>
      </c>
      <c r="D461" s="18" t="s">
        <v>871</v>
      </c>
      <c r="E461" s="18" t="s">
        <v>30</v>
      </c>
      <c r="F461" s="18" t="s">
        <v>278</v>
      </c>
      <c r="G461" s="18" t="s">
        <v>872</v>
      </c>
      <c r="H461" s="14" t="s">
        <v>43</v>
      </c>
    </row>
    <row r="462" spans="3:8" ht="15.75" customHeight="1">
      <c r="C462" s="17">
        <f t="shared" ref="C462:C483" si="32">C461</f>
        <v>46173</v>
      </c>
      <c r="D462" s="14" t="s">
        <v>44</v>
      </c>
      <c r="E462" s="14" t="s">
        <v>30</v>
      </c>
      <c r="F462" s="18" t="s">
        <v>812</v>
      </c>
      <c r="G462" s="14" t="s">
        <v>873</v>
      </c>
      <c r="H462" s="14" t="s">
        <v>20</v>
      </c>
    </row>
    <row r="463" spans="3:8" ht="15.75" customHeight="1">
      <c r="C463" s="17">
        <f t="shared" si="32"/>
        <v>46173</v>
      </c>
      <c r="D463" s="14" t="s">
        <v>47</v>
      </c>
      <c r="E463" s="14" t="s">
        <v>542</v>
      </c>
      <c r="F463" s="18" t="s">
        <v>812</v>
      </c>
      <c r="G463" s="14" t="s">
        <v>874</v>
      </c>
      <c r="H463" s="14" t="s">
        <v>43</v>
      </c>
    </row>
    <row r="464" spans="3:8" ht="15.75" customHeight="1">
      <c r="C464" s="17">
        <f t="shared" si="32"/>
        <v>46173</v>
      </c>
      <c r="D464" s="14" t="s">
        <v>44</v>
      </c>
      <c r="E464" s="14" t="s">
        <v>30</v>
      </c>
      <c r="F464" s="18" t="s">
        <v>812</v>
      </c>
      <c r="G464" s="14" t="s">
        <v>875</v>
      </c>
      <c r="H464" s="14" t="s">
        <v>86</v>
      </c>
    </row>
    <row r="465" spans="3:8" ht="15.75" customHeight="1">
      <c r="C465" s="17">
        <f t="shared" si="32"/>
        <v>46173</v>
      </c>
      <c r="D465" s="14" t="s">
        <v>44</v>
      </c>
      <c r="E465" s="14" t="s">
        <v>33</v>
      </c>
      <c r="F465" s="18" t="s">
        <v>812</v>
      </c>
      <c r="G465" s="14" t="s">
        <v>876</v>
      </c>
      <c r="H465" s="14" t="s">
        <v>86</v>
      </c>
    </row>
    <row r="466" spans="3:8" ht="15.75" customHeight="1">
      <c r="C466" s="17">
        <f t="shared" si="32"/>
        <v>46173</v>
      </c>
      <c r="D466" s="14" t="s">
        <v>47</v>
      </c>
      <c r="E466" s="14" t="s">
        <v>877</v>
      </c>
      <c r="F466" s="18" t="s">
        <v>812</v>
      </c>
      <c r="G466" s="14" t="s">
        <v>878</v>
      </c>
      <c r="H466" s="14" t="s">
        <v>43</v>
      </c>
    </row>
    <row r="467" spans="3:8" ht="15.75" customHeight="1">
      <c r="C467" s="17">
        <f t="shared" si="32"/>
        <v>46173</v>
      </c>
      <c r="D467" s="14" t="s">
        <v>823</v>
      </c>
      <c r="E467" s="14" t="s">
        <v>879</v>
      </c>
      <c r="F467" s="18" t="s">
        <v>812</v>
      </c>
      <c r="G467" s="14" t="s">
        <v>880</v>
      </c>
      <c r="H467" s="14" t="s">
        <v>728</v>
      </c>
    </row>
    <row r="468" spans="3:8" ht="15.75" customHeight="1">
      <c r="C468" s="17">
        <f t="shared" si="32"/>
        <v>46173</v>
      </c>
      <c r="D468" s="14" t="s">
        <v>47</v>
      </c>
      <c r="E468" s="14" t="s">
        <v>51</v>
      </c>
      <c r="F468" s="18" t="s">
        <v>812</v>
      </c>
      <c r="G468" s="14" t="s">
        <v>881</v>
      </c>
      <c r="H468" s="14" t="s">
        <v>43</v>
      </c>
    </row>
    <row r="469" spans="3:8" ht="15.75" customHeight="1">
      <c r="C469" s="17">
        <f t="shared" si="32"/>
        <v>46173</v>
      </c>
      <c r="D469" s="14" t="s">
        <v>44</v>
      </c>
      <c r="E469" s="14" t="s">
        <v>882</v>
      </c>
      <c r="F469" s="18" t="s">
        <v>812</v>
      </c>
      <c r="G469" s="14" t="s">
        <v>883</v>
      </c>
      <c r="H469" s="14" t="s">
        <v>884</v>
      </c>
    </row>
    <row r="470" spans="3:8" ht="15.75" customHeight="1">
      <c r="C470" s="17">
        <f t="shared" si="32"/>
        <v>46173</v>
      </c>
      <c r="D470" s="14" t="s">
        <v>47</v>
      </c>
      <c r="E470" s="14" t="s">
        <v>33</v>
      </c>
      <c r="F470" s="18" t="s">
        <v>812</v>
      </c>
      <c r="G470" s="14" t="s">
        <v>885</v>
      </c>
      <c r="H470" s="14" t="s">
        <v>20</v>
      </c>
    </row>
    <row r="471" spans="3:8" ht="15.75" customHeight="1">
      <c r="C471" s="17">
        <f t="shared" si="32"/>
        <v>46173</v>
      </c>
      <c r="D471" s="14" t="s">
        <v>460</v>
      </c>
      <c r="E471" s="14" t="s">
        <v>297</v>
      </c>
      <c r="F471" s="18" t="s">
        <v>812</v>
      </c>
      <c r="G471" s="14" t="s">
        <v>886</v>
      </c>
      <c r="H471" s="14" t="s">
        <v>86</v>
      </c>
    </row>
    <row r="472" spans="3:8" ht="15.75" customHeight="1">
      <c r="C472" s="17">
        <f t="shared" si="32"/>
        <v>46173</v>
      </c>
      <c r="D472" s="14" t="s">
        <v>44</v>
      </c>
      <c r="E472" s="14" t="s">
        <v>297</v>
      </c>
      <c r="F472" s="18" t="s">
        <v>812</v>
      </c>
      <c r="G472" s="14" t="s">
        <v>887</v>
      </c>
      <c r="H472" s="14" t="s">
        <v>86</v>
      </c>
    </row>
    <row r="473" spans="3:8" ht="15.75" customHeight="1">
      <c r="C473" s="17">
        <f t="shared" si="32"/>
        <v>46173</v>
      </c>
      <c r="D473" s="14" t="s">
        <v>47</v>
      </c>
      <c r="E473" s="14" t="s">
        <v>297</v>
      </c>
      <c r="F473" s="18" t="s">
        <v>812</v>
      </c>
      <c r="G473" s="14" t="s">
        <v>888</v>
      </c>
      <c r="H473" s="14" t="s">
        <v>26</v>
      </c>
    </row>
    <row r="474" spans="3:8" ht="15.75" customHeight="1">
      <c r="C474" s="17">
        <f t="shared" si="32"/>
        <v>46173</v>
      </c>
      <c r="D474" s="14" t="s">
        <v>47</v>
      </c>
      <c r="E474" s="14" t="s">
        <v>297</v>
      </c>
      <c r="F474" s="18" t="s">
        <v>812</v>
      </c>
      <c r="G474" s="14" t="s">
        <v>889</v>
      </c>
      <c r="H474" s="14" t="s">
        <v>728</v>
      </c>
    </row>
    <row r="475" spans="3:8" ht="15.75" customHeight="1">
      <c r="C475" s="17">
        <f t="shared" si="32"/>
        <v>46173</v>
      </c>
      <c r="D475" s="14" t="s">
        <v>103</v>
      </c>
      <c r="E475" s="14" t="s">
        <v>297</v>
      </c>
      <c r="F475" s="18" t="s">
        <v>812</v>
      </c>
      <c r="G475" s="14" t="s">
        <v>890</v>
      </c>
      <c r="H475" s="14" t="s">
        <v>86</v>
      </c>
    </row>
    <row r="476" spans="3:8" ht="15.75" customHeight="1">
      <c r="C476" s="17">
        <f t="shared" si="32"/>
        <v>46173</v>
      </c>
      <c r="D476" s="14" t="s">
        <v>44</v>
      </c>
      <c r="E476" s="14" t="s">
        <v>22</v>
      </c>
      <c r="F476" s="18" t="s">
        <v>812</v>
      </c>
      <c r="G476" s="20" t="s">
        <v>891</v>
      </c>
      <c r="H476" s="14" t="s">
        <v>20</v>
      </c>
    </row>
    <row r="477" spans="3:8" ht="15.75" customHeight="1">
      <c r="C477" s="17">
        <f t="shared" si="32"/>
        <v>46173</v>
      </c>
      <c r="D477" s="14" t="s">
        <v>892</v>
      </c>
      <c r="E477" s="14" t="s">
        <v>297</v>
      </c>
      <c r="F477" s="18" t="s">
        <v>812</v>
      </c>
      <c r="G477" s="20" t="s">
        <v>893</v>
      </c>
      <c r="H477" s="14" t="s">
        <v>86</v>
      </c>
    </row>
    <row r="478" spans="3:8" ht="15.75" customHeight="1">
      <c r="C478" s="17">
        <f t="shared" si="32"/>
        <v>46173</v>
      </c>
      <c r="D478" s="14" t="s">
        <v>44</v>
      </c>
      <c r="E478" s="14" t="s">
        <v>77</v>
      </c>
      <c r="F478" s="18" t="s">
        <v>812</v>
      </c>
      <c r="G478" s="20" t="s">
        <v>894</v>
      </c>
      <c r="H478" s="14" t="s">
        <v>20</v>
      </c>
    </row>
    <row r="479" spans="3:8" ht="15.75" customHeight="1">
      <c r="C479" s="17">
        <f t="shared" si="32"/>
        <v>46173</v>
      </c>
      <c r="D479" s="14" t="s">
        <v>26</v>
      </c>
      <c r="E479" s="14" t="s">
        <v>895</v>
      </c>
      <c r="F479" s="18" t="s">
        <v>812</v>
      </c>
      <c r="G479" s="20" t="s">
        <v>896</v>
      </c>
      <c r="H479" s="14" t="s">
        <v>86</v>
      </c>
    </row>
    <row r="480" spans="3:8" ht="15.75" customHeight="1">
      <c r="C480" s="17">
        <f t="shared" si="32"/>
        <v>46173</v>
      </c>
      <c r="D480" s="14" t="s">
        <v>44</v>
      </c>
      <c r="E480" s="14" t="s">
        <v>897</v>
      </c>
      <c r="F480" s="18" t="s">
        <v>812</v>
      </c>
      <c r="G480" s="20" t="s">
        <v>898</v>
      </c>
      <c r="H480" s="14" t="s">
        <v>899</v>
      </c>
    </row>
    <row r="481" spans="3:8" ht="15.75" customHeight="1">
      <c r="C481" s="17">
        <f t="shared" si="32"/>
        <v>46173</v>
      </c>
      <c r="D481" s="18" t="s">
        <v>868</v>
      </c>
      <c r="E481" s="14" t="s">
        <v>336</v>
      </c>
      <c r="F481" s="18" t="s">
        <v>900</v>
      </c>
      <c r="G481" s="14" t="s">
        <v>901</v>
      </c>
      <c r="H481" s="14" t="s">
        <v>26</v>
      </c>
    </row>
    <row r="482" spans="3:8" ht="15.75" customHeight="1">
      <c r="C482" s="17">
        <f t="shared" si="32"/>
        <v>46173</v>
      </c>
      <c r="D482" s="18" t="s">
        <v>868</v>
      </c>
      <c r="E482" s="14" t="s">
        <v>22</v>
      </c>
      <c r="F482" s="18" t="s">
        <v>900</v>
      </c>
      <c r="G482" s="14" t="s">
        <v>902</v>
      </c>
      <c r="H482" s="14" t="s">
        <v>26</v>
      </c>
    </row>
    <row r="483" spans="3:8" ht="15.75" customHeight="1">
      <c r="C483" s="17">
        <f t="shared" si="32"/>
        <v>46173</v>
      </c>
      <c r="D483" s="18" t="s">
        <v>903</v>
      </c>
      <c r="E483" s="14" t="s">
        <v>117</v>
      </c>
      <c r="F483" s="18" t="s">
        <v>900</v>
      </c>
      <c r="G483" s="14" t="s">
        <v>904</v>
      </c>
      <c r="H483" s="14" t="s">
        <v>26</v>
      </c>
    </row>
    <row r="484" spans="3:8" ht="15.75" customHeight="1"/>
    <row r="485" spans="3:8" ht="15.75" customHeight="1"/>
    <row r="486" spans="3:8" ht="15.75" customHeight="1"/>
    <row r="487" spans="3:8" ht="15.75" customHeight="1"/>
    <row r="488" spans="3:8" ht="15.75" customHeight="1"/>
    <row r="489" spans="3:8" ht="15.75" customHeight="1"/>
    <row r="490" spans="3:8" ht="15.75" customHeight="1"/>
    <row r="491" spans="3:8" ht="15.75" customHeight="1"/>
    <row r="492" spans="3:8" ht="15.75" customHeight="1"/>
    <row r="493" spans="3:8" ht="15.75" customHeight="1"/>
    <row r="494" spans="3:8" ht="15.75" customHeight="1"/>
    <row r="495" spans="3:8" ht="15.75" customHeight="1"/>
    <row r="496" spans="3:8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4:H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Eduardo</cp:lastModifiedBy>
  <dcterms:created xsi:type="dcterms:W3CDTF">2026-07-14T12:58:07Z</dcterms:created>
  <dcterms:modified xsi:type="dcterms:W3CDTF">2026-07-14T12:58:41Z</dcterms:modified>
</cp:coreProperties>
</file>